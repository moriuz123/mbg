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BANJARSARI" sheetId="1" r:id="rId4"/>
    <sheet state="visible" name="3. BAYAH" sheetId="2" r:id="rId5"/>
    <sheet state="visible" name="Sheet1" sheetId="3" r:id="rId6"/>
    <sheet state="visible" name="2. PANGGARANGAN" sheetId="4" r:id="rId7"/>
    <sheet state="visible" name="5. CIPANAS" sheetId="5" r:id="rId8"/>
    <sheet state="visible" name="6. MUNCANG" sheetId="6" r:id="rId9"/>
    <sheet state="visible" name="4. MALINGPING" sheetId="7" r:id="rId10"/>
    <sheet state="visible" name="7. LEUWIDAMAR" sheetId="8" r:id="rId11"/>
    <sheet state="visible" name="9. GUNUNGKENCANA" sheetId="9" r:id="rId12"/>
    <sheet state="visible" name="8. BOJONGMANIK" sheetId="10" r:id="rId13"/>
    <sheet state="visible" name="10. KALANGANYAR" sheetId="11" r:id="rId14"/>
    <sheet state="visible" name="11. CIJAKU" sheetId="12" r:id="rId15"/>
    <sheet state="visible" name="13. CURUGBITUNG" sheetId="13" r:id="rId16"/>
    <sheet state="visible" name="12. WANASALAM" sheetId="14" r:id="rId17"/>
    <sheet state="visible" name="14. SOBANG" sheetId="15" r:id="rId18"/>
    <sheet state="visible" name="15. CIGEMBLONG" sheetId="16" r:id="rId19"/>
    <sheet state="visible" name="16. LEBAK GEDONG" sheetId="17" r:id="rId20"/>
    <sheet state="visible" name="18. SAJIRA" sheetId="18" r:id="rId21"/>
    <sheet state="visible" name="17. MAJA" sheetId="19" r:id="rId22"/>
    <sheet state="visible" name="19. WARUNGGUNUNG" sheetId="20" r:id="rId23"/>
    <sheet state="visible" name="20. CIRINTEN" sheetId="21" r:id="rId24"/>
    <sheet state="visible" name="22. RANGKASBITUNG" sheetId="22" r:id="rId25"/>
    <sheet state="visible" name="21. CIBADAK" sheetId="23" r:id="rId26"/>
    <sheet state="visible" name="23. CIHARA" sheetId="24" r:id="rId27"/>
    <sheet state="visible" name="25. CIBEBER" sheetId="25" r:id="rId28"/>
    <sheet state="visible" name="24. CILOGRANG" sheetId="26" r:id="rId29"/>
    <sheet state="visible" name="26. CILELES" sheetId="27" r:id="rId30"/>
    <sheet state="visible" name="27. CIKULUR" sheetId="28" r:id="rId31"/>
    <sheet state="visible" name="28. CIMARGA" sheetId="29" r:id="rId32"/>
  </sheets>
  <definedNames>
    <definedName hidden="1" localSheetId="0" name="_xlnm._FilterDatabase">'1. BANJARSARI'!$A$4:$Y$17</definedName>
  </definedNames>
  <calcPr/>
  <extLst>
    <ext uri="GoogleSheetsCustomDataVersion2">
      <go:sheetsCustomData xmlns:go="http://customooxmlschemas.google.com/" r:id="rId33" roundtripDataChecksum="eDIgZ4/WseRL8WtEMR17e9gPkLjH/kV2tFoNObkcRdw="/>
    </ext>
  </extLst>
</workbook>
</file>

<file path=xl/sharedStrings.xml><?xml version="1.0" encoding="utf-8"?>
<sst xmlns="http://schemas.openxmlformats.org/spreadsheetml/2006/main" count="5769" uniqueCount="2947">
  <si>
    <t>arga</t>
  </si>
  <si>
    <t xml:space="preserve">DAFTAR SATUAN PELAYANA PEMENUHAN GIZI </t>
  </si>
  <si>
    <t>PROGRAM MAKAN BERGIZI GRATIS KABUPATEN LEBAK</t>
  </si>
  <si>
    <t>NO</t>
  </si>
  <si>
    <t>DESA</t>
  </si>
  <si>
    <t>NAMA SPPG</t>
  </si>
  <si>
    <t>ID SPPG</t>
  </si>
  <si>
    <t>NAMA YAYASAN</t>
  </si>
  <si>
    <t>ALAMAT SPPG</t>
  </si>
  <si>
    <t>STATUS/TAHAPAN OPERASIONAL</t>
  </si>
  <si>
    <t>Tanggal Operasional</t>
  </si>
  <si>
    <t>BPJS</t>
  </si>
  <si>
    <t>NAMA KASPPG</t>
  </si>
  <si>
    <t>NO.HP KASPPG</t>
  </si>
  <si>
    <t>JUMLAH PENERIMA MANFAAT</t>
  </si>
  <si>
    <t>DAFTAR PENERIMA MANFAAT KB</t>
  </si>
  <si>
    <t>DAFTAR PENERIMA MANFAAT TK</t>
  </si>
  <si>
    <t>DAFTAR PENERIMA MANFAAT RA</t>
  </si>
  <si>
    <t>DAFTAR PENERIMA MANFAAT PAUD</t>
  </si>
  <si>
    <t>DAFTAR PENERIMA MANFAAT SD/MI</t>
  </si>
  <si>
    <t>DAFTAR PENERIMA MANFAAT SMP/MTS</t>
  </si>
  <si>
    <t>DAFTAR PENERIMA MANFAAT SMA/SMK/MA</t>
  </si>
  <si>
    <t>DAFTAR PENERIMA MANFAAT POSYANDU KELOMPOK IBU HAMIL</t>
  </si>
  <si>
    <t>DAFTAR PENERIMA MANFAAT POSYANDU KELOMPOK IBU MENYUSUI</t>
  </si>
  <si>
    <t>DAFTAR PENERIMA MANFAAT POSYANDU KELOMPOK IBU BALITA</t>
  </si>
  <si>
    <t>DAFTAR PENERIMA MANFAAT KELOMPOK SANTRI (PESANTREN TRADISIONAL)</t>
  </si>
  <si>
    <t>DAFTAR PENERIMA MANFAAT KELOMPOK ANAK TIDAK SEKOLAH (ATS)</t>
  </si>
  <si>
    <t>Keterangan</t>
  </si>
  <si>
    <t>BPJS TK</t>
  </si>
  <si>
    <t>PENJAMAH MAKANAN</t>
  </si>
  <si>
    <t>CHEF BERSERTIFIKAT BNSP</t>
  </si>
  <si>
    <t>IKL</t>
  </si>
  <si>
    <t>SLHS</t>
  </si>
  <si>
    <t>HACCP</t>
  </si>
  <si>
    <t>HALAL</t>
  </si>
  <si>
    <t>IPAL</t>
  </si>
  <si>
    <t>ISOO</t>
  </si>
  <si>
    <t>JUMLAH RELAWAN</t>
  </si>
  <si>
    <t>KADUHAUK</t>
  </si>
  <si>
    <t>SPPG Lebak Banjarsari Kaduhauk</t>
  </si>
  <si>
    <t>EVWDRBRL</t>
  </si>
  <si>
    <t>Bintang Luhung Naqsyabandi</t>
  </si>
  <si>
    <t>Jl. Raya Saketi-Malingping, Km.15, Kaduhauk, Banjarsari, Kab. Lebak, Banten</t>
  </si>
  <si>
    <t>Sudah Operasional</t>
  </si>
  <si>
    <t>SUDAH</t>
  </si>
  <si>
    <t>Khaerul Fazri</t>
  </si>
  <si>
    <t>083877080168</t>
  </si>
  <si>
    <t>1.        KB HARAPAN BUNDA : 34 (L:20, P:14)
2.        KB PERMATA HATI : 45 (L:25, P:20)</t>
  </si>
  <si>
    <t>1.        TK AL ANAR : 66</t>
  </si>
  <si>
    <t>1.       RA RIYADUSSOLIHIN : 23
2.        RA MALNU : 21</t>
  </si>
  <si>
    <t>1.        SDN1 KADUHAUK : 208
2.        SDN 2 KADUHAUK : 130
3.        SDN 3 KADUHAUK : 181
4.        SDN 1 KUMPAY : 92
5.        SDN 2 KUMPAY : 142
6.        SDN 1 CIRUJI : 364
7.        SDN 1 KEUSIK : 207
8.        SDN 4 KEUSIK :164
9.        SDN 1 BENDUNGAN : 106.                                                           10.      SDN 2 CIBATURKEUSIK : 175</t>
  </si>
  <si>
    <t>1. MTS MALNU : 79
2. MTS RIYADUSSOLIHIN : 40
3. SMPN 3 BANJARSARI : 207
4. SMK IBC : 166
5. SMPN 6 BANJARSARI : 156
6. MTSN 3 LEBAK : 320</t>
  </si>
  <si>
    <t>1. SMAN 2 BANJARSARI : 430
2. SMK MASDARUL HAYAT : 57</t>
  </si>
  <si>
    <t>-</t>
  </si>
  <si>
    <t>Ada</t>
  </si>
  <si>
    <t xml:space="preserve">Jumlah </t>
  </si>
  <si>
    <t>KERTA</t>
  </si>
  <si>
    <t>SPPG Lebak Banjarsari Kerta 1</t>
  </si>
  <si>
    <t>HV1MZYXY</t>
  </si>
  <si>
    <t xml:space="preserve">Yayasan Bakti Asta Cita </t>
  </si>
  <si>
    <t>Jl. Raya Saketi - Malingping, Kp. Babakan Malang Nengah RT/RW 002/001, Desa Kerta, Kecamatan Banjarsari, Kabupaten Lebak - Banten</t>
  </si>
  <si>
    <t>Mohammad Iqbal Hidayatullah</t>
  </si>
  <si>
    <t>085774330873</t>
  </si>
  <si>
    <t>1. RA Kerta Yudha : 41</t>
  </si>
  <si>
    <t>1. Paud Nailul Hidayah : 53</t>
  </si>
  <si>
    <t>1. SDN 1 Kerta : 238
2. SDN 3 Kerta : 213
3. SDN 1 Bojong Juruh : 107
4. SDN 2 Bojong Juruh : 91
5. SDN 2 Leuwiipuh : 51
6. SDN 2 Cilegong Ilir : 206
7. SDN 1 Cisampih : 183
8. SDN 2 Cisampih : 164</t>
  </si>
  <si>
    <t xml:space="preserve">
1. MTs Nurul Hidayah : 152
</t>
  </si>
  <si>
    <t>1. SMK BIM : 228</t>
  </si>
  <si>
    <t>SPPG Lebak Banjarsari Kerta 2</t>
  </si>
  <si>
    <t>TFZ5NKI2</t>
  </si>
  <si>
    <t>Yayasan Sinergi Berdaya Nagari</t>
  </si>
  <si>
    <t>Jl. Saketi Malimping, Kp. Pasar Baru, Desa Kerta Kecamatan Banjarsari Kabupaten Lebak Prov. Banten</t>
  </si>
  <si>
    <t>BELUM</t>
  </si>
  <si>
    <t>Fitra Rizki Akbar</t>
  </si>
  <si>
    <t>083150195652</t>
  </si>
  <si>
    <t>1. KB. AL-IKHLAS INSANI : 32</t>
  </si>
  <si>
    <t>2. SDN 1 KERTARAHARJA: 209
3. SDN 2 KERTARAHARJA : 205
3. MIS NURUL FALAH KERTA : 119</t>
  </si>
  <si>
    <t>5. MTS NURUL FALAH KERTA : 55
6. SMPN 5 BANJARSARI : 183
7. MTS NURUL FALAH PADASUKA : 109</t>
  </si>
  <si>
    <t>8. SMK GUNA BANGSA : 144</t>
  </si>
  <si>
    <t>Jumlah</t>
  </si>
  <si>
    <t>KEUSIK</t>
  </si>
  <si>
    <t>SPPG Lebak Banjarsari Keusik</t>
  </si>
  <si>
    <t>MMBEQBWR</t>
  </si>
  <si>
    <t>Yayasan Duta Pangan Sukasi</t>
  </si>
  <si>
    <t>Kp. Ciluluk Rt. 007 Rw. 004 Ds. Keusik Kec. Banjarsari Kab. Lebak Pro. Banten</t>
  </si>
  <si>
    <t>Marsela Mulyani</t>
  </si>
  <si>
    <t>083896930994</t>
  </si>
  <si>
    <t>1.        KB HIMAKU : 65
2.        KB CHOSIYAH : 56</t>
  </si>
  <si>
    <t>1. TK CIDAHU : 19</t>
  </si>
  <si>
    <t>1.        RA RADEN TULJAHRA : 10
2.        RA AL FURQON : 51</t>
  </si>
  <si>
    <t>1. PAUD PERTIWI : 44</t>
  </si>
  <si>
    <t>1. SDN 2 KEUSIK : 171
2. SDN 3 KEUSIK : 313
3. SDN 2 CIDAHU : 319</t>
  </si>
  <si>
    <t>1.	MTS AL - IHSAN : 76
2.	SMPN 1 BAJARSARI : 809</t>
  </si>
  <si>
    <t>1. SMAN 1 BANJARSARI: 950</t>
  </si>
  <si>
    <t>CILEGONGILIR</t>
  </si>
  <si>
    <t>SPPG Lebak Banjarsari Cilegongilir</t>
  </si>
  <si>
    <t>AVA7OBHX</t>
  </si>
  <si>
    <t>Yayasan Darul Ibtida Alhasanah Cilangkap</t>
  </si>
  <si>
    <t>Kp. Pulo, Desa Cilegongilir, Kecamatan Banjarsari, Kabupaten Lebak, Provinsi Banten</t>
  </si>
  <si>
    <t>Achmad Nizar Arafat</t>
  </si>
  <si>
    <t>085173266977</t>
  </si>
  <si>
    <t>1. KB  MULYA INSAN MANDIRI :  65
2. KB CISAMPIH : 74
3. KB BERKAH : 27
4. KB MUTIARA HARAPAN : 34
5. KB TUNAS HARAPAN : 88
6. KB DAARUL ISTIQAMAH : 27
7. KB AZZAHRA : 21</t>
  </si>
  <si>
    <t>1. RA DAARUL ANBA X DAARUL ABROR : 62
2. RA RADEN TUL JAHRA : 45</t>
  </si>
  <si>
    <t>1. SDN 1 JALUPANG GIRANG : 180
2. SDN 2 CISAMPIH : 165
3. SDN 1 CISAMPIH : 188
4. SDN 1 LABAN JAYA : 175
5. SDN 3 CILEGONGILIR : 146
6. MIS RATU SINARTIAH : 83
7. SKH DARU SIFA : 91</t>
  </si>
  <si>
    <t>1. MTSN 5 LEBAK : 366
2. MTSS DAARUL FIKRI CITEPUSEUN : 112
3. SMPN SATAP 7 BANJARSARI : 91</t>
  </si>
  <si>
    <t>1. MAS CISAMPIH : 307
2. SMKS NASIONAL 1 BANAJRSARI : 121
3. MAS DAARUL FIKRI CITAPUSEUN : 76</t>
  </si>
  <si>
    <t>SPPG Lebak Banjarsari Kerta 3</t>
  </si>
  <si>
    <t>BG9ANVM9</t>
  </si>
  <si>
    <t>Yayasan Rakyat Banten Bergizi</t>
  </si>
  <si>
    <t>Jl. Raya Saketi Km 17 Kampung Babakan Kembang Rt. 01 Rw 92 Desa Kerta, Kec. Banjarsari, kab. Lebak, Banten</t>
  </si>
  <si>
    <t>Ridho Putra Perdana</t>
  </si>
  <si>
    <t>0895329946665</t>
  </si>
  <si>
    <t xml:space="preserve">1. KB  Al Hidayah : 43
</t>
  </si>
  <si>
    <t>1. Paud Darul Ansor : 41</t>
  </si>
  <si>
    <t xml:space="preserve">1. SDN 1 Taman Sari : 156
2. SDN 2 Taman Sari : 325
3. SDN 2 Kerta : 236
</t>
  </si>
  <si>
    <t>1. SMPN 2 Banjarsari : 196</t>
  </si>
  <si>
    <t>Bojongjuruh</t>
  </si>
  <si>
    <t>SPPG Lebak Banjarsari Bojongjuruh</t>
  </si>
  <si>
    <t>GDXGGMPI</t>
  </si>
  <si>
    <t>Yayasan Berkah Madani Mandiri</t>
  </si>
  <si>
    <t>Kampung Ciseda, Desa Bojongjuruh, Kecamatan Banjarsari, Kabupaten Lebak, Banten</t>
  </si>
  <si>
    <t>Asmanjung Palwan Makan Malay</t>
  </si>
  <si>
    <t>TK Tunas Karya</t>
  </si>
  <si>
    <t>RA Uswatun Hasanah</t>
  </si>
  <si>
    <t>1. Paud Mutiara Bunda : 30
2. Paud Raudhatul Ilmi : 34
3. Paud Al Ikhlas            : 25
4. Paud Manggis           : 36
5. Paud Tunas Sari        : 18</t>
  </si>
  <si>
    <t>1. SDN 3 Bojonhjuruh : 96
2. SDN 1 Leuwiipuh : 130
3. SDN 1 Cilegongilir : 108
4. SDN 1 Lebakkeusik : 126
5. MI/MA Pasung : 78 
6. MI/MA Kp. Taops : 85</t>
  </si>
  <si>
    <t xml:space="preserve">1. SMPN 8 Banjarsari : 80                          2. SMPN 4 Banjarsari : 154                                              </t>
  </si>
  <si>
    <t xml:space="preserve">Lebakkeusik </t>
  </si>
  <si>
    <t>SPPG Lebak Banjarsari Lebakkeusik</t>
  </si>
  <si>
    <t>TNK9T6UA</t>
  </si>
  <si>
    <t>Yayasan Adhiguna Cakrawala Lebak</t>
  </si>
  <si>
    <t>Kampung Cibuntu RT 010 RW 004 Desa Lebakkeusik, Kec. Banjarsari, Kab. Lebak, Banten</t>
  </si>
  <si>
    <t>Muhammad Kurniawan Putra</t>
  </si>
  <si>
    <t xml:space="preserve">                                             -   </t>
  </si>
  <si>
    <t>1. Paud Cahaya Insani : 35</t>
  </si>
  <si>
    <t xml:space="preserve">1. SDN 1 Lebakkeusik : 126
2. SDN 2 Lebakkeusik : 158
3. SDN 3 Lebakkeusik : 153
4. SDN 1 Cilegongilir : 107
</t>
  </si>
  <si>
    <t>1. SMPN 8 Banjarsari : 78                            2. SMPN 4 Banjarsari : 154</t>
  </si>
  <si>
    <t>Tamansari</t>
  </si>
  <si>
    <t>SPPG Lebak Banjarsari Tamansari</t>
  </si>
  <si>
    <t>CO0AVYDF</t>
  </si>
  <si>
    <t>Yayasan Almeera Bhakti Husna</t>
  </si>
  <si>
    <t>Kampung Manggu Desa Tamansari Kecamatan Banjarsari Kabupaten Lebak Provinsi Banten</t>
  </si>
  <si>
    <t xml:space="preserve">Belum operasional </t>
  </si>
  <si>
    <t xml:space="preserve">MURTADHA ZAITON </t>
  </si>
  <si>
    <t>085372797761</t>
  </si>
  <si>
    <t>Proses</t>
  </si>
  <si>
    <t>Belum Ada</t>
  </si>
  <si>
    <t>DAFTAR PENERIMA MANFAAT KB/RA</t>
  </si>
  <si>
    <t>DAFTAR PENERIMA MANFAAT POSYANDU KELOMPOK  BALITA</t>
  </si>
  <si>
    <t>BAYAH BARAT</t>
  </si>
  <si>
    <t>SPPG LEBAK BAYAH BAYAH BARAT 3</t>
  </si>
  <si>
    <t>YAYAYSAN MERAH PUTIH BERKIBAR</t>
  </si>
  <si>
    <t>JL nasional III ,Kp.Bayah Tugu ,kec. bayah</t>
  </si>
  <si>
    <t>27 oktober 2025</t>
  </si>
  <si>
    <t>USEP NURSIDIK</t>
  </si>
  <si>
    <t>TK Sekar bagus 1 : 32
L: 20
P : 16
TK sekar bagus 2 : 52
L : 26
P : 28
TK pelita 1              : 63
P:37
L : 27
TK pelita 2              : 39
L : 17
P : 23</t>
  </si>
  <si>
    <t>RA Darul Hikmah : 40
L: 18
P :21
Ra  AL-ABRAAR : 34
P: 19
L: 15
kB al khusna       : 55
L :32
P :23
kb muara madur : 63
L : 37
P : 26</t>
  </si>
  <si>
    <t>SDN 1 BAYAH Barat  : 89
L : 42
P : 37
GURU
L  4
P  5
SDN 3 BAYAH  BARAT: 97
L : 45
P : 52
SDN  1 BAYAH TIMUR : 184
L : 88
P : 98</t>
  </si>
  <si>
    <t xml:space="preserve">MTSN 2 Lebak : 646
kelas 7
L 105
P 79
kelas 8
L 104
P 106
KELAS 9
L 96
P 115
GURU
L  14
P 27
TENDIK
L 7
P 2
</t>
  </si>
  <si>
    <t xml:space="preserve">SMAN 1 BAYAH : 922  
Kelas 10
L : 138
p : 177
kelas 11
L :118
P :169
Kelas 12 
L :131
P : 136
GURU
L :18
P : 24
TENDIK
L : 15
P : </t>
  </si>
  <si>
    <t>IBU HAMIL :44</t>
  </si>
  <si>
    <t>IBU MENYUSUI 73</t>
  </si>
  <si>
    <t>Balita 330</t>
  </si>
  <si>
    <t>SPPG Lebak Bayah Bayah Barat 1</t>
  </si>
  <si>
    <t>RMQFNIBO</t>
  </si>
  <si>
    <t>Yayasan Deraton Makmur Sejahtera</t>
  </si>
  <si>
    <t>Jl. Kp. Rancaberem Rt 002 Rw 001. Ds Bayah Barat Kecamatan Bayah</t>
  </si>
  <si>
    <t>Maulana Hakim</t>
  </si>
  <si>
    <t>085215986422</t>
  </si>
  <si>
    <t>SPS AL-ARHAM : 62
L : 28
P : 34
Guru : 5
TENDIK : 1
RA AL-ARHAM : 35
L : 12
P : 20
GURU : 3
RA MA TARBIYATUL ISLAMIYAH : 55
L : 30
P : 20
Guru : 4
Tendik : 1</t>
  </si>
  <si>
    <t>SDN 2 BAYAH BARAT: 356
L : 187
P : 169
GURU : 17
TENDIK : 2
SDN 4 BAYAH BARAT : 415
L : 203
P : 193 
GURU : 18
TENDIK : 1</t>
  </si>
  <si>
    <t>SMPN 1 BAYAH : 440
L : 233
P : 265
GURU : 28
TENDIK : 7
SMPN 3 BAYAH : 166
L : 82
P : 68
GURU : 15
TENDIK : 1</t>
  </si>
  <si>
    <t>SMKN 1 BAYAH : 638
L : 417
P : 221
Guru : 41
Tendik : 8</t>
  </si>
  <si>
    <t>IBU HAMIL : 55</t>
  </si>
  <si>
    <t>IBU MENYUSUI : 35</t>
  </si>
  <si>
    <t>BALITA 481</t>
  </si>
  <si>
    <t>SPPG Lebak Bayah Bayah Barat 2</t>
  </si>
  <si>
    <t>TYPNEINV</t>
  </si>
  <si>
    <t>Yayasan Nirwasita Bumi Nusantara</t>
  </si>
  <si>
    <t>Kecamatan Bayah</t>
  </si>
  <si>
    <t>BERLIAN</t>
  </si>
  <si>
    <t>KB PERMATA IBU : 13
P : 6
L : 5
KB AL-ARHAM : 37
P : 15
L : 17
KB AHSANU AMALAA : 29
P : 16
L : 8
KB : AL- ANNAS : 36
P : 8
L : 25</t>
  </si>
  <si>
    <t>TK ISLAM GEMA TERPADU : 81
TK PERMATA IBU : 59
TK PGRI 03 BAYAH : 51</t>
  </si>
  <si>
    <t>SPS AL- HUSNA : 47
KB PERMATA IBU : 13
RA AL-ITTIHAD DARMASARI : 24
RA AL-AMIN : 39
KB AL-ARHAM : 37</t>
  </si>
  <si>
    <t>SDIT DAAR EL - KUTUB : 196
MIS AL-AMIN : 79
SDN 1 DARMASARI : 143
SDN 2 DARMASARI : 156
SDN 2 PAMUBULAN : 269</t>
  </si>
  <si>
    <t>MTS  DAAR - EL KUTUB : 47
MTS AL-AMIN : 29
SMP PGRI BAYAH 154</t>
  </si>
  <si>
    <t>MAS DAAR-EL KUTUB : 35
MA AL-AMIN : 27
SMK PGRI BAYAH : 54</t>
  </si>
  <si>
    <t>IBU HAMIL : 60</t>
  </si>
  <si>
    <t>IBU MENYUSUI : 302</t>
  </si>
  <si>
    <t>BALITA : 615</t>
  </si>
  <si>
    <t>Belum mengurus</t>
  </si>
  <si>
    <t>SAWARNA</t>
  </si>
  <si>
    <t>SPPG LEBAK BAYAH SAWARNA</t>
  </si>
  <si>
    <t>RD5NBRYR</t>
  </si>
  <si>
    <t>BATASAN TAMA SARI</t>
  </si>
  <si>
    <t>Kp. Gempol II Timur Rt 001/Rw 009 Desa sawarna kecamata bayah kabupaten lebak provinsi banten</t>
  </si>
  <si>
    <t>09 Maret 2026</t>
  </si>
  <si>
    <t>AYUKASI SOROMI</t>
  </si>
  <si>
    <t>TK PGRI 01 BAYAH : 44
L: 23
P : 16
GURU : 5
TK PELANGI PERTIWI : 37
L : 19
P : 14
GURU : 4</t>
  </si>
  <si>
    <t>RA AL-IKHLAS : 51
L : 24
P : 22
GURU : 5
RA MIATU HABBAH : 54
L : 24
P : 25
GURU : 5
KB MUTIARA HATI : 55
L : 15
P : 35
GURU : 5</t>
  </si>
  <si>
    <t>SDN 1 SAWARNA: 251
L : 137
P : 98
GURU : 16
SDN 2 SAWARNA : 200
L : 96
P : 90 
GURU : 14
SDN 3 SAWARNA : 257
L : 123
P : 116
GURU : 18
SDN 1 SAWARN TIMUR : 179
L : 97
P : 72
GURU : 10
MIS MATHLAUL ANWAR SELAAWI : 92
L : 38
P : 45
GURU : 9</t>
  </si>
  <si>
    <t>SMPN 2 BAYAH : 267
L : 138
P : 109
GURU : 28
TENDIK : 7
SMPN 9 SATU ATAP BAYAH : 136
L : 63
P : 61
GURU : 12
MTS WAHDATUL UMMAH : 48
L : 22
P : 14
GURU : 12
MTS DARUNAJAH AL HASANAH : 28
L : 12
P : 5
GURU : 11</t>
  </si>
  <si>
    <t>SMAN 2 BAYAH : 288
L : 141
P : 121
GURU : 26</t>
  </si>
  <si>
    <t>SUWAKAN</t>
  </si>
  <si>
    <t>SPPG LEBAK BAYAH SUWAKAN</t>
  </si>
  <si>
    <t>R0MW2AH6</t>
  </si>
  <si>
    <t>Kampung Bantargadung Rt. 003 Rw. 003 Desa Suwakan, Kec. Bayah, Kab. Lebak, Banten</t>
  </si>
  <si>
    <t>MILPIN DIANSYA</t>
  </si>
  <si>
    <t xml:space="preserve">1. KB ARROHMAAN 12
L 7
P 3
GURU 3
</t>
  </si>
  <si>
    <t>1. PAUD ASSALAM 31
L 21
P 10
GURU 3
2. PAUD ALHASANAH 21
L 14
P 3
GURU 4
3. RA ARROHMAAN 32
L 14
P 16
GURU 4
4. RA MA GARUNG LEBAK 36
L 20
P 12
GURU 4
5. TK PGRI 2 BAYAH 41
L 16
P 21
GURU 4
6. TK PGRI 5 BAYAH 32
L 17
P 15
GURU 4
7. TK AISYIYAH 11
L 3
P 5
GURU 3</t>
  </si>
  <si>
    <t>1. MIN 2 LEBAK: 438
L: 214
P:178
GURU: 41
2. SDN 1 SUWAKAN: 111
L: 52
P: 50
GURU: 9
3. SDN 2 SUWAKAN: 106
L: 49
P: 47
GURU:10
4. SDN 3 SUWAKAN: 65
L: 34
P: 20
GURU: 11
5. SDN 2 BAYAH TIMUR: 84
L: 40
P: 35
GURU: 10
6. SDN 3 BAYAH TIMUR: 212
L: 103
P: 98
GURU: 11
7. SDN 1 PASIR GOMBONG: 32
L: 9
P: 14
GURU: 9
8. SDN 2 PASIR GOMBONG: 74
L: 35
P: 28
GURU 11
9. SDN 3 PASIR GOMBONG 106
L 60
P 36
GURU 10
10. MI MA GARUNG LEBAK 76
L 30
P 36
GURU 10</t>
  </si>
  <si>
    <t xml:space="preserve">1. SMPN 7 BAYAH 70
L 36
P 23
GURU 11
</t>
  </si>
  <si>
    <t>MAN 2 LEBAK:  531
L : 182
P :302
GURU: 47</t>
  </si>
  <si>
    <t>IBU HAMIL: 33</t>
  </si>
  <si>
    <t>IBU MENYUSUI: 96</t>
  </si>
  <si>
    <t>BALITA: 326</t>
  </si>
  <si>
    <t>SPPG Operasional</t>
  </si>
  <si>
    <t xml:space="preserve">SPPG Belum Operasional </t>
  </si>
  <si>
    <t xml:space="preserve"> kk</t>
  </si>
  <si>
    <t>Tanggal operasional</t>
  </si>
  <si>
    <t>Sukajadi</t>
  </si>
  <si>
    <t>SPPG LEBAK PANGGARANGAN SUKAJADI 1</t>
  </si>
  <si>
    <t>JRYZY9OT</t>
  </si>
  <si>
    <t>YAYASAN CAHAYA ANAGATA NUSANTARA</t>
  </si>
  <si>
    <t>KP.Sukasari Rt 01 Rw 04 Desa Sukajadi Kecamatan Panggarangan</t>
  </si>
  <si>
    <t>NAZRULY DWI WIJAYA</t>
  </si>
  <si>
    <t>087773345460</t>
  </si>
  <si>
    <t>KB ISLAMIC : 19</t>
  </si>
  <si>
    <t>1. TK KASIH BUNDA : 28
2. TK ISLAMIC : 21
3. TK KEMUNING : 36
4. TK HARAPAN BUNDA : 31
5. TK RATU MANDIRI : 13</t>
  </si>
  <si>
    <t>1. SDIT PM : 296
2. SDN 1 SUKAJADI : 127
3. SDN 2 SUKAJADI : 132
4. SDN 3 SUKAJADI : 128
5. SDN 1 SINDANGRATU : 202
6. SDN 2 SINDANGRATU : 69
7. SDN 1 HEGARMANAG : 111</t>
  </si>
  <si>
    <t>SMPN 1 PANGGARANGAN: 524</t>
  </si>
  <si>
    <t>SMAN 4 PANGGARANGAN : 200</t>
  </si>
  <si>
    <t>SPPG LEBAK PANGGARANGAN SUKAJADI 2</t>
  </si>
  <si>
    <t>Q7QKZC1C</t>
  </si>
  <si>
    <t>YAYASAN DAARUSA'ADAH LEBAK</t>
  </si>
  <si>
    <t>KP.Sukasari Rt 02 Rw 04 Desa Sukajadi Kecamatan Panggarangan</t>
  </si>
  <si>
    <t>IKBAL MUHAMMAD</t>
  </si>
  <si>
    <t xml:space="preserve">KB PUTRA MANDIRI : 37
</t>
  </si>
  <si>
    <t>TK MATHALUL ANWAR : 29
TK Pelita Cisiih : 33
TK Putra Mandiri : 30
TK DAAR EL-Falah : 38</t>
  </si>
  <si>
    <t xml:space="preserve">RA Mathalul Anwar : 25
RA Annajah : 28 </t>
  </si>
  <si>
    <t>KB PUTRA MANDIRI</t>
  </si>
  <si>
    <t>SDN 01 Situregen : 138
SDN 02 Situregen : 156
SDN 03 Situregen : 206
SDN 04 Situregen : 115
SDN 01 Cimandiri :139
SDN 02 Cimandiri : 173
SDN 03 Cimandiri : 111
MI MA Cipurun : 66</t>
  </si>
  <si>
    <t xml:space="preserve">MTS Mathalul Anwar Cisiih : 171 
SMP 5 Panggarangan : 254
</t>
  </si>
  <si>
    <t>SMA 3 Panggarangan : 203</t>
  </si>
  <si>
    <t>Panggarangan</t>
  </si>
  <si>
    <t>SPPG Lebak Panggarangan Panggarangan</t>
  </si>
  <si>
    <t>ZGEVUJ4B</t>
  </si>
  <si>
    <t>YAYASAN JAYA SEHAT NUSANTARA</t>
  </si>
  <si>
    <t>Kp.cikumpay/sukarena. RT 01. RW 05 
Desa. Panggaranagan
Kec. Panggarangam</t>
  </si>
  <si>
    <t>DEFRIANDI</t>
  </si>
  <si>
    <t xml:space="preserve"> </t>
  </si>
  <si>
    <t xml:space="preserve">TK PGRI 1 PANGGARANGAN :32  </t>
  </si>
  <si>
    <t>(SDN 2 MEKARJAYA :101)   (SDN 2 PANGGARANGAN :151)  (MIS NURUL HIDAYAH SUSUKAN :45)                                (SDN 1 MEKARJAYA :55)            (SDN 1 PANGGARANGAN :129)                             (SDN 4 MEKARJAYA :63)               (SDN 3 MEKARJAYA :136)  (SDN 5 MEKAR :52)</t>
  </si>
  <si>
    <t>(SMPN 2 PANGGARANGAN :278)                                            (SMP ISLAM AL-BASHRI BOARDING SCHOOL :125)</t>
  </si>
  <si>
    <t>(SMKN 1 Panggarangan :97)</t>
  </si>
  <si>
    <t>Hegarmanah</t>
  </si>
  <si>
    <t>SPPG Lebak Panggarangan Hegarmanah</t>
  </si>
  <si>
    <t>HTVYI3OL</t>
  </si>
  <si>
    <t xml:space="preserve">YAYASAN BERKAH MADANI MANDIRI </t>
  </si>
  <si>
    <t>Kp. Warung Huni RT 01. RW 01 Desa. Hegarmanah Kec. Panggarangan</t>
  </si>
  <si>
    <t>SONY</t>
  </si>
  <si>
    <t>081246060896</t>
  </si>
  <si>
    <t>TK BAHARI : 43, TK PGRI : 32</t>
  </si>
  <si>
    <t>RA AI-ABROR : 32</t>
  </si>
  <si>
    <t>SD 1 PANGGARANGAN : 129 SD 3 SINDANG RATU : 206     SD 4 SINDANG RATU : 110</t>
  </si>
  <si>
    <t>SMP 1 ATAP 6  : 105</t>
  </si>
  <si>
    <t xml:space="preserve">(SMAN 1 PANGGARANGAN : 406)  (SKH PURNAMA : 36) </t>
  </si>
  <si>
    <t>julio</t>
  </si>
  <si>
    <t>Harumsari</t>
  </si>
  <si>
    <t>SPPG Lebak Cipanas Harumsari</t>
  </si>
  <si>
    <t xml:space="preserve">5LZRXGN9 </t>
  </si>
  <si>
    <t>Yayasan Harapan Baru Bersama</t>
  </si>
  <si>
    <t xml:space="preserve">kampung Dukuh RT 03/RW 03 Desa Harumsari Kecamatan Cipanas Kabupaten Lebak Banten </t>
  </si>
  <si>
    <t>Maulida Robiyatun Annisa</t>
  </si>
  <si>
    <t>081377619838</t>
  </si>
  <si>
    <t>1.KB AULIA : 33
2. KB PERINTIS : 14</t>
  </si>
  <si>
    <t>1. TK PERINTIS : 86
2.. TK AL BASYIRIAH : 36</t>
  </si>
  <si>
    <t>1. RA MIFTAHUL HUDA : 26</t>
  </si>
  <si>
    <t>1. MIS Al Hidayah : 20
2. SDN 1 HARUMSARI : 268
3. SDN 1 MALANGSARI : 258
4. SDN 2 MALANGSARI : 127                                                                                       5. SDN 1 GIRILAYA : 114
6. MIS HIDAYATUL IKHWAN : 163</t>
  </si>
  <si>
    <t>1. MTSs BUSTANUL KHAIR : 150
2. SMPN 2 CIPANAS : 538</t>
  </si>
  <si>
    <t xml:space="preserve">1. SMAN 1 CIPANAS : 934
2. SMAS AL IZZAH : 219
</t>
  </si>
  <si>
    <t xml:space="preserve">1. WIJAYA KUSUMA 1 : 10
2. WIJAYA KUSUMA 2 : 12
3. WIJAYA KUSUMA 3 : 9
4. WIJAYA KUSUMA 4 : 4
</t>
  </si>
  <si>
    <t xml:space="preserve">1. WIJAYA KUSUMA 1 : 13
2. WIJAYA KUSUMA 2 : 13
3. WIJAYA KUSUMA 3 : 5
4. WIJAYA KUSUMA 4 : 4
</t>
  </si>
  <si>
    <t xml:space="preserve">1. WIJAYA KUSUMA 1 : 54
2. WIJAYA KUSUMA 2 : 76
3. WIJAYA KUSUMA 3 : 55
4. WIJAYA KUSUMA 4 : 46
</t>
  </si>
  <si>
    <t>CIPANAS</t>
  </si>
  <si>
    <t>SPPG LEBAK CIPANAS SIPAYUNG 1</t>
  </si>
  <si>
    <t>R2U5XY8T</t>
  </si>
  <si>
    <t>YAYASAN PUSDIKLAT VICTORY BOGOR</t>
  </si>
  <si>
    <t xml:space="preserve">Jl. Raya Rangkasbitung-Bogor, RT/RW 008/001, Sipayung, Cipanas, Lebak </t>
  </si>
  <si>
    <t xml:space="preserve">DIMAS RIHAN ADNI </t>
  </si>
  <si>
    <t>085215931812</t>
  </si>
  <si>
    <t>1. SDN 1 SIPAYUNG : 225</t>
  </si>
  <si>
    <t>1. MTSS DARUL MUSTAFA : 386</t>
  </si>
  <si>
    <t>1. SMKN 1 CIPANAS : 819
2. MAS DARUL MUSTAFA : 219</t>
  </si>
  <si>
    <t>1. TULIP 1 : 4
2. TULIP 2 : 8
3. TULIP 3 : 6
4. TULIP 4 : 2</t>
  </si>
  <si>
    <t>1. TULIP 1 : 47
2. TULIP 2 : 51
3. TULIP 3 : 42
4. TULIP 4 : 19</t>
  </si>
  <si>
    <t>1. TULIP 1 : 63
2. TULIP 2 : 78
3. TULIP 3 : 69
4. TULIP 4 : 29</t>
  </si>
  <si>
    <t>SIPAYUNG</t>
  </si>
  <si>
    <t>SPPG LEBAK CIPANAS SIPAYUNG 2</t>
  </si>
  <si>
    <t>Y5FNHOGG</t>
  </si>
  <si>
    <t>YAYASAN MUSLIM IMANI SAKINAH</t>
  </si>
  <si>
    <t>Kp. Lurah RT 001/RW 002 Desa.Sipayung Kec.Cipanas Kab.Lebak Prov.Banten Kodepos.42372</t>
  </si>
  <si>
    <t>CECE MUTAQIN</t>
  </si>
  <si>
    <t>081280222942</t>
  </si>
  <si>
    <t xml:space="preserve">
1. TK AR - RAHMAH : 18</t>
  </si>
  <si>
    <t xml:space="preserve">
1. PAUD YULOFA : 46
</t>
  </si>
  <si>
    <t xml:space="preserve">
1. SDN 2 BINTANGRESMI : 327
2. SDN 1 HAURGAJRUG : 173
3. SDN 2 HAURGAJRUG : 188</t>
  </si>
  <si>
    <t>1. SMP NURUL MADANY : 214
2. MTS HIDAYATUL ULA : 136</t>
  </si>
  <si>
    <t>1. SMA NURUL MADANY : 95
2. MA HIDAYATUL ULA : 119
3. SMK NURUL MADANY : 55</t>
  </si>
  <si>
    <t>1. HAURPUSAKA 1 : 7
2. HAUR PUSAKA 2 : 17
3. VINOLIA 2 : 8
4. VINOLIA 3 : 10
5. VINOLIA 5 : 3
6. VINOLIA 6 : 9
7. VINOLIA 7 : 5
TOTAL KELOMPOK IBU HAMIL : 59</t>
  </si>
  <si>
    <t>1. HAURPUSAKA 1 : 11
2. HAUR PUSAKA 2 : 35
3. VINOLIA 2 : 25
4. VINOLIA 3 : 24
5. VINOLIA 5 : 22
6. VINOLIA 6 : 23
7. VINOLIA 7 : 15
TOTAL KELOMPOK IBU MENYUSUI : 155</t>
  </si>
  <si>
    <t>1. HAURPUSAKA 1 : 55
2. HAUR PUSAKA 2 : 119
3. VINOLIA 2 : 104
4. VINOLIA 3 : 92
5. VINOLIA 5 : 65
6. VINOLIA 6 : 81
7. VINOLIA 7 : 35
TOTAL KELOMPOK BALITA : 551</t>
  </si>
  <si>
    <t>SPPG LEBAK CIPANAS CIPANAS</t>
  </si>
  <si>
    <t>QZYDFU2N</t>
  </si>
  <si>
    <t>YAYASAN ANAK BANGSA UNGGUL</t>
  </si>
  <si>
    <t>Jalan Raya Rangkasbitung-Bogor RT/RW 001/001 Desa Cipanas Kecamatan Cipanas, Lebak, Banten</t>
  </si>
  <si>
    <t>AHMAD AWALUDIN</t>
  </si>
  <si>
    <t>088809243759</t>
  </si>
  <si>
    <t xml:space="preserve">1.        TK PELITA BANGSA :50
2.        TK RIANGGAMA : 20
</t>
  </si>
  <si>
    <t>1.        RA ALMUAWANAH 41</t>
  </si>
  <si>
    <t xml:space="preserve">1.        PAUD ALGHOZALI : 37
2.        PAUD ALHUDA : 20
</t>
  </si>
  <si>
    <t xml:space="preserve">1.        SDN 1 CIPANAS :237
2.        SDN 2 CIPANAS : 154
</t>
  </si>
  <si>
    <t>1. SMPN 1 CIPANAS = 742
2. SMP ALMUJAHID = 42
3. SMP DAARUL HIDAYAH = 27</t>
  </si>
  <si>
    <t xml:space="preserve">
1. SMA ALMUJAHID = 76
2  MA DAARUL HIDAYAH = 12</t>
  </si>
  <si>
    <t>MELATI 1-6 : 47</t>
  </si>
  <si>
    <t>MELATI 1-6 : 80</t>
  </si>
  <si>
    <t xml:space="preserve">MELATI 1-6 : 433. </t>
  </si>
  <si>
    <t>MALANGSARI</t>
  </si>
  <si>
    <t>SPPG LEBAK CIPANAS MALANGSARI</t>
  </si>
  <si>
    <t>PGYBCMBE</t>
  </si>
  <si>
    <t>ANNUR DARUL MUHAJIR</t>
  </si>
  <si>
    <t>KP. Kadubitung, RT/RW. 003/001, Desa Malangsari, Kecamatan Cipanas, Kab Lebak-Banten</t>
  </si>
  <si>
    <t>SUPARMAN SALIM</t>
  </si>
  <si>
    <t>1. RA AL-IRSYADIYAH : 39
2. RA MIFTAHULHUDA: 66
3. RA ALLADUNIYAH : 25</t>
  </si>
  <si>
    <t xml:space="preserve">1. MI BANIKARIM : 116
2. SDN 1 SUKASARI : 153
3. SDN 2 SUKASARI : 224
4. SDN 3 SUKASARI : 256
</t>
  </si>
  <si>
    <t xml:space="preserve">1. MTS RIYADHUL MUTTAQIEN : 43 
2. MTS MIFTAHULHUDA : 137
3. MTS BANIKARIM : 245
4. MTS Utul Ilma         : 68
</t>
  </si>
  <si>
    <t xml:space="preserve">1. MA BANIKARIM: 197
2. MA UTUL ILMA  :43
3. SMK RIYADHUL MUTTAQIEN : 42
4. SMK KARIMA INSANI : 84
</t>
  </si>
  <si>
    <t>GIRIHARJA</t>
  </si>
  <si>
    <t>SPPG GIRIHARJA CIPANAS</t>
  </si>
  <si>
    <t>XGMAVSGP</t>
  </si>
  <si>
    <t>PONDOK PESANTREN BABUSYAFAAT</t>
  </si>
  <si>
    <t>Kampung Cigebrok RT.003/RW.001, Desa Giriharja, Kec. Cipanas, Kab. Lebak, Banten</t>
  </si>
  <si>
    <t>RAFLIAN AZRIEL RIFQI DWIYANTARA</t>
  </si>
  <si>
    <t xml:space="preserve">1. TK Daarul Ihya : 46
2. TK Pelita Harapan : 59
3. TK Giri Asih : 33
</t>
  </si>
  <si>
    <t>1. PAUD Al-Azhar : 36
2. PAUD Pura Indah : 41
3. PAUD Mutiara Kasih : 28
4. PAUD Faturrahman : 13
5. PAUD Al-Fardan : 55</t>
  </si>
  <si>
    <t>1. SDN 1 Giriharja : 289
2. SDN 2 Giriharja : 130
3. SDN Bintangsari 1 : 178
4. SDN 1 Jayapura : 356
5. SDN 2 Jayapura : 186
6. MIS Ibnu Kimin : 52</t>
  </si>
  <si>
    <t xml:space="preserve">1. SMPN 3 Cipanas : 236
2. SMPN 5 Cipanas : 174
</t>
  </si>
  <si>
    <t>1. MA Daarul Ihya : 100</t>
  </si>
  <si>
    <t xml:space="preserve">1. Kenanga 1: 15
2. Kenanga 2: 5
3. Kenanga 3: 3
4. Kenanga 4: 18
5. Anggrek 2: 8
6. Anggrek 3: 18
7. Anggrek 4: 10 
</t>
  </si>
  <si>
    <t xml:space="preserve">1. Kenanga 1: 40
2. Kenanga 2: 20
3. Kenanga 3: 7 
4. Kenanga 4: 30
5. Anggrek 2: 10
6. Anggrek 3: 10
7. Anggrek 4: 9 
</t>
  </si>
  <si>
    <t xml:space="preserve">1. Kenanga 1: 76
2. Kenanga 2: 51
3. Kenanga 3: 113
4. Kenanga 4: 148
5. Anggrek 2: 35
6. Anggrek 3: 43
7. Anggrek 4: 56
</t>
  </si>
  <si>
    <t>SPPG LEBAK CIPANAS LUHURJAYA</t>
  </si>
  <si>
    <t>KV1L616D</t>
  </si>
  <si>
    <t>DARUL KIROM</t>
  </si>
  <si>
    <t>KP. HAMBERANG, RT 5, RW. 3, DES. LUHURJAYA, KEC. CIPANAS, KAB. LEBAK, BANTEN</t>
  </si>
  <si>
    <t>MHD. ALWIN</t>
  </si>
  <si>
    <t>1. Tk Aisyiah : 32
2. Tk Talaga Warna : 30</t>
  </si>
  <si>
    <t>1. Paud Luhurjaya : 27
2. Paud Asyifa : 55</t>
  </si>
  <si>
    <t>1. SDN 1 Luhurjaya : 304
2. SDN 2 Luhurjaya : 102
3. SDN 1 Talagahiyang : 195
4. MiS Mathlaul Anwar: 251</t>
  </si>
  <si>
    <t>1. SMPS Mathlaul Hidayah : 48
2.SMPS Delta Cipanas : 60</t>
  </si>
  <si>
    <t>1. SMKS Mathlaul Hidayah : 39</t>
  </si>
  <si>
    <t>1. Mawar 1 : 10
2. Mawar 2 : 5
3. Mawar 3 : 12
4. Mawar 4 : 10
5. Mawar 5 : 7
6. Mawar 6 : 4
7. Mawar 7 : 11
8. Mawar 8 : 9
9. Melati 1 : 7
10. Melati 2 : 4
11. Melati 3 : 5</t>
  </si>
  <si>
    <t>1. Mawar 1 : 20
2. Mawar 2 : 20
3. Mawar 3 :35
4. Mawar 4 : 19
5. Mawar 5 : 5
6. Mawar 6 : 2
7. Mawar 7 : 19
8. Mawar 8 : 23
9. melati 1 : 26
10. melati 2: 24
11. Melati 3 : 14</t>
  </si>
  <si>
    <t xml:space="preserve">1. Mawar 1 : 72
2. Mawar 2 : 50
3. Mawar 3 : 110
4. Mawar 4 : 61
5. Mawar 5 : 29
6. Mawar 6 : 24
7. Mawar 7 : 70
8. Mawar 8 : 70
9. Melati 1 : 77
10. Melati 2 : 68
11. Melati 3 : 54
</t>
  </si>
  <si>
    <t>Cipanas</t>
  </si>
  <si>
    <t>SPPG LEBAK CIPANAS SIPAYUNG 3</t>
  </si>
  <si>
    <t>KPZNJGUM</t>
  </si>
  <si>
    <t xml:space="preserve">YAYASAN DAARUSA'ADAH LEBAK </t>
  </si>
  <si>
    <t>Kp. Babakan Pedes, Desa Sipayung, Cipanas, Lebak</t>
  </si>
  <si>
    <t>RICKONDAR SITUMORANG</t>
  </si>
  <si>
    <t xml:space="preserve">1. TK Miftahul Ula (72)            2. TK PGRI (34) </t>
  </si>
  <si>
    <t>PAUD SUBUSSALAM : 32</t>
  </si>
  <si>
    <t xml:space="preserve">1. SDN 3 CIPANAS (190)          2. SDN 3 BINTANGRESMI (196)  3. SD IT ALFARHAN (246) </t>
  </si>
  <si>
    <t xml:space="preserve">1. MTS Nurul Bina : 11               2. SMP S Al Farhan 42 </t>
  </si>
  <si>
    <t>1. SMAS AL FARHAN : 37</t>
  </si>
  <si>
    <t>1. Haurpustaka 3 : 9                  2. Haurpustaka 4 : 7                3. Vinolia 1 : 9                          4. Vinolia 4 : 9                          5. Bintangsari : 7</t>
  </si>
  <si>
    <t xml:space="preserve">1. Haurpustaka 3 : 19             2. Haurpustaka 4 : 32             3. Vinolia 1 : 25                        4. Vinolia 4 : 21                        5. Bintangsari 19 </t>
  </si>
  <si>
    <t xml:space="preserve">1. Haurpustaka 3 : 78             2. Haurpustaka 4 : 94             3. Vinolia 1 : 48                       4. Vinolia 4 : 48                        5. Bintangsari : 76 </t>
  </si>
  <si>
    <t xml:space="preserve">tanggal Operasional </t>
  </si>
  <si>
    <t>CIMINYAK</t>
  </si>
  <si>
    <t>SPPG LEBAK MUNCANG CIMINYAK 1</t>
  </si>
  <si>
    <t>9EDXIY0D</t>
  </si>
  <si>
    <t>YAYASAN MUTIARA MITRA WAHID</t>
  </si>
  <si>
    <t>Kp. Ciminyak, RT 07 RW 01, Desa Ciminyak, Kecamatan Muncang, Kabupaten Lebak, Provinsi Banten</t>
  </si>
  <si>
    <t>IDHATUSANTIYAH</t>
  </si>
  <si>
    <t>KB ASSALAM : 42   
KB PERMATA BUNDA : 51
KB MUTIARA BANGSA : 49
KB PELITA KOLBU : 53
KB DARUL FALAH : 82
KB AL MAHRI : 12
Jumlah : 289</t>
  </si>
  <si>
    <t>TK AULIA : 18
TK AL MAHRI : 46
Jumlah : 64</t>
  </si>
  <si>
    <t>DAUD AL INSYIRAH : 15
Jumlah : 15</t>
  </si>
  <si>
    <t>SDN 1 JAGARAKSA : 152
SDN 2 JAGARAKSA :110
SDN 1 CIKARANG : 342
SDN 2 CIMINYAK : 107
SDN 1 CIMINYAK : 344
SDN 1 LEUWICOO : 339
Jumlah : 1.394</t>
  </si>
  <si>
    <t>SMP 3 MUNCANG : 226
MTS MALNU : 55
SMP AL KAUTSAR : 111
MTS AL INSYIRAH : 71
MTS AL HIKAM  : 40
Jumlah : 503</t>
  </si>
  <si>
    <t>MA MALNU : 58
SMK AL KAUTSAR : 152 
MA AL INSYIRAAH : 92
Jumlah : 302</t>
  </si>
  <si>
    <t>POSYANDU DESA CIMINYAK 37
Jumlah : 37</t>
  </si>
  <si>
    <t>POSYANDU DESA CIMINYAK 82
Jumlah : 82</t>
  </si>
  <si>
    <t>POSYANDU DESA CIMINYAK : 208
Jumlah : 208</t>
  </si>
  <si>
    <t>SUKANAGARA</t>
  </si>
  <si>
    <t>SPPG LEBAK MUNCANG MUNCANG 1</t>
  </si>
  <si>
    <t>VZVRHZGO</t>
  </si>
  <si>
    <t>YAYASAN AL-AZKIYA</t>
  </si>
  <si>
    <t>Kp. Cirangrang RT 001 RW 001, Desa Sukanagara, Kec Muncang, Kab Lebak, Provinsi Banten 42364</t>
  </si>
  <si>
    <t>19 - 01 - 2026</t>
  </si>
  <si>
    <t>Fadhlani Satria Wiranda</t>
  </si>
  <si>
    <t>085155060645</t>
  </si>
  <si>
    <t>KB PURNAMA: 40</t>
  </si>
  <si>
    <t>TK AL-HASBY: 44</t>
  </si>
  <si>
    <t xml:space="preserve">PAUD USHULUDIN: 39
PAUD AL-IKHLAS: 18
</t>
  </si>
  <si>
    <t xml:space="preserve">SDN 1 SUKANAGARA: 319
SDN 2 SUKANAGARA: 102
SDN 2 MEKARWANGI: 199
</t>
  </si>
  <si>
    <t>SMPN 6 SATAP MUNCANG: 100
MTs ISLAMIYAH: 146</t>
  </si>
  <si>
    <t>SMAN 1 MUNCANG: 781</t>
  </si>
  <si>
    <t>POSYANDU DESA SUKANAGARA: 23
POSYANDU DESA MEKARWANGI: 20</t>
  </si>
  <si>
    <t>POSYANDU DESA SUKANAGARA: 75
POSYANDU DESA MEKARWANGI: 61</t>
  </si>
  <si>
    <t>POSYANDU DESA SUKANAGARA: 264
POSYANDU DESA MEKARWANGI: 288</t>
  </si>
  <si>
    <t>MUNCANG</t>
  </si>
  <si>
    <t>SPPG LEBAK MUNCANG, MUNCANG 02</t>
  </si>
  <si>
    <t>NUKPQVFR</t>
  </si>
  <si>
    <t>YAYASAN AL AZKIYA LEBAK</t>
  </si>
  <si>
    <t>Kp. Sakilo Desa Muncang Kec. Muncang Kab. Lebak-Banten 42364</t>
  </si>
  <si>
    <t>SUDAH-PROSES</t>
  </si>
  <si>
    <t>SHERLY SHISILIA</t>
  </si>
  <si>
    <t>KB CAHAYA INSANI : 41                KB  RIYADUL ATHFAL : 60         KB NURUL HIDAYAH : 28            KB AL HUJAJI : 75</t>
  </si>
  <si>
    <t>TK PGRI MUNCANG : 41             TK KAMILATUL INSANI  : 31</t>
  </si>
  <si>
    <t>SDN 1 MUNCANG : 148              SDN 2 MUNCANG : 250              SD IT AL AZKIYA : 87                   MIS AL HIDAYAH CIBUNAR : 70  MIS AL HIDAYAH NEGLASARI : 79</t>
  </si>
  <si>
    <t xml:space="preserve">SMPN 1 MUNCANG : 456           MTS AL HUDA : 98                      MTS DARUSSALAM : 78            SMP AL AZKIYA : 118 </t>
  </si>
  <si>
    <t>SMAS AL AZKIYA : 79</t>
  </si>
  <si>
    <t xml:space="preserve"> POSYANDU DEWI SARTIKA: 8 ;  POSYANDU KARYA MEKAR: 11; POSYANDU MEKARSARI: 8; POSYANDU SINGA: 5; POSYANDU MERPATI: 30; POSYANDU KIJANGMAS: 15; POSYANDU MERAK: 6</t>
  </si>
  <si>
    <t>POSYANDU DEWI SARTIKA: 23; POSYANDU KARYA MEKAR: 24; POSYANDU MEKARSARI: 43; POSYANDU SINGA: 7; POSYANDU MERPATI: 15; POSYANDU KIJANGMAS: 10; POSYANDU MERAK: 15</t>
  </si>
  <si>
    <t>POSYANDU DEWI SARTIKA: 75;  POSYANDU KARYA MEKAR: 60; POSYANDU MEKARSARI: 84; POSYANDU SINGA: 60; POSYANDU MERPATI: 57; POSYANDU KIJANGMAS: 80; POSYANDU MERAK: 40</t>
  </si>
  <si>
    <t>SPPG LEBAK MUNCANG CIMINYAK 2</t>
  </si>
  <si>
    <t>VHCXX1P7</t>
  </si>
  <si>
    <t>YAYASAN MITRA LEBAK MANDIRI</t>
  </si>
  <si>
    <t>Kp. Ciminyak, RT 05 RW 01, Desa Ciminyak, Kecamatan Muncang, Kabupaten Lebak-Provinsi Banten 42364</t>
  </si>
  <si>
    <t>SANGGAM FERNANDO NAIBAHO</t>
  </si>
  <si>
    <t xml:space="preserve">KB AL-MUBAROQ : 19            KB AL-MUBTADIN : 26            KB MUALAF AL-HIDAYAH : 32            KB MUTIARA INSANI : 62            KB AL-HIDAYAH : 16                     KB NURUSYBAN : 44                            KB PERMATA INDAH : 52 </t>
  </si>
  <si>
    <t>TK AL MUBAROQ : 36</t>
  </si>
  <si>
    <t>PAUD CAHAYA PAGI : 15</t>
  </si>
  <si>
    <t>MI MATLAUL ANWAR : 75        MI AL-MUAWANAH : 25  SDN 1 TANJUNGWANGI : 161  SDN 2 TANJUNGWANGI : 251 SDN 2 SINDANGWANGI : 194 SDN 1 MEKARWANGI : 128</t>
  </si>
  <si>
    <t xml:space="preserve">SMPN 5 MUNCANG : 117  SMPN 7 MUNCANG : 97  MTS MAULANA YUSUF : 99 </t>
  </si>
  <si>
    <t>SMAN 2 MUNCANG : 142  MA MAULANA YUSUF : 80</t>
  </si>
  <si>
    <t>POSYANDU DESA LEUWI COO : 27                                                                                       DESA TANJUNGWANGI : 47</t>
  </si>
  <si>
    <t>POSYANDU DESA LEUWI COO : 46                                                                            DESA TANJUNGWANGI : 42</t>
  </si>
  <si>
    <t>POSYANDU DESA LEUWI COO : 169                                                                            DESA TANJUNGWANGI : 270</t>
  </si>
  <si>
    <t>SUKANEGARA</t>
  </si>
  <si>
    <t>9H7IUQ8C</t>
  </si>
  <si>
    <t>MATHLA UL HIDAYAH</t>
  </si>
  <si>
    <t>Jl. Raya Muncang, Desa Sukanagara, Kec. Muncang, Kab. Lebak Banten</t>
  </si>
  <si>
    <t>Proses Persiapan</t>
  </si>
  <si>
    <t>DESA JAGARAKSA</t>
  </si>
  <si>
    <t>PROSES MELENGKAPI PERALATAN DAPUR</t>
  </si>
  <si>
    <t>DESA GIRIJAGABAYA</t>
  </si>
  <si>
    <t>DESA SINDANGWANGI</t>
  </si>
  <si>
    <t>DESA PASIREURIH</t>
  </si>
  <si>
    <t>DESA PASIR NANGKA</t>
  </si>
  <si>
    <t>Cilangkahan</t>
  </si>
  <si>
    <t>SPPG LEBAK MALINGPING CILANGKAHAN 1</t>
  </si>
  <si>
    <t>7P30IWUR</t>
  </si>
  <si>
    <t>YAYASAN POROS AKSI WARGA NYATA</t>
  </si>
  <si>
    <t>Jl. Bayah Km 04, Kampung Jati, Rt 07 Rw 02 Desa Cilangkahan, Kec. Malingping, Kab. Lebak, Banten</t>
  </si>
  <si>
    <t>12 Januari 2026</t>
  </si>
  <si>
    <t>ENDO SUPIANTO</t>
  </si>
  <si>
    <t>082112161248</t>
  </si>
  <si>
    <t>KB DAARUL HUDA = 24
KB ARRAUDHAH CAHAYA IMAN = 22</t>
  </si>
  <si>
    <t>TK AL KAUTSAR = 44</t>
  </si>
  <si>
    <t xml:space="preserve">SDN MALINGPING CILANGKAHAN 1 = 238
SDN MALINGPING CILANGKAHAN 2 = 261
MI MATHLA’UL ANWAR CILANGKAHAN = 90
SDN 2 MALINGPING SELATAN = 113
MIS FATIH ASSALAM CENDIKIA = 61
</t>
  </si>
  <si>
    <t>SMA NEGERI 1 MALIANGPING = 1180</t>
  </si>
  <si>
    <t>Posyandu Simpang = 7
Posyandu Talanca = 2
Posyandu POM = 6
Posyandu Jati Waras = 9
Posyandu Cilangkahan = 5
Posyandu Pasir Gedong = 8
Posyandu Cipinang = 6
Posyandu Kaungcaniran = 3
Posyandu Sabrang = 13
Jumlah Ibu Hamil = 59</t>
  </si>
  <si>
    <t xml:space="preserve">Posyandu Simpang = 22
Posyandu Talanca = 5
Posyandu POM = 12
Posyandu Jati Waras = 9
Posyandu Cilangkahan = 19
Posyandu Pasir Gedong = 9
Posyandu Cipinang = 6
Posyandu Kaungcaniran = 7
Posyandu Sabrang = 25
Jumlah Ibu Menyusui = 114
</t>
  </si>
  <si>
    <t xml:space="preserve">Posyandu Simpang = 40
Posyandu Talanca = 11
Posyandu POM = 27
Posyandu Jati Waras = 34
Posyandu Cilangkahan = 33
Posyandu Pasir Gedong = 48
Posyandu Cipinang = 52
Posyandu Kaungcaniran = 37
Posyandu Sabrang = 42
Jumlah Balita = 324
</t>
  </si>
  <si>
    <t>Dari Setiap Jumlah Penerima Manfaat di setiap sekolah sudah termasuk Guru &amp; Tenaga Kependidikan. Namun Kadangkala sewaktu-waktu bisa berubah Penambahan Penerima Manfaat. Dikarenakan Perpindahan siswa/siswi.</t>
  </si>
  <si>
    <t>PAGELARAN</t>
  </si>
  <si>
    <t>SPPG Lebak Malingping Pagelaran</t>
  </si>
  <si>
    <t>HU8HGCHX</t>
  </si>
  <si>
    <t>YAYASAN BERKAH MADANI MANDIRI</t>
  </si>
  <si>
    <t>Jl. Raya Bayah Nambo Rt.004 Rw.001 Desa Pagelaran, Kec. Malingping, Kab. Lebak, Banten</t>
  </si>
  <si>
    <t>MOH. NURDOIN</t>
  </si>
  <si>
    <t>087808944337</t>
  </si>
  <si>
    <t>KB LESTARI = 37</t>
  </si>
  <si>
    <t xml:space="preserve">TK SEJAHTERA VII = 26
</t>
  </si>
  <si>
    <t xml:space="preserve">	
RA DAAR EL KARIM = 44	
RA MATLAUL ANWAR PAGELARAN = 33	
RA/BA/TA MATHLAUL ANWAR ALHASANAH = 40	
</t>
  </si>
  <si>
    <t xml:space="preserve">SDN 1 PAGELARAN = 228
SDN 3 PAGELARAN = 149
MIS MATLAUL ANWAR PAGELARAN = 169
SDN 4 PAGELARAN = 98
SD SKH ARAFFAT = 10
</t>
  </si>
  <si>
    <t xml:space="preserve">MTS MAULANA YUSUF = 91
MTS DAAR EL KARIM = 74
MTs MAULANA YUSUF CIPEDANG = 21
MTS NURUL HIDAYAH PEUCANGPARI =33
SMP SKH ARAFFAT = 6
</t>
  </si>
  <si>
    <t xml:space="preserve">MAS MAULANA YUSUF = 89
SMAS DAAR EL KARIM = 70
MA MAULANA YUSUF CIPEDANG = 19
SMA SKH ARAFFAT = 10
SMKN 1  MALINGPING = 1012
</t>
  </si>
  <si>
    <t xml:space="preserve"> POSYANDU AN-NUR = 6
 POSYANDU AR-ROHMAN = 6
 POSYANDU AL-HUDA = 8
POSYANDU AL-MULKI = 3
POSYANDU AR-ROHIM = 1
POSYANDU At-Ataqwa = 7
 POSYANDU AL-BASYIR= 5
POSYANDU AS-SALAM  = 1
POSYANDU AL-AZIZ = 1
</t>
  </si>
  <si>
    <t xml:space="preserve">POSYANDU AN-NUR =  7
 POSYANDU AR-ROHMAN = 11
 POSYANDU AL-HUDA = 14
POSYANDU AL-MULKI = 3
POSYANDU AR-ROHIM = 2
POSYANDU At-Ataqwa = 4
 POSYANDU AL-BASYIR= 2
POSYANDU AS-SALAM  = 2
POSYANDU AL-AZIZ = 4
</t>
  </si>
  <si>
    <t xml:space="preserve">POSYANDU AN-NUR =  70
 POSYANDU AR-ROHMAN = 103
 POSYANDU AL-HUDA = 103
POSYANDU AL-MULKI = 47
POSYANDU AR-ROHIM = 22
POSYANDU At-Ataqwa = 54
 POSYANDU AL-BASYIR= 43
POSYANDU AS-SALAM  = 28
POSYANDU AL-AZIZ = 14
</t>
  </si>
  <si>
    <t>Jumlah seluruh Penerima Manfaat setiap sekolah sudah termasuk Guru &amp; Tenaga Kependidikan, Namun Kadangkala sewaktu-waktu bisa berubah Penambahan Penerima Manfaat. Dikarenakan Perpindahan siswa/siswi.</t>
  </si>
  <si>
    <t>Sukaraja</t>
  </si>
  <si>
    <t>SPPG Lebak Malingping Sukaraja</t>
  </si>
  <si>
    <t>CUL4LEDP</t>
  </si>
  <si>
    <t>YAYASAN MULIA BHAKTI NEGERI</t>
  </si>
  <si>
    <t>Kp. Sukamulang, RT 03, RW 01, Desa Sukaraja, Kec. Malingping, Kab. Lebak, Prov. Banten</t>
  </si>
  <si>
    <t>TEGAR GUNAWAN</t>
  </si>
  <si>
    <t>085608720870</t>
  </si>
  <si>
    <t xml:space="preserve">1. KB Al - Hidayah 2 : 49
2. KB Abdillah : 25
3. KB Al - Hidayah : 26
4. KB Al - Ikhlas Hidayatul Farihah : 41
</t>
  </si>
  <si>
    <t>1. TK Pelita 1 Malingping : 87</t>
  </si>
  <si>
    <t>1. RA Al - Ishlah : 44</t>
  </si>
  <si>
    <t>1. PAUD Tunas Bangsa : 40</t>
  </si>
  <si>
    <t>1. SDN 1 Sukaraja : 233
2. SDN 2 Sukaraja : 213
3. SDN 3 Sukaraja : 149
4. SDN 4 Sukaraja : 138
5. MI AL - ISHLAH Sukamulang : 115
6. MI Mathla’ul Anwar : 419
7. MI Nurul Hidayah Polotot : 72</t>
  </si>
  <si>
    <t xml:space="preserve">1. SMP IT AL - QUDWAH 2 : 69
2. MTS Nurul Hidayah Kandang Palon : 128
</t>
  </si>
  <si>
    <t>1. SMA DARUL KUTUB ( AL - QUDWAH ) : 32</t>
  </si>
  <si>
    <t xml:space="preserve">1. Posyandu Mirabilis : 16
2. Posyandu Berkah : 8
3. Posyandu Adinda : 10
4. Posyandu Melati : 18
5. Posyandu Anggrek : 3
6. Posyandu Mawar : 5
7. Posyandu Anyelir : 6
8. Posyandu Dahlia : 7
</t>
  </si>
  <si>
    <t xml:space="preserve">1. Posyandu Mirabilis : 51
2. Posyandu Berkah : 30
3. Posyandu Adinda : 40
4. Posyandu Melati : 66
5. Posyandu Anggrek : 18
6. Posyandu Mawar : 15
7. Posyandu Anyelir : 50
8. Posyandu Dahlia : 22
</t>
  </si>
  <si>
    <t xml:space="preserve">1. Posyandu Mirabilis : 103
2. Posyandu Berkah : 81
3. Posyandu Adinda : 76
4. Posyandu Melati : 149
5. Posyandu Anggrek : 46
6. Posyandu Mawar : 57
7. Posyandu Anyelir : 71
8. Posyandu Dahlia : 64
</t>
  </si>
  <si>
    <t>Malingping Utara</t>
  </si>
  <si>
    <t>SPPG Lebak Malingping Malingping Utara</t>
  </si>
  <si>
    <t xml:space="preserve"> Z8NEJRFX </t>
  </si>
  <si>
    <t>YAYASAN AL-MIFTAH</t>
  </si>
  <si>
    <t>Kp.cinagrog Rt/Rw 009/004 Ds.Maligping Utara Kec.Malingping Kab.Lebak Prov.Banten</t>
  </si>
  <si>
    <t>08 Januari 2026</t>
  </si>
  <si>
    <t>CICA CAHAYA DAMAYANTI</t>
  </si>
  <si>
    <t>085694727663</t>
  </si>
  <si>
    <t>2.913</t>
  </si>
  <si>
    <t xml:space="preserve">TK AL-KAUTSAR: 54, TK AL-FASHIH: 57, </t>
  </si>
  <si>
    <t>RA MIFTAHUL HUDA 59</t>
  </si>
  <si>
    <t>1. MIS MA CILANGKAHAN/CIBOGO: 41
2. MI NURUL HIDAYAH CITEUREUP: 205
3. SDN 2 MALINGPING UTARA: 115
4. MI/MA GIRILAYA: 40
5. MI AL-MIFTAH CINAGROG: 48
6. MIS NURUL HIDAYAH BABAKAN JAHA: 142
7. SDN 1 MALINGPING UTARA: 452
8. SDN 2 SANGIANG: 193
9. SDN 3 MALINGPING UTARA: 325</t>
  </si>
  <si>
    <t>1. MTS AL-MIFTAH CINAGROG: 39
2. MTS NURUL HIDAYAH CITEUREUP RAHONG: 123
3. SMP 4 MALINGPING UTARA: 185</t>
  </si>
  <si>
    <t>1. POSYANDU ANGGREK 5
2. POSYANDU MATAHARI 3
3. POSYANDU  SUKASEHAT 14
4. POSYANDU KAUM PAMILY 8
5. POSYANDU MELATI 11
6. POSYANDU MAWAR 9
7. POSYANDU TULIP 3
8. POSYANDU ASYIFA 7
9. POSYANDU PANGHEGAR 10</t>
  </si>
  <si>
    <t xml:space="preserve">
1. POSYANDU ANGGREK 16
2. POSYANDU MATAHARI 24
3. POSYANDU  SUKASEHAT 22
4. POSYANDU KAUM PAMILY 22
5. POSYANDU MELATI 14
6. POSYANDU MAWAR 17
7. POSYANDU TULIP 9
8. POSYANDU ASYIFA 9
9. POSYANDU PANGHEGAR 13</t>
  </si>
  <si>
    <t>1. POSYANDU ANGGREK 59 (L:34 P:25)
2. POSYANDU MATAHARI 72 (L;34 P;38)
3. POSYANDU  SUKASEHAT 58 (L:34 P:27)
4. POSYANDU KAUM PAMILY 66 (L;37 P;29)
5. POSYANDU MELATI 56 (L:28 P:28)
6. POSYANDU MAWAR 98 (L:44 P:54)
7. POSYANDU TULIP 33 (L:17 P:16)
8. POSYANDU ASYIFA 65 (L:37 P:28)
9. POSYANDU PANGHEGAR 72 (L;40 P;32)</t>
  </si>
  <si>
    <t xml:space="preserve">
Dari Setiap Jumlah Penerima Manfaat di setiap sekolah sudah termasuk Guru &amp; Tenaga Kependidikan. Namun Kadangkala sewaktu-waktu bisa berubah Penambahan Penerima Manfaat. Dikarenakan Perpindahan siswa/siswi.</t>
  </si>
  <si>
    <t>Rahong</t>
  </si>
  <si>
    <t>SPPG Lebak Malingping Rahong</t>
  </si>
  <si>
    <t>KADM6KOK</t>
  </si>
  <si>
    <t>YAYASAN TEKAD HARMONI CEMERLANG</t>
  </si>
  <si>
    <t>Jl. Raya Malingping - Saketi, Kp. Sukajadi RT 013/RW 004, Desa Rahong,Kec. Malingping, Kab. Lebak, Prov. Banten 42391.</t>
  </si>
  <si>
    <t>DAVITTO LATANDO</t>
  </si>
  <si>
    <t>1. TK AS SHAHABAH: 80</t>
  </si>
  <si>
    <t>1. PAUD HASRAT MANDIRI: 29</t>
  </si>
  <si>
    <t>1. SDN 1 RAHONG: 212
2. SDN 1 MALINGPING SELATAN: 201
3. SDN 1 BOLANG: 236
4. SDN 3 BOLANG: 153
5. SDN 1 SANGIANG:158
6. MI MA BOLANG: 132
7. MI MA PASIR HAUR: 74</t>
  </si>
  <si>
    <t>SPPG LEBAK MALINGPING CILANGKAHAN 3</t>
  </si>
  <si>
    <t xml:space="preserve">
LU1LYYNK</t>
  </si>
  <si>
    <t xml:space="preserve">YAYASAN AMANAH PERMAS AGUNG </t>
  </si>
  <si>
    <t>Kampung Simpang RT/RW :01/01, Desa cilangkahan, Kecamatan Malingping, Kabupaten Lebak, Banten.</t>
  </si>
  <si>
    <t xml:space="preserve">Sudah Operasional </t>
  </si>
  <si>
    <t xml:space="preserve">Ichsan Maulana </t>
  </si>
  <si>
    <t xml:space="preserve">
</t>
  </si>
  <si>
    <t>1. TK MATLAUL ANWAR :82</t>
  </si>
  <si>
    <t xml:space="preserve">1.    KB Lestari : 37
2.    RA Shidqin Aliyya Gembrong : 29
3.    RA Shidqin Aliyya Pasir Geleng : 26
4.    RA Shidqin Aliyya Cilangkahan : 19
5.    RA Shidqin Aliyya Pagelaran : 42
6.    RA MA Al-Hasanah : 40
7.    RA MA Cikoranji : 18
</t>
  </si>
  <si>
    <t>1.    SD IT MATLAUL ANWAR : 391
2.    SDN 2 Pagelaran : 98
3.    SDN 2 Kersaratu : 64
4.    MI MA Cikoranji : 16
5.    MIS MA Gembrong : 94</t>
  </si>
  <si>
    <t xml:space="preserve">1.    SMP IT MATLAUL ANWAR :  218
2.    ⁠MTSS MATLAUL ANWAR :  139
3.    MTS NURUL HIDAYAH :  362
4.    SMPN 5 Satu Atap Malingping : 97
5.    MTS Maulana Yusuf Pagelaran : 21
</t>
  </si>
  <si>
    <t xml:space="preserve">1. MAS MATLAUL ANWAR :  79
2. ⁠MA NURUL HIDAYAH:  113
3. MA Maulana Yusuf Pagelaran : 19
</t>
  </si>
  <si>
    <t xml:space="preserve">1.        3B Buah Hati 1 : 5
2.        3B Buah Hati 2 : 1
3.        3B Cikeusik Lebak : 9
4.        3B Cikeusik Timur : 1
5.        3B Lebak Lame : 14
6.        3B Polotot : 1
7.        3B Lebak Jaha : 3
8.        3B Tulib : 4
</t>
  </si>
  <si>
    <t xml:space="preserve">1.        3B Buah Hati 1 : 9
2.        3B Buah Hati 2 : 9
3.        3B Cikeusik Lebak : 17
4.        3B Cikeusik Timur : 24
5.        3B Lebak Lame :18
6.        3B Polotot : 8
7.        3B Lebak Jaha : 5
8.        3B Tulib :12
</t>
  </si>
  <si>
    <t xml:space="preserve">1.        3B Buah Hati 1 : 50 
2.        3B Buah Hati 2 : 36
3.        3B Cikeusik Lebak : 40
4.        3B Cikeusik Timur : 45
5.        3B Lebak Lame : 50
6.        3B Polotot : 28
7.        3B Lebak Jaha : 46
8.        3B Tulib : 24
</t>
  </si>
  <si>
    <t>Data PM Siswa sudah dengan guru dan tenaga pendidik yang sewaktu waktu bisa berubah.</t>
  </si>
  <si>
    <t>SPPG Lebak Malingping Cilangkahan 2</t>
  </si>
  <si>
    <t>NNFFW5YR</t>
  </si>
  <si>
    <t>Yayasan Pondok Pesantren Babu Syafaat</t>
  </si>
  <si>
    <t>Kampung Jati Raya Rt 05 Rw 02 Desa Cilangkahan, Kec. Malingping, Kab. Lebak, Banten</t>
  </si>
  <si>
    <t>27 januari 2026</t>
  </si>
  <si>
    <t>Pradana Nabil Ramadhan</t>
  </si>
  <si>
    <t xml:space="preserve">     1.  KB JAMIYATUL MUBTADI CIBAYAWAK : 45                              </t>
  </si>
  <si>
    <t xml:space="preserve">TK Riyadul Ilmi : 29 </t>
  </si>
  <si>
    <t xml:space="preserve">RA.Fatih Assalam Cendikia : 28 </t>
  </si>
  <si>
    <t>MIS Matlaul Anwar Sukamanah : 121</t>
  </si>
  <si>
    <t xml:space="preserve">1.SMPN 1 Malingping: 902  2. SMP ISLAM JAMIYYATUL MUBTADI CIBAYAWAK   : 340   3. SMP 6 Malimping : 423                          </t>
  </si>
  <si>
    <t>MA JAMIYATUL MUBTADI CIBAYAWAK : 98</t>
  </si>
  <si>
    <t>POSYANDU DESA SUKAMANAH: 92</t>
  </si>
  <si>
    <t>POSYANDU DESA SUKAMANAH : 231</t>
  </si>
  <si>
    <t xml:space="preserve">POSYANDU DESA SUKAMANAH : 357 </t>
  </si>
  <si>
    <t>sumberwaras (sukatani)</t>
  </si>
  <si>
    <t xml:space="preserve">SPPG LEBAK MALINGPING SUMBERWARAS 2 </t>
  </si>
  <si>
    <t>JKNNX0QY</t>
  </si>
  <si>
    <t>yayasan cahaya tunas bakti bogor</t>
  </si>
  <si>
    <t>kp.sukatani RT/RW 006/002 Des.sumberwaras, Kec.malingping, Kab.Lebak, Prov.Banten</t>
  </si>
  <si>
    <t xml:space="preserve">SUDAH </t>
  </si>
  <si>
    <t>Abdul khairi</t>
  </si>
  <si>
    <t>0822-9729-1584</t>
  </si>
  <si>
    <t xml:space="preserve">1.MABDAUL ULUM : 50
2.TUBAGUS AN-NUR : 18
3.JOPANIKA AL-FATAH :51
4.AL-FAKHIR : 61
5.ISLAM AS-SYAKIRIN : 42
</t>
  </si>
  <si>
    <t>1.SEJAHTERA VIII :41</t>
  </si>
  <si>
    <t>1.SDN 1 SENANG HATI : 135
2. SDN 1 CIPEUNDEUY : 120
3. SDN 2 CIPEUNDEUY : 125
4. SDN 3 CIPEUNDEUY : 226
2. MA CILAJIM : 82
3. MATHLAUL ANWAR SOMPOK : 90
4. MATHLAUL ANWAR PEUJEH : 42
5. MATHLAUL ANWAR CILANGKAP : 55
6. ⁠MTS NURUL HIDAYAH : 362
7. ⁠MA NURUL HIDAYAH: 113</t>
  </si>
  <si>
    <t>1. SMPN 2 MALINGPING : 201</t>
  </si>
  <si>
    <t>Sumberwaras</t>
  </si>
  <si>
    <t>SPPG Lebak Malingping Sumberwaras</t>
  </si>
  <si>
    <t>WASDNZOK</t>
  </si>
  <si>
    <t>Yayasan Berkah Mandiri Madani</t>
  </si>
  <si>
    <t>Jl. Raya Saketi Malingping Rt.001 Rw.006 Desa Sumber Waras, Kec.Malingping, Kab. Lebak, Banten</t>
  </si>
  <si>
    <t>Mahlil</t>
  </si>
  <si>
    <t>085277491033</t>
  </si>
  <si>
    <t xml:space="preserve">1. SDN 1 SUMBERWARAS : 294
2. SDN 2 SUMBERWARAS : 182
3. MIS MA Langgong : 139
4. MIS Mathlaul Anwar Canali : 76
5. SDN 2 BOLANG : 244
</t>
  </si>
  <si>
    <t xml:space="preserve">1. SMP AL MUNIB : 87
2. MTS MATHLAUL ANWAR BOLANG : 163
</t>
  </si>
  <si>
    <t xml:space="preserve">1. SMAN 2 MALINGPING : 441
2. SMK Kopti Malingping : 88
</t>
  </si>
  <si>
    <t>Posyandu Desa Sumberwaras : 40</t>
  </si>
  <si>
    <t>Posyandu Desa Sumberwaras : 152</t>
  </si>
  <si>
    <t>Posyandu Desa Sumberwaras : 554</t>
  </si>
  <si>
    <t>Jumlah Penerima Manfaat termasuk guru dan tenaga pendidik (tendik) sewaktu-waktu dapat berubah</t>
  </si>
  <si>
    <t xml:space="preserve">cilangkahan </t>
  </si>
  <si>
    <t>SPPG Lebak Malingping Cilangkahan 4</t>
  </si>
  <si>
    <t>X16YP2W6</t>
  </si>
  <si>
    <t xml:space="preserve">yayasan Pondok Pesantren Babu Syafaat </t>
  </si>
  <si>
    <t>Kp. Pasir Geleng RT 02/RW01 Desa Cilangkahan. Kecamatan Malingping, Kabupaten Lebak. Banten</t>
  </si>
  <si>
    <t>24 februari 2026</t>
  </si>
  <si>
    <t xml:space="preserve">Aditya Nugraha </t>
  </si>
  <si>
    <t>085727460938</t>
  </si>
  <si>
    <t>1. KB RAMDHANI : 34
2.KB HARAPAN BUNDA : 32
3.KB MELATI : 20
4. KB DARUL HUDA KERSARATU : 18</t>
  </si>
  <si>
    <t>1. RA ARRAID : 32</t>
  </si>
  <si>
    <t xml:space="preserve">1. SDN 2 KADUJAJAR : 88
2. SDN 1 KADUJAJAR : 259
3. SDN 3 KADUJAJAR : 119
4. SDN 1 KERSARATU : 126
5. SDN 1 SUKAMANAH : 332
6. MIS ANWARUL MASALIK : 55
7. MIS NURUL HIDAYAH KONDANG: 29
8. MIS NURUL HIDAYAH SAKEPANG : 72
9. MIS NURUL HIDAYAH CIPEUNDEUY PASIR : 46
</t>
  </si>
  <si>
    <t>1. SMP TERPADU NURUL HIKMAH  : 121
2. MTS ANWARUL MASALIK  : 53
3. SMP 3 NEGERI SATU ATAP MALINGPING  : 148</t>
  </si>
  <si>
    <t>1. SMK TERPADU NURUL HIKMAH : 45
2. MAS ANWARUL MASALIK : 71
3. SMK NEGERI 2 MALINGPING : 147
4. SKHN LEBAK 03 : 110</t>
  </si>
  <si>
    <t>posyandu desa kadujajar : 60</t>
  </si>
  <si>
    <t>posyandu desa kadujajar : 121</t>
  </si>
  <si>
    <t>posyandu desa kadujajar : 544</t>
  </si>
  <si>
    <t>posyandu desa kadujajar : 108</t>
  </si>
  <si>
    <t>CISIMEUT</t>
  </si>
  <si>
    <t>SPPG LEBAK LEUWIDAMAR CISIMEUT 1</t>
  </si>
  <si>
    <t>235PPVOVI</t>
  </si>
  <si>
    <t>YAYASAN CIPTA BANGSA SEJAHTERA</t>
  </si>
  <si>
    <t>KP. SINDANGRERET DES. CISIMEUT KEC. LEUWIDAMAR KAB. LEBAK BANTEN</t>
  </si>
  <si>
    <t>14 JANUARI 2026</t>
  </si>
  <si>
    <t>MUHAMAD WAHDA ROSAD</t>
  </si>
  <si>
    <t>085891006923</t>
  </si>
  <si>
    <t>1. SDN 1 CISIMEUT : 322
2. SDN 2 CISIMEUT : 425</t>
  </si>
  <si>
    <t>1. SMPN 2 LEUWIDAMAR : 599</t>
  </si>
  <si>
    <t>1. SMAN 2 LEUWIDAMAR : 548</t>
  </si>
  <si>
    <t>1. POSYANDU DAHLIA 1 :  13
2. POSYANDU DAHLIA 2 : 17
3. POSYANDU DAHLIA 6 : 6</t>
  </si>
  <si>
    <t>1. POSYANDU DAHLIA 1 :  20
2. POSYANDU DAHLIA 2 : 51
3. POSYANDU DAHLIA 6 : 5</t>
  </si>
  <si>
    <t>1. POSYANDU DAHLIA 1 :  68
2. POSYANDU DAHLIA 2 : 156
3. POSYANDU DAHLIA 6 : 39</t>
  </si>
  <si>
    <t>WANTISARI</t>
  </si>
  <si>
    <t>SPPG LEBAK LEUWIDAMAR WANTISARI</t>
  </si>
  <si>
    <t>GKA2X3R7</t>
  </si>
  <si>
    <t>YAYASAN BUANA PANGAN SEJAHTERA</t>
  </si>
  <si>
    <t>KP. WANTI DESA WANTISARI KEC. LEUWIDAMAR KAB. LENAK-BANTEN</t>
  </si>
  <si>
    <t>19 Agustus 2025</t>
  </si>
  <si>
    <t>RAPIYUDIN</t>
  </si>
  <si>
    <t>085894193294</t>
  </si>
  <si>
    <t>1. KB AL IZZA : 25</t>
  </si>
  <si>
    <t xml:space="preserve">1. TKQ AL-MUJTABA :  39
2. TK PELITA : 29
</t>
  </si>
  <si>
    <t>1. RA WANTISARI : 28</t>
  </si>
  <si>
    <t>1. PAUD AL HIDAYAH : 24                 2. PAUD DAHLIA AL HIDAYAH : 15</t>
  </si>
  <si>
    <t>1. SDN 1 WANTISARI : 139                                   4. SDN 2 LEBAK PARAHIANG : 105                                                         5. MIN 1 LEBAK : 436                              6. MI NURUL IMAN : 89                      7. MI AL WATHON : 60                        8. SD PLUS AL MUJTABA : 58</t>
  </si>
  <si>
    <t xml:space="preserve">1. SMPN 1 LEUWIDAMAR : 577       2. MTS AL HIDAYAH : 134                </t>
  </si>
  <si>
    <t>1. MA AL HIDAYAH : 110</t>
  </si>
  <si>
    <t>B3 Desa Wantisari
1. Posyandu Kenanga : 2
2. Posyandu Melati : 8
3. Posyandu Kamboja : 3
4. Posyandu Alamanda : 4
5. Posyandu Tulip : 3
6. Posyandu Flamboyan : 8
7. Posyandu Anggrek : 5
B3 Desa Lebakparahiang
1. Posyandu Wijaya Kusuma : 0
2. Posyandu Dahlia 1 : 2
3. Posyandu Dahlia 2 : 5
4. Posyandu Dahlia 3 : 1
5. Posyandu Dahlia 4 : 5
6. Posyandu Dahlia 5 : 3
7. Posyandu Dahlia 6 : 1
8. Posyandu Dahlia 7 : 1</t>
  </si>
  <si>
    <t>B3 Desa Wantisari
1. Posyandu Kenanga : 9
2. Posyandu Melati : 12
3. Posyandu Kamboja : 6
4. Posyandu Alamanda : 5
5. Posyandu Tulip : 15
6. Posyandu Flamboyan : 12
7. Posyandu Anggrek : 18
B3 Desa Lebakparahiang
1. Posyandu Wijaya Kusuma : 12
2. Posyandu Dahlia 1 : 16
3. Posyandu Dahlia 2 : 22
4. Posyandu Dahlia 3 : 14
5. Posyandu Dahlia 4 : 8
6. Posyandu Dahlia 5 : 8
7. Posyandu Dahlia 6 : 6
8. Posyandu Dahlia 7 : 7</t>
  </si>
  <si>
    <t>B3 Desa Wantisari
1. Posyandu Kenanga : 52
2. Posyandu Melati : 47
3. Posyandu Kamboja : 33
4. Posyandu Alamanda : 28
5. Posyandu Tulip : 21
6. Posyandu Flamboyan : 67
7. Posyandu Anggrek : 40
B3 Desa Lebakparahiang
1. Posyandu Wijaya Kusuma : 10
2. Posyandu Dahlia 1 : 14
3. Posyandu Dahlia 2 : 28
4. Posyandu Dahlia 3 : 22
5. Posyandu Dahlia 4 : 21
6. Posyandu Dahlia 5 : 20
7. Posyandu Dahlia 6 : 12
8. Posyandu Dahlia 7 : 17</t>
  </si>
  <si>
    <t>LEUWIDAMAR</t>
  </si>
  <si>
    <t>SPPG LEUWIDAMAR</t>
  </si>
  <si>
    <t>0SVLVK09</t>
  </si>
  <si>
    <t>YAYASAN HILMATUL MADANI</t>
  </si>
  <si>
    <t>Kp Bangkonol Desa Leuwidamar Kecamatan Leuwidamar Kabupaten Lebak-Banten</t>
  </si>
  <si>
    <t>MUHAMAD ANDI</t>
  </si>
  <si>
    <t>085778258843</t>
  </si>
  <si>
    <t>1. KB ANNABAN 40
2. KB BUNGA TANI 53</t>
  </si>
  <si>
    <t>1. TK ILMUL HANDASAH 44</t>
  </si>
  <si>
    <t>1. RA AL WASLIYAH 17
2. RA AL AKBAR 14
3. RA NURUL JADID 24</t>
  </si>
  <si>
    <t>1. PAUD  AL HASYIM 18
2. PAUD MENTARI 38
3. PAUD KENCANA UNGGU 29</t>
  </si>
  <si>
    <t>1. SDN 1 LEUWIDAMAR 203
2. SDN 2 LEUWIDAMAR 204
3. SDN 3 LEUWIDAMAR 98
4. SDN 1 LEBAKPARAHIANG 218
5. SDN 1 JALUPANG MULYA 105
6. SDN 2 JALUPANG MULYA 181
7. SDN 3 JALUPANG MULYA 115
8. SDN 2 SANGKANWANGI 278
9. MI ALWASLIYAH 97
10. MI AL KAHFI 59</t>
  </si>
  <si>
    <t>1. SMP 5 LEUWIDAMAR 125
2. MTS SABILUL HAQ 23
3. MTS AL WASLIYAH 80</t>
  </si>
  <si>
    <t>1. SMAN 1 LEUWIDAMAR 750
2. MA AL WASLIYAH 78
3. MA SABILUL HAQ 27</t>
  </si>
  <si>
    <t>1. POSYANDU AL FITRAH 3
2. POSYANDU AL BAROKAH 2
3. POSYANDU AR RAHMAN 2
4. POSYANDU BAITURRAHMAN 8
5. POSYANDUBAL AKBAR 8
6. POSYANDU AL IKHLAS 3
7. POSYANDU NURUL HUDA 1
8. POSYANDU AL FATH 5
9. POSYANDU AL ISTIQOMAH 1
10. POSYANDU AL HAYYAH 6
11. POSYANDU AL FALAH 3</t>
  </si>
  <si>
    <t>1. POSYANDU AL FITRAH 8
2. POSYANDU AL BAROKAH 3
3. POSYANDU AR RAHMAN 1
4. POSYANDU BAITURRAHMAN 8
5. POSYANDUBAL AKBAR 19
6. POSYANDU AL IKHLAS 9
7. POSYANDU NURUL HUDA 7
8. POSYANDU AL FATH 24
9. POSYANDU AL ISTIQOMAH 8
10. POSYANDU AL HAYYAH 1
11. POSYANDU AL FALAH 5</t>
  </si>
  <si>
    <t>1. POSYANDU AL FITRAH 27
2. POSYANDU AL BAROKAH 12
3. POSYANDU AR RAHMAN 14
4. POSYANDU BAITURRAHMAN 45
5. POSYANDUBAL AKBAR 30
6. POSYANDU AL IKHLAS 14
7. POSYANDU NURUL HUDA 16
8. POSYANDU AL FATH 32
9. POSYANDU AL ISTIQOMAH 21
10. POSYANDU AL HAYYAH 12
11. POSYANDU AL FALAH 42</t>
  </si>
  <si>
    <t>PAUD MENTARI 39</t>
  </si>
  <si>
    <t xml:space="preserve">Bojong menteng </t>
  </si>
  <si>
    <t>SPPG LEBAK LEUWIDAMAR BOJONG MENTENG</t>
  </si>
  <si>
    <t>DPGW2AYN</t>
  </si>
  <si>
    <t>YAYASAN MULIA BHAKTINEGERI</t>
  </si>
  <si>
    <t>Bojong Menteng, Kecamatan Leuwidamar, Kabupaten Lebak, Banten</t>
  </si>
  <si>
    <t>MUHAMMAD YUSUF</t>
  </si>
  <si>
    <t>082111998043</t>
  </si>
  <si>
    <t>Kb sabilul hidayah : 38</t>
  </si>
  <si>
    <t>Tk aisiyah : 24</t>
  </si>
  <si>
    <t>Ra At - tawakal : 45</t>
  </si>
  <si>
    <t>PAUD BUNGA TANI 55</t>
  </si>
  <si>
    <t>MI : MI Nurul Huda : 180</t>
  </si>
  <si>
    <t>Smp : SMP 4 leuwidamar : 123</t>
  </si>
  <si>
    <t>SMK : SMK Muhammadiyah 1 : 77</t>
  </si>
  <si>
    <t>Ponpes : Ponpes Al Hijaiyah : 54</t>
  </si>
  <si>
    <t>RA AL WASLIYAH 15</t>
  </si>
  <si>
    <t>Cisimeut Raya</t>
  </si>
  <si>
    <t>SPPG LEBAK LEUWIDAMAR CISIMEUT 2</t>
  </si>
  <si>
    <t>BIADN4KG</t>
  </si>
  <si>
    <t>YAYASAN PERSADA INSAN BAHAGIA</t>
  </si>
  <si>
    <t xml:space="preserve">Jl. Raya Ciboleger, Cisimeut Raya, Kec. Leuwidamar, kab. Lebak, </t>
  </si>
  <si>
    <t>JONATAL BANGUN SITANGGANG</t>
  </si>
  <si>
    <t>0895601981671</t>
  </si>
  <si>
    <t>1. TK AR-RAHMAN CISIMEUT : 28
2. TK RENGGANIS CAKUEUM : 29
3. TK RENGGANIS BULAKAN : 26</t>
  </si>
  <si>
    <t>RA AL AKBAR 18                                   RA ANNABAN 43</t>
  </si>
  <si>
    <t xml:space="preserve">1. SMPN 6 LEUWIDAMAR : 151
2. MTS AL-FATAH : 94
3. MTS SUDURUL IRSYAD : 58
4. MTS DAARUL MA'RIFAH : 27
</t>
  </si>
  <si>
    <t>1. SMK DAARUL MA'RIFAH : 31
2. MA AL-FATAH : 25
3. MA SUDURUL IRSYAD : 46</t>
  </si>
  <si>
    <t>CIBUNGUR</t>
  </si>
  <si>
    <t>SPPG LEBAK LEUWIDAMAR CIBUNGUR</t>
  </si>
  <si>
    <t>BCBGRB3W</t>
  </si>
  <si>
    <t>YAYASAN AL-MIFTAH MALINGPING</t>
  </si>
  <si>
    <t>Kp. Posko RT 001 RW 002 Desa Cibungur, Kecamatan Leuwidamar Kabupaten Lebak, Provinsi Banten</t>
  </si>
  <si>
    <t xml:space="preserve">IWAN SUPRANATA RUDIN </t>
  </si>
  <si>
    <t>1. KB Harapan Bunda : 13                   2. kb al ummi 54</t>
  </si>
  <si>
    <t xml:space="preserve">1. SDN 1 Cibungur : 167                   2. SDN 2 Cibungur : 199 </t>
  </si>
  <si>
    <t>1. SMPN 3 Leuwidamar : 202      2. MTS Nurul Fikri : 135</t>
  </si>
  <si>
    <t>1. SMKN 1 Leuwidamar : 223</t>
  </si>
  <si>
    <t>1. posyandu melati 1 :  8           2. posyandu melati 2 : 1            3. posyandu melati 3 : 7              4. posyandu melati 4 : 5              5. posyandu melati 5 : 6              6. posyandu melati 6 : 7               7. posyandu melati 7 : 4          8. posyandu melati 8 : 4                 9. posyandu melati 9 : 8</t>
  </si>
  <si>
    <t>1. posyandu melati 1 :  10           2. posyandu melati 2 : 11           3. posyandu melati 3 : 16              4. posyandu melati 4 : 13              5. posyandu melati 5 : 18             6. posyandu melati 6 : 12                7. posyandu melati 7 : 7          8. posyandu melat1i 8 : 2                 9. posyandu melati 9 : 19</t>
  </si>
  <si>
    <t>1. posyandu melati 1 :  42            2. posyandu melati 2 : 29              3. posyandu melati 3 : 42                      4. posyandu melati 4 : 43                  5. posyandu melati 5 : 37              6. posyandu melati 6 : 45                 7. posyandu melati 7 : 28             8. posyandu melati 8 : 28                 9. posyandu melati 9 : 46</t>
  </si>
  <si>
    <t>Margawangi</t>
  </si>
  <si>
    <t>SPPG MARGAWANGI</t>
  </si>
  <si>
    <t>YHYF8K8F</t>
  </si>
  <si>
    <t>Kp.Kamancing Rt.002/Rw.003 Desa Margawangi Kecamatan Leuwidamar</t>
  </si>
  <si>
    <t>sudah Operasional</t>
  </si>
  <si>
    <t>Belum</t>
  </si>
  <si>
    <t>Nurmalasari Syahlan</t>
  </si>
  <si>
    <t>1. TK Arrahman =53                               2. TK Al-Fatha = 44</t>
  </si>
  <si>
    <t>1. Paud Al-Hasyim = 24                             2. Paud Almunawaroh = 33</t>
  </si>
  <si>
    <t xml:space="preserve">1. SDN 1 Cisimeut Raya =115                  2. SDN 2 Cisimeut Raya =120                   3. SDN 1 Margawangi =306                     4. SDN 2 Nayagati =202                             5.SDN Sangkanwangi = 163 </t>
  </si>
  <si>
    <t>DAFTAR PENERIMA MANFAAT POSYANDU KELOMPOK BALITA</t>
  </si>
  <si>
    <t>Gunungkencana</t>
  </si>
  <si>
    <t>SPPG Lebak Gunungkencana Gunungkencana 2</t>
  </si>
  <si>
    <t>UIGHPXFW</t>
  </si>
  <si>
    <t>Yayasan Gerakan Banten Jaya</t>
  </si>
  <si>
    <t xml:space="preserve">Kp. Pasar Rt/Rw 008/004 Ds. Gunungekencana Kec. Gunungkencana </t>
  </si>
  <si>
    <t>Eza Yayang Firdaus pengganti : iqbal hanafi</t>
  </si>
  <si>
    <t>081222428405</t>
  </si>
  <si>
    <t xml:space="preserve">1. TK Karya Kencana = 64 2. TK Mutiara Kencana = 64 3. Tk Nur Utami = 43 4. Tk Falsapah Kencana = 25 </t>
  </si>
  <si>
    <t>1. SDN 2 Gunungkencana = 303 2. SDN 1 Cicaringin = 158 3. SDN 2 Cicaringin = 96 4. SDN 3 Cicaringin = 208</t>
  </si>
  <si>
    <t>1. MTS MA Gunungkencana = 290 2. SMP Nur Utami = 98</t>
  </si>
  <si>
    <t>1. SMAN 1 Gunungkencana = 523 2. MAN 3 Lebak = 304</t>
  </si>
  <si>
    <t>1. Bumil Desa Gunungkencana = 64 2. Bumil Desa Keramatjaya = 55</t>
  </si>
  <si>
    <t>1. Busui Desa Gunungkencana = 79 2. Busui Desa Keramat Jaya = 121</t>
  </si>
  <si>
    <t>1. Balita Desa Gunungkencana = 217 2. Balita Desa Keramatjaya = 273</t>
  </si>
  <si>
    <t>Jumlah keseluruhan termasuk tenaga pendidik dan non pendidik serta PIC</t>
  </si>
  <si>
    <t>SPPG Lebak Gunungkencana Gunungkencana 1</t>
  </si>
  <si>
    <t>36HEZXEA</t>
  </si>
  <si>
    <t>Kp. GunungBilul Rt/Rw 006/003 Ds. Gunungkencana Kec. Gunungkencana</t>
  </si>
  <si>
    <t>Firman Maulana Agustian</t>
  </si>
  <si>
    <t>081382361834</t>
  </si>
  <si>
    <t>TK TUNAS KENCANA Cikole = 28   TK TUNAS KENCANA CIAKAR=22</t>
  </si>
  <si>
    <t>SDN 1 CIAKAR = 111, SDN 2 CIAKAR = 126, SDN 3 CIAKAR = 141, SDN 1 GUNUNGKENCANA = 247, SDN 1 Kramatjaya = 120</t>
  </si>
  <si>
    <t>SMPN 1 GUNUNGKENCANA = 403, SMPN 5 GUNUNGKENCANA = 123</t>
  </si>
  <si>
    <t>DAHLIA 1 = 2, DAHLIA 2 = 3,DAHLIA 3 = 4, DAHLIA 4 = 5, DAHLIA 5 = 1, DAHLIA 6 = 14, DAHLIA 7 = 4 ANGGREK 3 = 5, ANGGREK 4 = 10, ANGGREK 6 = 2, ANGGREK 7 = 12, ANGGREK 8 = 4</t>
  </si>
  <si>
    <t>DAHLIA 1 = 17, DAHLIA 2 = 10, DAHLIA 3 = 9, DAHLIA 4 = 10, DAHLIA 5 = 17, DAHLIA 6 = 14, DAHLIA 7 = 5ANGGREK 3 = 15, ANGGREK 4 = 19, ANGGREK 6 = 13, ANGGREK 7 = 5, ANGGREK 8 = 15</t>
  </si>
  <si>
    <t>DAHLIA 1 = 22, DAHLIA 2 = 44, DAHLIA 3 = 29, DAHLIA 4 = 53, DAHLIA 5 = 39, DAHLIA 6 = 60, DAHLIA 7 = 24 ANGGREK 3 = 57, ANGGREK 4 = 83, ANGGREK 6 = 41, ANGGREK 7 = 25, ANGGREK 8 = 56</t>
  </si>
  <si>
    <t>jumlah keseluruhan termasuk Guru serta PIC Posyandu</t>
  </si>
  <si>
    <t>Sukanegara</t>
  </si>
  <si>
    <t>SPPG LEBAK GUNUNGKENCANA SUKANEGARA</t>
  </si>
  <si>
    <t>95UQPQND</t>
  </si>
  <si>
    <t>Yayasan Persada Insan Bahagia</t>
  </si>
  <si>
    <t>Kp. Padarame, RT/RW. 004/002, Desa Sukanegara, Kec. Gunungkencana</t>
  </si>
  <si>
    <t>Debby Gunawan</t>
  </si>
  <si>
    <t>085664983367</t>
  </si>
  <si>
    <t xml:space="preserve">KB BAITUL FIQRI NASIONAL : 34
KB INDAH LESTARI : 66
</t>
  </si>
  <si>
    <t xml:space="preserve">TK PELITA KENCANA : 61
TK ALFATAHILAH CIKAKAK : 45
TK BAITUL FIKRI NASIONAL 27 </t>
  </si>
  <si>
    <t>PAUD IZZATURRAHMAN : 48</t>
  </si>
  <si>
    <t>SDN 1 SUKANEGARA : 106
SDN 2 SUKANEGARA : 240
MI MA BOJONGKONENG : 77
SDN 1 BOJONGKONENG : 159
MI MA KADUBONGKOK : 43
SDN 3 CIGINGGANG : 91
MI MA CIJULANG 90</t>
  </si>
  <si>
    <t>SMK MULYA KENCANA : 303
SMK TRI WICAKSANA : 87</t>
  </si>
  <si>
    <t>Puspita 1: 4
Puspita 2: 5
Puspita 3: 1
Puspita 4: 1
Puspita 5: 3
Puspita 6: 3
Rose 1: 8
Rose 2: 4
Rose 3: 5
Rose 4: 4</t>
  </si>
  <si>
    <t>Puspita 1: 15
Puspita 2: 28
Puspita 3: 7
Puspita 4: 10
Puspita 5: 5
Puspita 6: 15
Rose 1: 24
Rose 2: 8
Rose 3: 8
Rose 4: 15</t>
  </si>
  <si>
    <t>Puspita 1: 40 + 5
Puspita 2: 53 + 5
Puspita 3: 17 + 5
Puspita 4: 40 + 5
Puspita 5: 29 + 5
Puspita 6: 23 + 5
Rose 1: 49 + 5
Rose 2: 13 + 5
Rose 3: 26 + 5
Rose 4: 30 + 5</t>
  </si>
  <si>
    <t>Jumlah keseluruhan termasuk tenaga pendidik dan non pendidik, PIC dan kader posyandu</t>
  </si>
  <si>
    <t>Cimanyangray</t>
  </si>
  <si>
    <t>SPPG Lebak Gunungkencana Cimanyangray</t>
  </si>
  <si>
    <t>8JPRLQNY</t>
  </si>
  <si>
    <t>Kp.Lewikopo RT.01/05, Ds.Cimanyangray, Kec. Gunungkencana, Kab. Lebak, Banten.</t>
  </si>
  <si>
    <t>Muhamad Haidar Rizqulloh</t>
  </si>
  <si>
    <t>088213329574</t>
  </si>
  <si>
    <t>KB HARAPAN BUNDA: 34</t>
  </si>
  <si>
    <t>TK PGRI: 30
TK HARAPAN BUNDA: 54
 TK AENA PELANGI: 39</t>
  </si>
  <si>
    <t>RA NURUL AKHYAR: 28</t>
  </si>
  <si>
    <t>PAUD FUTIHAT FAJRIAH : 62
 PAUD MEKAR JAYA : 56
 PAUD AL-FITROH: 46</t>
  </si>
  <si>
    <t>SDN 1 CIMANYANGRAY: 108
 SDN 2 CIMANYANGRAY : 103, 
SDN 1 GUNUNGKENDENG: 160, 
SDN 2 GUNUNGKENDENG: 180, 
MI MATHLAUL ANWAR CITEREUP: 71,
 SDN 5 KRAMATJAYA: 97, 
SDN 3 GUNUNGKENDENG: 83, 
SDN 1 BULAKAN : 180, 
SDN 2 BULAKAN : 130, 
MI MATHLAUL ANWAR KRAMATJAYA: 118</t>
  </si>
  <si>
    <t>MTS NURUL AKHYAR: 97, 
SMPN 2 GUNUNGKENCANA: 112,  
MTs NUR INSAN: 74, 
MTs MATHLAUL ANWAR: 116, 
SMPN 4 GUNUNGKENCANA: 141</t>
  </si>
  <si>
    <t>SMKN 1 GUNUNGKENCANA: 310, 
SMK FAEDAH KENCANA: 99</t>
  </si>
  <si>
    <t>Posyandu Desa Cimanyangray : 8</t>
  </si>
  <si>
    <t>Posyandu  Desa Cimanyangray : 101</t>
  </si>
  <si>
    <t>Posyandu  Desa Cimanyangray : 133</t>
  </si>
  <si>
    <t>Cicaringin</t>
  </si>
  <si>
    <t>SPPG LEBAK GUNUNGKENCANA CICARINGIN</t>
  </si>
  <si>
    <t>0LGDDMUY</t>
  </si>
  <si>
    <t>Yayasan Daar El-Ulum</t>
  </si>
  <si>
    <t>Jl. Raya Gunungkencana Cicaringin, kec. Gunungkencana, Kab. Lebak, Banten</t>
  </si>
  <si>
    <t>27/01/2026</t>
  </si>
  <si>
    <t xml:space="preserve">Hannatama Manik </t>
  </si>
  <si>
    <t>085945039863</t>
  </si>
  <si>
    <t>1. KB Azzahra: 26
2. KB Darusibyan: 41</t>
  </si>
  <si>
    <t xml:space="preserve">1. TK Nurutami: 39
2. TK Falsafah: 23
</t>
  </si>
  <si>
    <t>1. SDN 2 Kramatjaya: 129
2. SDN 4 Kramatjaya: 89
3. SDN 1 Cicaringin: 150
4.  SDN 2 Cicaringin: 88
5.  SDN 3 Cicaringin: 197, 6. MI Wangkelang: 63</t>
  </si>
  <si>
    <t>SMP Nurutami: 98</t>
  </si>
  <si>
    <t xml:space="preserve">Bumil Desa Cisampang: 20  Bumil Cicaringin: 58         </t>
  </si>
  <si>
    <t>Busui Desa Cisampang: 76    Busui Cicaringin: 32</t>
  </si>
  <si>
    <t>Balita Desa Cisampang:214     Balita Cicaringin: 210</t>
  </si>
  <si>
    <t>Jumlah Guru dan Tendik: 78</t>
  </si>
  <si>
    <t>Ciginggang</t>
  </si>
  <si>
    <t>SPPG LEBAK GUNUNGKENCANA CIGINGGANG</t>
  </si>
  <si>
    <t>YGNZ9RCD</t>
  </si>
  <si>
    <t>Yayasan mathla ul hidayah</t>
  </si>
  <si>
    <t>Kp. Kadubongkok, Ciginggang, kec. gunungkencana</t>
  </si>
  <si>
    <t>Al Fajri</t>
  </si>
  <si>
    <t>1. KB KARTINI : 45
2. KB FADILAH KENCANA : 62
3. KB NUSA HARAPAN : 30 
4. KB AZZAHRA KENCANA : 17
5. KB ARASYID : 44
6. KB PELITA HARAPAN : 39</t>
  </si>
  <si>
    <t>1. SDN 1 CIGINGGANG : 107
2. SDN 2 CIGINGGANG : 256
3. SDN 1 CISAMPANG : 131
4. SDN 2 CISAMPANG : 125
5. SDN 3 CISAMPANG : 119
6. MI MA NYALINDUNG : 48
7. MI MIFTAHUNNAJAH 86</t>
  </si>
  <si>
    <t>1. SMPN 3 GUNUNGKENCANA : 161
2. SMPN 6 GUNUNGKENCANA  : 92
3. MTS AR ROYHAN : 33
4. MTS AL HIDAYAH : 11</t>
  </si>
  <si>
    <t>1. Anggrek 1 : 7
2. Anggrek 2 : 4
3. Anggrek 5 : 8</t>
  </si>
  <si>
    <t>1. Anggrek 1 : 5
2. Anggrek 2 : 25
3. Anggrek 5 : 9</t>
  </si>
  <si>
    <t>1. Anggrek 1 : 47
2. Anggrek 2 : 66
3. Anggrek 5 : 25</t>
  </si>
  <si>
    <t>1. PP ROUDHOTUTTHOLIBIN: 130
2. PP MIFTAHUL HUDA : 43
3. PP IQROR : 10
4. PP MIFTAHUSSAADAH  BANU AFFAN: 22
5. PP ADZIKRI: 10</t>
  </si>
  <si>
    <t>1. ATS CIKAKAK: 11
2. ATS KADUBONGKOK : 7
3. ATS DUKUH HAJI: 3
4. ATS RAJAWANA: 6
5. ATS NYALINDUNG: 18</t>
  </si>
  <si>
    <t>SPPG LEBAK GUNUNGKENCANA GUNUNGKENCANA 3</t>
  </si>
  <si>
    <t>WESHECPG</t>
  </si>
  <si>
    <t>kp. Gunung barat,RT 004/RW 002, Desa Gunungkencana, kec. Gunungkencana,kab.lebak, prov. Banten</t>
  </si>
  <si>
    <t>15/06/2026</t>
  </si>
  <si>
    <t>FERDIANSYAH</t>
  </si>
  <si>
    <r>
      <rPr>
        <rFont val="Calibri"/>
        <b/>
        <color rgb="FF000000"/>
        <sz val="11.0"/>
      </rPr>
      <t xml:space="preserve">IBU HAMIL
</t>
    </r>
    <r>
      <rPr>
        <rFont val="Calibri"/>
        <color rgb="FF000000"/>
        <sz val="11.0"/>
      </rPr>
      <t>1. POSYANDU SAKURA 1 (TANJUNGSARI)  : 6
2. POSYANDU SAKURA 2 (TANGKEBAN)     : 2
3. POSYANDU SAKURA 3 (KADU HALANG) : 4
4. POSYANDU SAKURA 4 (CIBENTER)          : 2
5. POSYANDU SAKURA 5 (PASIR BINGLU)   : 1
6. POSYANDU CEMPAKA 1                             : 7
7. POSYANDU CEMPAKA 2                             : 4
8. POSYANDU CEMPAKA 3                             : 3
9. POSYANDU CEMPAKA 4                             : 2
10. POSYANDU CEMPAKA 5                           : 6
TOTAL  =  37</t>
    </r>
  </si>
  <si>
    <r>
      <rPr>
        <rFont val="Calibri"/>
        <b/>
        <color rgb="FF000000"/>
        <sz val="11.0"/>
      </rPr>
      <t xml:space="preserve">IBU MENYUSUI
</t>
    </r>
    <r>
      <rPr>
        <rFont val="Calibri"/>
        <color rgb="FF000000"/>
        <sz val="11.0"/>
      </rPr>
      <t>1. POSYANDU SAKURA 1 (TANJUNGSARI)  : 11
2. POSYANDU SAKURA 2 (TANGKEBAN)      : 9
3. POSYANDU SAKURA 3 (KADU HALANG) :10
4. POSYANDU SAKURA 4 (CIBENTER)          : 5
5. POSYANDU SAKURA 5 (PASIR BINGLU)   : 1
6. POSYANDU CEMPAKA 1                             : 5
7. POSYANDU CEMPAKA 2                             : 4
8. POSYANDU CEMPAKA 3                             : 4
9. POSYANDU CEMPAKA 4                             :10
10. POSYANDU CEMPAKA 5                           : 5
TOTAL  = 64</t>
    </r>
  </si>
  <si>
    <r>
      <rPr>
        <rFont val="Calibri"/>
        <b/>
        <color rgb="FF000000"/>
        <sz val="11.0"/>
      </rPr>
      <t xml:space="preserve">BALITA
</t>
    </r>
    <r>
      <rPr>
        <rFont val="Calibri"/>
        <color rgb="FF000000"/>
        <sz val="11.0"/>
      </rPr>
      <t>1. POSYANDU SAKURA 1 (TANJUNGSARI)  : 91
2. POSYANDU SAKURA 2 (TANGKEBAN)     : 48
3. POSYANDU SAKURA 3 (KADU HALANG) : 60
4. POSYANDU SAKURA 4 (CIBENTER)          : 54
5. POSYANDU SAKURA 5 (PASIR BINGLU)   : 20
6. POSYANDU CEMPAKA 1                             : 46
7. POSYANDU CEMPAKA 2                             : 37
8. POSYANDU CEMPAKA 3                             : 31
9. POSYANDU CEMPAKA 4                             : 29
10. POSYANDU CEMPAKA 5                           : 43
TOTAL   = 459</t>
    </r>
  </si>
  <si>
    <r>
      <t xml:space="preserve">
</t>
    </r>
    <r>
      <rPr>
        <rFont val="Calibri"/>
        <b/>
        <color rgb="FF000000"/>
        <sz val="11.0"/>
      </rPr>
      <t>SANTRI</t>
    </r>
    <r>
      <rPr>
        <rFont val="Calibri"/>
        <color rgb="FF000000"/>
        <sz val="11.0"/>
      </rPr>
      <t xml:space="preserve">
1. PONPES AL MUHAJIRIN               : 15
2. PONPES NURUL ILMI                    : 22
3. PONPES TORIKOTUL                     : 50
4. PONPES RIYADUL IBTIDA             : 95
5. PONPES AL MUBAROK                 : 41
6. PONPES TARBIYATUL AULAD       : 12
7. PONPES HIDAYATUL MUBTADIN : 12
8. PONPES KYAI ENTANG                 : 71
9. PONPES KYAI ANDA                      : 12
10. PONPES KYAI OCO                      : 12
11. PONPES DARUL MUBTADIIN    : 17
12. PONPES KYAI ONI                       : 50
13. PONPES KYAI AHMAD               : 50
TOTAL  = 459</t>
    </r>
  </si>
  <si>
    <t xml:space="preserve">  </t>
  </si>
  <si>
    <t xml:space="preserve">SPPG Non Operasional </t>
  </si>
  <si>
    <t>Suspend</t>
  </si>
  <si>
    <t>BOJONGMANIK</t>
  </si>
  <si>
    <t>SPPG Lebak Bojongmanik Bojongmanik</t>
  </si>
  <si>
    <t>VAXFBVYN</t>
  </si>
  <si>
    <t>YAYASAN CIPTA BANGSA SEJAHTRA</t>
  </si>
  <si>
    <t>KP BOJONGMANIK DESA BOJONGMANIK KECAMATAN BOJONGMANIK KAB LEBAK-BANTEN</t>
  </si>
  <si>
    <t>JOSUA SIBURIAN</t>
  </si>
  <si>
    <t>TK Bojongmanik : 22 Orang</t>
  </si>
  <si>
    <t>PAUD CERIA : 40 Orang
PAUD ARROHMAN : 36 Orang
PAUD ULI AZMI : 49 Orang PAUD KB HIDAYATUL HUSNA 2 : 33 Orang PAUD AT-TAZKIA : 32 Orang PAUD HIDAYATUL HUSNA : 34 Orang</t>
  </si>
  <si>
    <t xml:space="preserve">SDN 1 BOJONGMANIK : 216 Orang
SDN 2 BOJONGMANIK : 157 Orang
SDN 1 PANARAKANBEUSI : 205 Orang
Mi AL HUDA CIPAYANGGU : 136 Orang SDN 1 PASIRBITUNG : 163 Orang. SDN 1 MEKARMANIK : 154 Orang
SDN 1 HARJAWANA : 179 Orang18. SDN 2 MEKARMANIK : 105 Orang </t>
  </si>
  <si>
    <t>SMPN 1 BOJONGMANIK : 204 Orang
SMPN 4 PARAKANBEUSI : 129 Orang
MTs. ARRAHMAN SONGAK : 79 Orang</t>
  </si>
  <si>
    <t>SMAN 1 BOJONGMANIK : 243 Orang
MA. ARRAHMAN SONGAK : 59 Orang</t>
  </si>
  <si>
    <t>DATA SUDAH TERMASUK GURU DAN TENAGA PENDIDIK</t>
  </si>
  <si>
    <t>CIMAYANG</t>
  </si>
  <si>
    <t>SPPG LEBAK BOJONGMANIK CIMAYANG</t>
  </si>
  <si>
    <t>JSTPOGP3</t>
  </si>
  <si>
    <t>KP CIMAYANG DESA CIMAYANG KECAMATAN BOJONGMANIK KAB LEBAK-BANTEN</t>
  </si>
  <si>
    <t>RONALDIUS AGUSTA RIWU</t>
  </si>
  <si>
    <t>PAUD ANAK BANGSA : 23 PAUD PUTRA BANGSA : 54
 PAUD HIDAYATUSIBYAN : 40
PAUD ANAK BANGSA : 24</t>
  </si>
  <si>
    <t>SDN 1 CIMAYANG  : 280
‎SDN 1 KEBONCAU : 242
‎SDN 2 KEBONCAU : 151
‎MI NURUL HUSNA :  93                   MI NANGERANG : 42</t>
  </si>
  <si>
    <t>SMP N 3 BOJONG MANIK : 60
‎MTS ALFATWA : 61</t>
  </si>
  <si>
    <t xml:space="preserve">Cimayang Girang :  5
Sinarkajong :6
Cimayang timur:1  
Kahuruan:1
Pajagan:6
Cirinten Girang: 0
Sindanglaya:6
Cimayang Barat: 3
CILIMUS: 4
PASIRNANGKA: 4
CIAWI : 2
NANGERANG: 1
Bodaan: 3
SIMPANGTIGA: 5
CICENGAL: 0
</t>
  </si>
  <si>
    <t>Cimayang Girang :  13
Sinarkajong :8
Cimayang timur: 11  
Kahuruan: 11
Pajagan: 9
Cirinten Girang:  2
Sindanglaya: 16
Cimayang Barat: 10
CILIMUS: 13
PASIRNANGKA: 14
CIAWI : 7
NANGERANG: 6
Bodaan: 9
SIMPANGTIGA: 21
CICENGAL: 5</t>
  </si>
  <si>
    <t>Cimayang Girang :  52
Sinarkajong : 28
Cimayang timur: 39  
Kahuruan: 29
Pajagan: 55
Cirinten Girang: 12
Sindanglaya: 27
Cimayang Barat: 18
CILIMUS: 43
PASIRNANGKA: 47
CIAWI : 20
NANGERANG: 43
Bodaan: 13
SIMPANGTIGA: 54
CICENGAL: 31</t>
  </si>
  <si>
    <t>KADURHAYU</t>
  </si>
  <si>
    <t>SPPG 3T</t>
  </si>
  <si>
    <t>Kp. Cihamerang Desa Kadurhayu Kecamatan Bojongmanik Kab. lebak</t>
  </si>
  <si>
    <t>Selesai di appraisal / survai tanggal 23 April 2026</t>
  </si>
  <si>
    <t>PARAKANBEUSI</t>
  </si>
  <si>
    <t>Kp.  Songak Desa Parakanbeusi Kecamatan Bojongmanik Kab.  l ebak</t>
  </si>
  <si>
    <t>Selesai di appraisal / suvai tanggal 23 April 2026</t>
  </si>
  <si>
    <t>MEKARMANIK</t>
  </si>
  <si>
    <t>Kp. Sukamulya Desa Mekarmanik Kecamatan Bojongmanik Kab. Lebak</t>
  </si>
  <si>
    <t>Selesai di appraisal / survai tanggal 28 April 2026</t>
  </si>
  <si>
    <t xml:space="preserve">Tanggal Operasional  </t>
  </si>
  <si>
    <t>CIKATAPIS</t>
  </si>
  <si>
    <t>SPPG Lebak Kalanganyar Cikatapis</t>
  </si>
  <si>
    <t>ZNRI8DAJ</t>
  </si>
  <si>
    <t>Yayasan Perisai Hidup Bangsa</t>
  </si>
  <si>
    <t>Kp. Keong Desa Cikatapis Rt 01 Rw 03, Cikatapis, Kalanganyar, Kab. Lebak, Banten</t>
  </si>
  <si>
    <t>Faisal Heriansyah</t>
  </si>
  <si>
    <t>089504236551</t>
  </si>
  <si>
    <t xml:space="preserve">RA ALMERA= 26
</t>
  </si>
  <si>
    <t>SDN 1 CIKATAPIS= 291
SDN 2 PASIRKUPA= 401
SDN 3 SUKAMEKARSARI= 328</t>
  </si>
  <si>
    <t>SMKN 1 KALANGANYAR= 446
SMAN 1 KALANGANYAR= 437</t>
  </si>
  <si>
    <t xml:space="preserve">POSYANDU MAWAR =7  POSYANDU FLAMBOYAN =7  POSYANDU MELATI =2  POSYANDU CEMPAKA =6 POSYANDU KENANGAN 1 =2 POSYANDU KENANGAN 2 =10 </t>
  </si>
  <si>
    <t xml:space="preserve">POSYANDU MAWAR = 26
POSYANDU FLAMBOYAN =18 POSYANDU MELATI =7 POSYANDU CEMPAKA = 21 POSYANDU KENANGAN 1 =33 POSYANDU KENANGAN 2 = 36 </t>
  </si>
  <si>
    <t xml:space="preserve">POSYANDU MAWAR =53 POSYANDU FLAMBOYAN =61 POSYANDU MELATI = 28 POSYANDU CEMPAKA =57 POSYANDU KENANGAN 1 =29 POSYANDU KENANGAN 2 = 77  </t>
  </si>
  <si>
    <t>AWEH</t>
  </si>
  <si>
    <t>SPPG Lebak Kalanganyar Aweh 1</t>
  </si>
  <si>
    <t>VIG1DTX4</t>
  </si>
  <si>
    <t>YAYASAN AMAL AL MAJID BANTEN</t>
  </si>
  <si>
    <t xml:space="preserve">Jln. Maulana Yusuf No 39 Kp. Aweh RT.001/RW.001 Desa Aweh Kec. Kalanganyar </t>
  </si>
  <si>
    <t>Maksum Pitoyo</t>
  </si>
  <si>
    <t>085813041208</t>
  </si>
  <si>
    <t>KB TUNAS HARAPAN:	36</t>
  </si>
  <si>
    <t>1. TK ISLAM TAWASALNA:	24
2. TKIT NOORENNA MAJID: 25
3. TK TUNAS HARAPAN:	50</t>
  </si>
  <si>
    <t>RA AL-ISLAH: 14</t>
  </si>
  <si>
    <t xml:space="preserve">1. SDN 1 AWEH	: 132
2. SDN 2 AWEH	: 272
3. SDN 1 SANGIANGTANJUNG:	287
4. SDN 3 SANGIANGTANJUNG:	121
5. SD ISLAM TAWASALNA: 	76
6. MI AL ISLAH: 10
7. SDN 1 SUKAMEKARSARI:	238
</t>
  </si>
  <si>
    <t>1. SMPIT NOOREENA MAJID:	30
2. MTS AL ISLAH:	5
3. SMPI CENDIKIA DAARUL MUBTADIIEN: 36
4. SMP ISLAM TAWASALNA: 5
5. SMP TERPADU AL-ISHLAH:	10
6. MTS Nurus Huda: 59
7. MTS Daar El Haq: 46
8. MTS Nurul Faizin: 31</t>
  </si>
  <si>
    <t xml:space="preserve">1. SMA Cendikia Darul Mubtadien: 13
2. SMK Islam Tawasalna: 25
3. MA Nurul Huda: 30
4. MA Daar El Haq: 21
5. SMKS Nurul Faizin: 17 </t>
  </si>
  <si>
    <t>Posyandu Cempaka: 18
Posyandu Melati: 5
Posyandu Evorbia: 6
Posyandu Kenanga: 2
Posyandu Anggrek: 10
Posyandu Ros: 13</t>
  </si>
  <si>
    <t>Posyandu Cempaka: 25
Posyandu Melati: 5
Posyandu Evorbia: 10
Posyandu Kenanga: 4
Posyandu Anggrek: 30
Posyandu Ros: 30</t>
  </si>
  <si>
    <t>Posyandu Cempaka: 135
Posyandu Melati: 29
Posyandu Evorbia: 72
Posyandu Kenanga: 42
Posyandu Anggrek: 95
Posyandu Ros: 179</t>
  </si>
  <si>
    <t xml:space="preserve"> GURU DARI TOTAL SEKOLAH: 201</t>
  </si>
  <si>
    <t>SPPG Lebak Kalanganyar Aweh 2</t>
  </si>
  <si>
    <t>V8YJWA3W</t>
  </si>
  <si>
    <t>YAYASAN Rumah Gizi Anak</t>
  </si>
  <si>
    <t>Jln. Maulana Yusuf, Kp. Aweh, Rt/Rw. 007/001 Ds. Aweh, Kec. Kalanganyar, Kab. Lebak</t>
  </si>
  <si>
    <t>HADROMI</t>
  </si>
  <si>
    <t>083192907302</t>
  </si>
  <si>
    <t>RA ASSUKIYA  : 125</t>
  </si>
  <si>
    <t>SDN 01 PASIRKUPA : 290                         SDN 04 SUKAMEKARSARI  : 303             SDN 01 KALANGANYAR      : 259</t>
  </si>
  <si>
    <t xml:space="preserve">MTS BANI IDRIS : 160                MTS AL FALAH  : 224                 MTS DAARUL MUSYAFFA : 231       SMP KALANGANYAR : 312            </t>
  </si>
  <si>
    <t xml:space="preserve">SMK ASSUKIYA  : 116                  MA DAARUL MUSYAFFA : 206     MA AL FALAH : 155
</t>
  </si>
  <si>
    <t>Posyandu Anaku Sayang : 10     Posyandu Anggrek : 5                  Posyandu Nusa Indah :  12                Posyandu Adiku Sayang : 6                 Posyandu Matahari : 7               Posyandu Sri Rezeki : 9            Posyandu Anak Sayang-Sayang : 3</t>
  </si>
  <si>
    <t>Posyandu Anaku Sayang : 29    Posyandu Anggrek : 16                  Posyandu Nusa Indah :  12                Posyandu Adiku Sayang : 6                 Posyandu Matahari : 11               Posyandu Sri Rezeki : 22            Posyandu Anak Sayang-Sayang : 7</t>
  </si>
  <si>
    <t>Posyandu Anaku Sayang : 94     Posyandu Anggrek : 56                 Posyandu Nusa Indah :  58                Posyandu Adiku Sayang : 79                Posyandu Matahari : 61               Posyandu Sri Rezeki : 67             Posyandu Anak Sayang-Sayang : 44</t>
  </si>
  <si>
    <t>SUDAH TERMASUK TENAGA PENDIDIK SAMA KADER POSYANDU</t>
  </si>
  <si>
    <t>CIRENDE</t>
  </si>
  <si>
    <t>SPPG Lebak Kalanganyar Kalanganyar 1</t>
  </si>
  <si>
    <t>SWCNILDF</t>
  </si>
  <si>
    <t>yayasan persada insan bahagia</t>
  </si>
  <si>
    <t>Kp. Cirende RT.001 RW. 003 Desa Kalanganyar, Kec. Kalanganyar, 
Kab. Lebak, Provinsi banten</t>
  </si>
  <si>
    <t>23 Januari 2026</t>
  </si>
  <si>
    <t>ANDI RISKI</t>
  </si>
  <si>
    <t>081284133683</t>
  </si>
  <si>
    <t>TK AL QUDWAH = 128</t>
  </si>
  <si>
    <t>Preschool And Kindergarten = 18</t>
  </si>
  <si>
    <t>SD AL QUDWAH = 630</t>
  </si>
  <si>
    <t>SMP AL QUDWAH = 366</t>
  </si>
  <si>
    <t>SMA AL QUDWAH = 108</t>
  </si>
  <si>
    <t>1. posyandu kenanga = 8
2. posyandu cempaka = 11
3. posyandu mawar = 5
4. posyandu melati = 14
5. posyandu puspitasaru = 7
6. posyandu anggrek = 3</t>
  </si>
  <si>
    <t>1. posyandu kenanga = 15
2. posyandu cempaka = 35
3. posyandu mawar = 16
4. posyandu melati = 15
5. posyandu puspitasaru = 42
6. posyandu anggrek = 18</t>
  </si>
  <si>
    <t>1. posyandu kenanga = 33
2. posyandu cempaka = 84
3. posyandu mawar = 38
4. posyandu melati = 91
5. posyandu puspitasaru = 71
6. posyandu anggrek = 38</t>
  </si>
  <si>
    <t xml:space="preserve">ponpes 
1. abdul jabar = 9
2. darul quran el hidayah = 14
3. roudatul huffadz = 41
4. al ikhlas  = 23
5. assalama = 22 
6. bani idris = 50
7. asshobirin = 17
8. nur ikhsan = 31
9. cirende = 31
10. darul quran miftahul jannah = 9
11. al mubtadin = 10
12. pasir kupa = 24 
13. maubad cirende = 10  </t>
  </si>
  <si>
    <t>DATA KADER POSYANDU : 30  KADER</t>
  </si>
  <si>
    <t>SPPG Lebak Kalanganyar Kalanganyar 2</t>
  </si>
  <si>
    <t>3OR3QXVZ</t>
  </si>
  <si>
    <t>Yayasan Mulia Bhakti Negeri</t>
  </si>
  <si>
    <t>Kp. Cirende  Desa Kalanganyar, Kec. Kalanganyar,</t>
  </si>
  <si>
    <t>4 FEBUARI 2026</t>
  </si>
  <si>
    <t>AHMAD NAZRAN</t>
  </si>
  <si>
    <t>082353116314</t>
  </si>
  <si>
    <t>KB Karang Balita = 27</t>
  </si>
  <si>
    <t xml:space="preserve">TK Teratai = 35
TK Kober Gemilang = 35
</t>
  </si>
  <si>
    <t xml:space="preserve">RA Darul Marif = 37
RA Assukiyah = 76
</t>
  </si>
  <si>
    <t>Paud Pelangi = 49
Paud Melati = 31</t>
  </si>
  <si>
    <t xml:space="preserve">SD 2 Kalanganyar = 257
SD 1 Kalanganyar = 254 </t>
  </si>
  <si>
    <t>SMPN 1 Kalanganyar : 433</t>
  </si>
  <si>
    <t xml:space="preserve">SMK ASSUKIYA  = 70                </t>
  </si>
  <si>
    <t>1. Layungsari =  27   
2. Cempaka putih = 4 
3. Cempa indah = 8
4. Kamboja = 2
5. Pertiwi = 6 
6. Melati Putih = 7
7. Seriak Layung = 17
8. Layung Rumbia = 2</t>
  </si>
  <si>
    <t>1. Layung sari = 17
2. Cempaka putih = 11
3. Cempa Indah = 8
4. Kamboja = 20 
5. Pertiwi = 6 
6. Melati putih = 7
7. Seriak layung = 44
8. Layung rumbia = 13</t>
  </si>
  <si>
    <t>1. Layung sari = 79
2. Cempaka putih = 27
3. Cempa Indah = 63
4. Kamboja = 69
5. Pertiwi = 58
6. Melati putih = 46
7. Seriak Layung = 56
8. Layung rumbia = 40</t>
  </si>
  <si>
    <t xml:space="preserve">SUDAH TERMASUK TENAGA PENDIDIK </t>
  </si>
  <si>
    <t>SPPG Lebak Kalanganyar Pasirkupa</t>
  </si>
  <si>
    <t>GGQATIMC</t>
  </si>
  <si>
    <t>Yayasan Bakti Asta Cita</t>
  </si>
  <si>
    <t xml:space="preserve"> Jl. KH.Moch Idrus, Pasirkupa, Cibeureum, Kalang Anyar, Pasirkupa, Kec. Kalanganyar, Kabupaten Lebak, Banten 42312</t>
  </si>
  <si>
    <t>ADRIYANSYAH BIMANTARA</t>
  </si>
  <si>
    <t>08985566609</t>
  </si>
  <si>
    <t>1. TK Negeri Teratai = 35 
2. TK Mandiri = 32</t>
  </si>
  <si>
    <t>1. KB Al Amanah = 12
2. RA Kun Fayakun = 30
3. KB Hati Nurani = 19
4. KB Karang Balita = 27
5. RA Arafah = 28</t>
  </si>
  <si>
    <t>1. Paud Melati = 31
2. Paud Buah Hati Ibu = 32
3. Paud Pelangi = 49
4. Paud Daarul Qori'in = 17</t>
  </si>
  <si>
    <t>1. SDN 03 Aweh = 179
2. SDN 02 Cilangkap = 206
3. SDN 01 Cilangkap = 248
4. MI Tsabbit Qolbi = 133
5. MI Nahdlatul Akhlaq = 161
6. MI Al Aziziyah = 70</t>
  </si>
  <si>
    <t>1. MTS Daarul Qoriin = 53
2. MTS Al Aziziyah = 142
3. MTS Al Idrus = 158
4. MTS Sirojul Mustaqim = 112</t>
  </si>
  <si>
    <t>1. MA Daarul Qoriin = 51
2. MA Sirojul Mustaqim = 107
3. MA Al Idrus = 117
4. MA Al Aziziyah = 206</t>
  </si>
  <si>
    <t>1. Posyandu Neglasari = 17
2. Posyandu Teratai = 3
3. Posyandu kitri Kencana = 10
4. Posyandu Dahlia = 1
5. Posyandu Anggrek Ceria = 17
6. Posyandu Daun Pakis = 4
7. Posyandu Rose = 7
8. Posyandu Ingin Maju = 18</t>
  </si>
  <si>
    <t>1. Posyandu Neglasari = 15
2. Posyandu Teratai = 9
3. Posyandu kitri Kencana = 21
4. Posyandu Dahlia = 30
5. Posyandu Anggrek Ceria = 20
6. Posyandu Daun Pakis = 26
7. Posyandu Rose = 25
8. Posyandu Ingin Maju = 12</t>
  </si>
  <si>
    <t>1. Posyandu Neglasari = 55
2. Posyandu Teratai = 38
3. Posyandu kitri Kencana = 78
4. Posyandu Dahlia = 50
5. Posyandu Anggrek Ceria = 105
6. Posyandu Daun Pakis = 0
7. Posyandu Rose = 80
8. Posyandu Ingin Maju = 82</t>
  </si>
  <si>
    <t>SPPG LEBAK KALANGANYAR AWEH 3</t>
  </si>
  <si>
    <t>C1UZLIJ5</t>
  </si>
  <si>
    <t>Yayasan Bait El Harokah</t>
  </si>
  <si>
    <t>Kp. Rangkong, RT/RW 004/003, Desa Aweh, Kalanganyar, Lebak, Banten 42312</t>
  </si>
  <si>
    <t>Irhamdi Rangkuti</t>
  </si>
  <si>
    <t>1. RA Al Hikmah = 26
2. RA Al Azkia = 19</t>
  </si>
  <si>
    <t>1. Paud Anakku Sayang = 68</t>
  </si>
  <si>
    <t>1. SDN 3 Aweh = 178
2. SDN 2 Sukamekarsari = 203
3. SDN 02 Sangiang Tanjung = 254
4. MI Tsabbit Qolbi = 125
5. MI Bani Said = 82</t>
  </si>
  <si>
    <t>1. SMPN 2 Kalanganyar = 145
2. SMPN 3 Kalanganyar = 170</t>
  </si>
  <si>
    <t>1. Posyandu Balapunah = 28
2. Posyandu Ciwaru = 6
3. Posyandu Cikadeuen = 6
4. Posyandu Dalung = 10
5. Posyandu Jasinga = 1
6. Posyandu Parung = 6
7. Posyandu Ranca Garut = 17
8. Posyandu Ranca Panjanga = 18</t>
  </si>
  <si>
    <t>1. Posyandu Balapunah = 41
2. Posyandu Ciwaru = 16
3. Posyandu Cikadeuen = 19
4. Posyandu Dalung = 23
5. Posyandu Jasinga = 3
6. Posyandu Parung = 20
7. Posyandu Ranca Garut = 35
8. Posyandu Ranca Panjanga = 42</t>
  </si>
  <si>
    <t>"1. Posyandu Balapunah = 140
2. Posyandu Ciwaru = 91
3. Posyandu Cikadeuen = 37
4. Posyandu Dalung = 78
5. Posyandu Jasinga = 19
6. Posyandu Parung = 73
7. Posyandu Ranca Garut = 111
8. Posyandu Ranca Panjanga = 114</t>
  </si>
  <si>
    <t>Pesantren Notamus = 15</t>
  </si>
  <si>
    <t>SUDAH TERMASUK GURU DAN TENAGA PENDIDIK</t>
  </si>
  <si>
    <t>UMZYZH4P</t>
  </si>
  <si>
    <t>HILMATUL MADANI</t>
  </si>
  <si>
    <t xml:space="preserve">Jln. Leuwidamar, Kp. Aweh, Desa Aweh, Kec. kalanganyar </t>
  </si>
  <si>
    <t>Tahap persiapan</t>
  </si>
  <si>
    <t>No</t>
  </si>
  <si>
    <t xml:space="preserve">CIJAKU </t>
  </si>
  <si>
    <t>SPPG LEBAK CIJAKU CIJAKU</t>
  </si>
  <si>
    <t>T4UKS1OS</t>
  </si>
  <si>
    <t>Kampung Lebak Siuh Desa Cijaku Kec. Cijaku Kab. Lebak Banten</t>
  </si>
  <si>
    <t xml:space="preserve">Muhamad Rizki Fatahillah </t>
  </si>
  <si>
    <t>1. KB KASIH BUNDA :	52
2. KB HARAPAN BUNDA	: 39
3. KB AN NADA :	59
4. KB NURUL QOLBI : 15
5. KB WIYATA BAKTI 2: 42</t>
  </si>
  <si>
    <t>1. TK PELITA 2 :	36</t>
  </si>
  <si>
    <t>1. RA SHIDQIN ALIYYA : 8</t>
  </si>
  <si>
    <t>1. PAUD NURUL HUDA 2: 27</t>
  </si>
  <si>
    <t>1. SDN 2 CIPALABUH	: 50
2. SDN 1 CIJAKU	: 202
3. SDN 1 CIPALABUH : 187
4. SDN 2 SUKASENANG	: 89
5. SDN 2 CIJAKU	: 104
6. SDN 2 CIBEUREUM: 138
7. SDN 1 MEKARJAYA: 115
8. MI LEBAK SIUH : 42
9. MI MA CIPALABUH : 42
10. MI MATHLA'UL ANWAR KUBANG: 101</t>
  </si>
  <si>
    <t>1. SMPN 1 CIJAKU	 : 372
2. SMPN 2 CIJAKU: 120
3. MTS MATAHUL ANWAR : 137
4. MTS DARUL FALAH	: 54
5. MTS MAYUS BALADESA : 41
6. MTS MATHLA'UL ANWAR SUKAMULYA: 82</t>
  </si>
  <si>
    <t>1. SMAN 1 CIJAKU : 415
2. MA MATAHUL ANWAR	: 81
3. MA DARUL FALAH : 17
4. MA MAYUS BALADESA : 19</t>
  </si>
  <si>
    <t>CIHUJAN</t>
  </si>
  <si>
    <t>SPPG Lebak Cijaku Cihujan</t>
  </si>
  <si>
    <t>P29P68HY</t>
  </si>
  <si>
    <t>YAYASAN MITRA BERKARYA BERSAMA</t>
  </si>
  <si>
    <t xml:space="preserve">Jl. Raya Malingping - Cijaku KM 09 Kp. Simpang Garung Ds. Cihujan Kec. Cijaku </t>
  </si>
  <si>
    <t>Muhammad Bastian Zafhran</t>
  </si>
  <si>
    <t>083890651698</t>
  </si>
  <si>
    <t>1. TK Anugrah Kandangsapi = 28</t>
  </si>
  <si>
    <t>1. Paud Pelita Hati Cihujan = 27
2. PAUD KB Pelangi = 58
3. PAUD KB Insan Cita Cireret = 27</t>
  </si>
  <si>
    <t>1. SDN 01 Kandangsapi = 184
2. SDN 02 Kandangsapi = 90
3. SDN 03 Kandangsapi = 235
4. MI Kandangsapi = 106
5. SDN 01 Cihujan = 161
6. SDN 03 Cihujan = 212
7. MI MA Cisasah Garung = 38
8. SDN Mekarjaya II = 182
18. MI MA Pamundayan = 79</t>
  </si>
  <si>
    <t>1. SMP Berdikari = 146
2. SMP 04 Cijaku = 223
3. MTS Nurul Hikmah = 30</t>
  </si>
  <si>
    <t>1. SMA 02 Cijaku = 137
2. SMK Berdikari = 158</t>
  </si>
  <si>
    <t>1. Posyandu Desa Cihujan = 24</t>
  </si>
  <si>
    <t>1. Posyandu Desa Cihujan = 132</t>
  </si>
  <si>
    <t>1. Posyandu Desa Cihujan = 252</t>
  </si>
  <si>
    <t>CIPALABUH</t>
  </si>
  <si>
    <t>SPPG LEBAK CIJAKU CIPALABUH</t>
  </si>
  <si>
    <t>N1EHLC0O</t>
  </si>
  <si>
    <t>YAYASAN MERDESA</t>
  </si>
  <si>
    <t>KP.BALEDESA Rt.002/Rw.001 DESA CIPALABUH KEC.CIJAKU, KAB. LEBAK, PROVINSI BANTEN</t>
  </si>
  <si>
    <t>02-Maret-2026</t>
  </si>
  <si>
    <t>SABDAL JUNG TAFONAO</t>
  </si>
  <si>
    <t xml:space="preserve">1. KB KASIH BUNDA = 55        2. KB NURUL QOLBI = 15                                                                Total = 70 </t>
  </si>
  <si>
    <t>TK/TPQ MA SUKAMULYA = 20</t>
  </si>
  <si>
    <t xml:space="preserve">RA SHIDQIN ALIYYA = 10    </t>
  </si>
  <si>
    <t>1. PAUD NURUL HUDA 2 = 29     2. PAUD KAPUNDUHAN = 50  3. PAUD KB PELANGI = 58         Total = 137</t>
  </si>
  <si>
    <t>1. SDN 1 CIPALABUH = 199     2. SDN 2 CIPALABUH = 60       3. SDN 1 MEKARJAYA = 123      4. SDN 2 MEKARJAYA = 180       5. SDN 1 KAPUNDUHAN = 185      6. MIS MATHLAUL ANWAR KUBANG = 112                                       7. MI MA PAMUNDAYAN = 80        Total = 939</t>
  </si>
  <si>
    <t>1. SMPN 4 CIJAKU = 223           2. MTS MA SUKAMULYA = 81             3. MTS MAULANA YUSUF = 50      Total = 354</t>
  </si>
  <si>
    <t>1. SMAN 2 CIJAKU = 137         2. MA MAULANA YUSUF = 28        Total = 165</t>
  </si>
  <si>
    <t>SUKASENANG  SPPG</t>
  </si>
  <si>
    <t>SPPG SUKASENANG</t>
  </si>
  <si>
    <t xml:space="preserve"> PJRRDGY8</t>
  </si>
  <si>
    <t>YAYASAN HAMIM CENTER FOUNDER</t>
  </si>
  <si>
    <t>KAMPUNG LEBAK GEMBOR JL. WARUNG UYUM KEC. CIJAKU KAB. LEBAK PROVINSI BANTEN</t>
  </si>
  <si>
    <t>BELUM OPERASIONAL</t>
  </si>
  <si>
    <t>ADRI</t>
  </si>
  <si>
    <t xml:space="preserve">1. KB HARAPAN BUNDA  : 39
2. KB WIYATA BAKTI 2      : 42
3. KB PELANGI                   : 68
4. KB INSAN PELANGI       : 41
               TOTAL = 190
</t>
  </si>
  <si>
    <t>SDN 1 Ciapus  : 106
SDN 2 Ciapus  : 229
SDN 1 Cibeureum  : 130
SDN 2 Cibeureum  : 137
SDN 3 Cibeureum : 101
SDN 1 SukaSenang : 50
SDN 2 SukaSenang : 86   TOTAL = 839</t>
  </si>
  <si>
    <t>SMPN 3 CIJAKU  : 87</t>
  </si>
  <si>
    <t>SMKS GUNS KERTA  : 40</t>
  </si>
  <si>
    <t xml:space="preserve">Tanggal Operasional </t>
  </si>
  <si>
    <t>CIBURUY</t>
  </si>
  <si>
    <t>SPPG LEBAK CURUGBITUNG CANDI</t>
  </si>
  <si>
    <t xml:space="preserve">4WASBBHI </t>
  </si>
  <si>
    <t>YAYASAN INSAN PERSADA BAHAGIA</t>
  </si>
  <si>
    <t>Kp cijakilah RT/RW 04/03,Desa ciburuy, Kecamatan Curugbitung, Kabupaten Lebak, Banten</t>
  </si>
  <si>
    <t>Sudah</t>
  </si>
  <si>
    <t>RAFLI DARMAWAN</t>
  </si>
  <si>
    <t>081280675824</t>
  </si>
  <si>
    <t>1. TK IT DHARMA INSAN :20
2. TK MITRA CENDIKIA : 31
3. TK PGRI 01 CURUGBITUNG:33</t>
  </si>
  <si>
    <t>1. RA ALFALAH : 44
2. RA NURUL HIDAYAH : 31</t>
  </si>
  <si>
    <t>1. PAUD ALFARTAH GOBANG: 36
2. PAUD CAHYA GEMILANG : 33
3. PAUD MUTIARA IBU: 70
4. PAUD KASIH IBU: 57
5. PAUD NAHDATUL HIMAH: 28
6. PAUD NUSA INDAH: 30
7. PAUD CEMPAKA : 40
8. PAUD BINA ANAK MANDIRI: 14</t>
  </si>
  <si>
    <t xml:space="preserve">1. MI MIFTAHUDIN : 308
2. SDN 1 CANDI : 205
3. SDN 1 MAYAK : 107
4. SDN 2 MAYAK : 125
</t>
  </si>
  <si>
    <t xml:space="preserve">1. SMPN 3 CURUGBITUNG : 175
2. MTs MIFTAHUDIN :82
</t>
  </si>
  <si>
    <t xml:space="preserve">1. SMKN CURUGBITUNG : 375
3. MA MIFTAHUDIN : 31
</t>
  </si>
  <si>
    <t>1. POSYANDU PELAMBOYAN 1=
2. POSYANDU PELAMBOYAN 2=
3. POSYANDU PELAMBOYAN 3=9
4. POSYANDU PELAMBOYAN 4=
5. POSYANDU PELAMBOYAN 5=
6. POSYANDU PELAMBOYAN 6=
7. POSYANDU PELAMBOYAN 7=</t>
  </si>
  <si>
    <t>1. POSYANDU PELAMBOYAN 1=
2. POSYANDU PELAMBOYAN 2=
3. POSYANDU PELAMBOYAN 3=37
4. POSYANDU PELAMBOYAN 4=
5. POSYANDU PELAMBOYAN 5=
6. POSYANDU PELAMBOYAN 6=
7. POSYANDU PELAMBOYAN 7=</t>
  </si>
  <si>
    <t>1. POSYANDU PELAMBOYAN 1=
2. POSYANDU PELAMBOYAN 2=
3. POSYANDU PELAMBOYAN 3=62
4. POSYANDU PELAMBOYAN 4=
5. POSYANDU PELAMBOYAN 5=
6. POSYANDU PELAMBOYAN 6=
7. POSYANDU PELAMBOYAN 7=</t>
  </si>
  <si>
    <t>1. PONPES NURMA ASYBIAN=27
2. PONPES HIDAYATUL KHOIRIAH=22
3. PONPES DAUL FALAH=35</t>
  </si>
  <si>
    <t>Lebak Asih</t>
  </si>
  <si>
    <t>SPPG Lebak Curug Bitung Lebakasih 1</t>
  </si>
  <si>
    <t xml:space="preserve">KAGBHOST </t>
  </si>
  <si>
    <t>Kp. Pasir buah rt/rw 012/003 desa lebak asih kecamatan curugbitung Lebak Banten</t>
  </si>
  <si>
    <t>Sudah operasional</t>
  </si>
  <si>
    <t xml:space="preserve">Ahmad Rifa'i </t>
  </si>
  <si>
    <t>PAUD KB AKHADIST ; 59             PAUD MUTIARA IBU ; 70.                        PAUD KB ALWIQAR ; 23.                PAUD Miftahulhuda mubtadiin ; 30</t>
  </si>
  <si>
    <t>TK PGRI 01 Curugbitung : 28</t>
  </si>
  <si>
    <t>SDN 1 lebak asih : 165.                   Sdn 1 curugbitung : 167.                         SDN 2 curugbitung : 139.                      Sdn 1 Sekarwangi  ; 240.                      SDN 2 Sekarwangi  ; 239.                        SDN 2 candi : 112</t>
  </si>
  <si>
    <t>SMPN 2 curugbitung ; 220.                 SMPN 5 satap curugbitung ; 90.            Mts manarul hidayah ; 241.                    Mts Miftahulhuda  ; 56</t>
  </si>
  <si>
    <t>Ma amanah ; 52.                                  Ma Miftahulhuda  ; 42.                          Smk manarul hidayah  ; 76</t>
  </si>
  <si>
    <t>Cilayang</t>
  </si>
  <si>
    <t>SPPG LEBAK CURUGBITUNG CILAYANG</t>
  </si>
  <si>
    <t>NTERLLK9</t>
  </si>
  <si>
    <t>Yayasan Permata Mitra Keluarga</t>
  </si>
  <si>
    <t>Jln. Raya Maja Koleang, Kp. Cilayang, RT/RW:02/01, Desa Cilayang, Kecamatan Curugbitung, Kabupaten Lebak, Banten.</t>
  </si>
  <si>
    <t>Muhamad Zhahiral Andhika Putra</t>
  </si>
  <si>
    <t>Yayasan Bani Usman (TK) : 50</t>
  </si>
  <si>
    <t>PAUD AL-FAJRI : 30
PAUD CITRA MANDIRI : 47
PAUD AL-WAQI`AH : 68</t>
  </si>
  <si>
    <t>SDN 1 CILAYANG : 248
SDN 3 CIPINING : 206
SDN 2 CILAYANG : 125
SDN 2 CIBURUY : 347
SDN 2 CILANGKAP : 318</t>
  </si>
  <si>
    <t>Yayasan Bani Usman (SMP) : 57
MTs Nur-El Dzulam : 23
SMP 1 CURUGBITUNG : 358
SMPN 7 MAJA : 147</t>
  </si>
  <si>
    <t>POSYANDU Dahlia I Cilayang : 10
POSYANDU Dahlia II Pabuhran : 33
POSYANDU Dahlia V Kenceh 2 : 21</t>
  </si>
  <si>
    <t xml:space="preserve">POSYANDU Dahlia I Cilayang : 11
POSYANDU Dahlia II Pabuhran : 29
POSYANDU Dahlia III CILODONG : 27
POSYANDU Dahlia IV Kenceh pasir guda : 13
POSYANDU Dahlia VI CILAYANG Masjid : 19
</t>
  </si>
  <si>
    <t>POSYANDU Dahlia I Cilayang : 47
POSYANDU Dahlia II Pabuhran : 108
POSYANDU Dahlia III CILODONG : 38
POSYANDU Dahlia IV Kenceh pasir guda : 29
POSYANDU Dahlia V Kenceh 2 : 49
POSYANDU Dahlia VI CILAYANG Masjid : 35</t>
  </si>
  <si>
    <t>PONPES AL-BAQIYATUS IKLAS : 45
PONPES DARUL BINA : 45
PONPES DARUL AWAMIL : 30
Darul Fikar : 27</t>
  </si>
  <si>
    <t xml:space="preserve">Guradog </t>
  </si>
  <si>
    <t xml:space="preserve">SPPG LEBAK CURUG BITUNG GURADOG </t>
  </si>
  <si>
    <t>3FNHQCRN</t>
  </si>
  <si>
    <t xml:space="preserve">Yayasan Darul Qur-an Mulia </t>
  </si>
  <si>
    <t xml:space="preserve">Jl Raya Desa Guradog, Desa Guradog Kecamatan Curug Bitung Kabupaten Lebak, Banten </t>
  </si>
  <si>
    <t xml:space="preserve">Noval Alfyandi Rusmi </t>
  </si>
  <si>
    <t>082369462140</t>
  </si>
  <si>
    <t>KB ALQURAN ASSIDITIYAH : 35     KB ALBUKHORI : 61</t>
  </si>
  <si>
    <t>PAUD KP ALUN : 20
PAUD KP GURADOG : 34
PAUD FATHUL BRIYAN (CIDENDONG) : 17                            PAUD SPS ANYER KEMBANG KUNING : 44
PAUD TARBIYATUL AULUD : 107
PAUD SPS TUNAS JAYA BARAMBANG : 27                           PAUD ANUR ALMADIYAH: 32
PAUD SPS TUNAS JAYA 2 NGASUH : 10</t>
  </si>
  <si>
    <t>SDN 1 GURADOG: 184
SDN 2 GURADOG : 209
SDN 3 GURADOG : 102     SDN 1 CIGELUNG: 259
SDN 4 CURUG : 257 
SDN 5 CURUG : 136                     SDN KEMBANG KUNING : 207</t>
  </si>
  <si>
    <t>SMPN 4 CURUG BITUNG : 137</t>
  </si>
  <si>
    <t xml:space="preserve">RAFLESIA POST 1 : 10         RAFLESIA POST 2 : 10        RAFLESIA POST 3 :  6         RAFLESIA POST 4 : 14      RAFLESIA POST 5,6 : 9 </t>
  </si>
  <si>
    <t xml:space="preserve">RAFLESIA POST 1 : 10         RAFLESIA POST 2 : 9        RAFLESIA POST 3 :  6         RAFLESIA POST 4 : 13      RAFLESIA POST 5,6 : 9 </t>
  </si>
  <si>
    <t xml:space="preserve">RAFLESIA POST 1 : 94         RAFLESIA POST 2 : 89        RAFLESIA POST 3 :  40         RAFLESIA POST 4 : 105      RAFLESIA POST 5,6 : 75 </t>
  </si>
  <si>
    <t>PONPES RIYADUL : 11</t>
  </si>
  <si>
    <t>Lebak asih</t>
  </si>
  <si>
    <t>SPPG LEBAK CURUGBITUNG LEBAKASIH 2</t>
  </si>
  <si>
    <t>3QSIOUOT</t>
  </si>
  <si>
    <t>Jl Gardu batok, Kp cokel pematang Desa Lebakasih, Kecamatan Curugbitung, Kabupaten Lebak</t>
  </si>
  <si>
    <t>BELUUM</t>
  </si>
  <si>
    <t>Farhan Ali Syihat</t>
  </si>
  <si>
    <t xml:space="preserve">Paud Nurlintang : 42
Paud Asih Mandiri : 46
</t>
  </si>
  <si>
    <t xml:space="preserve">SDN 1 Cipining : 267
SDN 2 Cipining : 224
SDN 2 Lebak Asih : 248
SDN 1 Cidadap : 196
SDN 1 Guradog : 183
SDN 2 Guradog : 207
SDN 3 Guradog : 101
MI Al Hadid : 202
</t>
  </si>
  <si>
    <t xml:space="preserve">SMPN 4 Curugbitung : 135
MTS Al Amin : 116
</t>
  </si>
  <si>
    <t>MA Al Amin : 104</t>
  </si>
  <si>
    <t xml:space="preserve">
Posyandu Melati 1 : 12
Posyandu Melati 2 : 7
Posyandu Melati 3 : 7
Posyandu Melati 4 : 4
Posyandu Melati 5 : 2
</t>
  </si>
  <si>
    <t xml:space="preserve">
Posyandu Melati 1 : 34
Posyandu Melati 2 : 45
Posyandu Melati 3 : 35
Posyandu Melati 4 : 9
Posyandu Melati 5 : 11
</t>
  </si>
  <si>
    <t xml:space="preserve">Posyandu Melati 1 : 65
Posyandu Melati 2 : 90
Posyandu Melati 3 : 40
Posyandu Melati 4 : 25
Posyandu Melati 5 : 16
</t>
  </si>
  <si>
    <t>Curug Bitung</t>
  </si>
  <si>
    <t>SPPG Lebak Curug Bitung Cipining</t>
  </si>
  <si>
    <t>6JGSPRHP</t>
  </si>
  <si>
    <t>Yayasan Hamim center founder</t>
  </si>
  <si>
    <t>kp. babakan, Desa curug Bitung, kecamatan curug Bitung, kabupaten Lebak, provinsi Banten</t>
  </si>
  <si>
    <t>Antonius Waruwu</t>
  </si>
  <si>
    <t>SDN 2 curugbitung : 129                 SDN 1 Cipining : 254                     SDN 2 Cipining : 211                 SDN 1 Cidadap : 186                 MI ALHADID : 187</t>
  </si>
  <si>
    <t>MTS ALAMIN : 102</t>
  </si>
  <si>
    <t>MA ALAMIN : 35</t>
  </si>
  <si>
    <t>TANGGAL OPERASIONAL</t>
  </si>
  <si>
    <t xml:space="preserve">WANASALAM </t>
  </si>
  <si>
    <t>SPPG Lebak Wanasalam Wanasalam 2</t>
  </si>
  <si>
    <t xml:space="preserve">OPQUH3RV </t>
  </si>
  <si>
    <t xml:space="preserve">Generasi inovatif banten </t>
  </si>
  <si>
    <t xml:space="preserve">Kp Kubang Haur RT 006 RW 002 Desa Wanasalam kec wanasalam Lebak Banten </t>
  </si>
  <si>
    <t xml:space="preserve">HERU RIYADI  </t>
  </si>
  <si>
    <t>1. KOBER AR-RAZKHA = 53</t>
  </si>
  <si>
    <t>1. TK AL-HUDA = 26</t>
  </si>
  <si>
    <t xml:space="preserve">
2. RA MAFATIHUL ULUM = 21</t>
  </si>
  <si>
    <t xml:space="preserve">1. PAUD NURUL HUDA = 33
2. PAUD MAULANA YUSUF = 21
</t>
  </si>
  <si>
    <t xml:space="preserve">1. SDN 1 CIPEDANG = 333
2. MI,MA SUKABAKTI = 202
3. MI,MA WANASALAM =128
4. MI DARURROHMANIL BUN-YAN = 47
</t>
  </si>
  <si>
    <t xml:space="preserve">1. MTS MAULANA YUSUF = 113
2. MTS MA SUKABAKTI  = 122
</t>
  </si>
  <si>
    <t xml:space="preserve">1. SMAN 1 WANASALAM = 701
2. MA MAULANA YUSUF = 67
</t>
  </si>
  <si>
    <t xml:space="preserve">1. Anggrek 1 = 21
2. Anggrek 5 = 18
3. Anggrek 6 = 4
4. Mawar 1 = 0
5. Mawar 2 = 0
6. Mawar 3 = 0
7. Mawar 4 = 0
8. Mawar 5 = 0
9. Mawar 1 S/D Mawar 5 = 73
</t>
  </si>
  <si>
    <t xml:space="preserve">1. Anggrek 1 = 86
2. Anggrek 5 = 55
3. Anggrek 6 = 24
4. Mawar 1 = 0
5. Mawar 2 = 0
6. Mawar 3 = 0
7. Mawar 4 = 0
8. Mawar 5 = 0
9. Mawar 1 S/D Mawar 5 = 69
</t>
  </si>
  <si>
    <t>1. Anggrek 1 = 24
2. Anggrek 5 = 10
3. Anggrek 6 = 15
4. Mawar 1 = 0
5. Mawar 2 = 0
6. Mawar 3 = 0
7. Mawar 4 = 0
8. Mawar 5 = 0
9. Mawar 1 S/D Mawar 5 = 147</t>
  </si>
  <si>
    <t>WANASALAM</t>
  </si>
  <si>
    <t>SPPG Lebak Wanasalam Wanasalam 1</t>
  </si>
  <si>
    <t>LH3NGGIQ</t>
  </si>
  <si>
    <t>GENERASI INOVATIF BANTEN</t>
  </si>
  <si>
    <t>KP. JAYAMUKTI RT/RW 002/003 DESA WANASALAM KECAMATAN WANASALAM KABPATEN LEBAK_BANTEN</t>
  </si>
  <si>
    <t>JULIANA</t>
  </si>
  <si>
    <t>085899188270</t>
  </si>
  <si>
    <t xml:space="preserve">
1.RA MA CISARAP = 41
2.RA DARULFALAH = 31
</t>
  </si>
  <si>
    <t xml:space="preserve">
1. ⁠PAUD AZKIYAL ATHFAL = 46</t>
  </si>
  <si>
    <t>1. ⁠SDN 1 CISARAP = 152
2. ⁠SDN 1 WANASALAM =268
3. ⁠SDN 2 BEJOD = 132
4. ⁠SDN 2 WANASALAM =229
5. ⁠MI CISARAP = 151
6. MI BADONG = 122</t>
  </si>
  <si>
    <t>1. ⁠SMPN 1 WANASALAM = 805
2. ⁠MTS MA CISARAP = 68
3. SMP TERPADU AN-NIDZOM=123
4. ⁠SMP SUBULUSSALAM= 70</t>
  </si>
  <si>
    <t>1. ⁠B3 POSYANDU ANGGREK 2 = 9      2. ⁠B3 POSYANDU ANGGREK 3= 10
3. ⁠B3 POSYANDU ANGGREK 4= 14
4. ⁠B3 CISARAP = 82
5. ⁠B3 MELATI 1= 11</t>
  </si>
  <si>
    <t>1. POSYANDU ANGGREK 2 = 14
2. POSYANDU ANGGREK 3 = 7
3. POSYANDU ANGGREK 4 = 13
4. POSYANDU PERMATA 1 = 58
5. POSYANDU PERMATA 2 = 21</t>
  </si>
  <si>
    <t>1. POSYANDU ANGGREK 2= 24
2. POSYANDU ANGGREK 3 = 30
3. POSYANDU ANGGREK 4 = 26
4. POSYANDU PERMATA 1=19
5. POSYANDU MELATI 1 = 225</t>
  </si>
  <si>
    <t>MUARA</t>
  </si>
  <si>
    <t>SPPG Lebak Wanasalam Muara 2</t>
  </si>
  <si>
    <t>XUM5X1UK</t>
  </si>
  <si>
    <t>Yayasan Lukisan Anak Bangsa</t>
  </si>
  <si>
    <t>Kp. Duraen RT 027/RW 007 Desa Muara,Kec. Wanasalam, Kab. Lebak, Banten</t>
  </si>
  <si>
    <t>Cecep Apriadi</t>
  </si>
  <si>
    <t>085664951733</t>
  </si>
  <si>
    <t>1. KB AN-NACHROWI : 22
2. KB SUBULUSSALAM : 43</t>
  </si>
  <si>
    <t>1. RA MAFATIHUL ULUM = 42</t>
  </si>
  <si>
    <t>1. PAUD FATHURROHMAN = 52</t>
  </si>
  <si>
    <t xml:space="preserve">1. SDN 3 WANASALAM = 113
2. SDN 2 KATAPANG = 206
3. SDN 2 CIPEDANG = 104
4. SD IT FATHI QALBI = 102
5. MIS MATHLAUL ANWAR CILIMUS = 142
6. MI NURUL HIDAYAH = 26
</t>
  </si>
  <si>
    <t>1.  MTS Binuangeun = 367</t>
  </si>
  <si>
    <t>1. MA BINUANGEUN = 64
2. SMK DARUN NADWAH = 62</t>
  </si>
  <si>
    <t>1. MUTIARA 1 = 10
2. MUTIARA 2 = 3
3. MUTIARA 4 = 26</t>
  </si>
  <si>
    <t>1. MUTIARA 1 = 40
2. MUTIARA 2 = 10
3. MUTIARA 4 = 40</t>
  </si>
  <si>
    <t>1. MUTIARA 1 = 27
2. MUTIARA 2 = 20
3. MUTIARA 4 = 36</t>
  </si>
  <si>
    <t>1. RIYADATUL MUBTADIN = 50</t>
  </si>
  <si>
    <t>SPPG Lebak Wanasalam Muara 1</t>
  </si>
  <si>
    <t>DJPQJOKS</t>
  </si>
  <si>
    <t xml:space="preserve">Yayasan Cendekia Rahmawati Gemilang </t>
  </si>
  <si>
    <t xml:space="preserve">Kp. Tanjung Panto, RT 018/RW 005, Ds. Muara, Kec. Wanasalam, Kab. Lebak, Banten </t>
  </si>
  <si>
    <t>28 Januari 2026</t>
  </si>
  <si>
    <t xml:space="preserve">HAFIDH SUBHAN </t>
  </si>
  <si>
    <t>081360093231</t>
  </si>
  <si>
    <t>1. KB NURUL FALAH = 51</t>
  </si>
  <si>
    <t xml:space="preserve">1. TK LESTARI = 38 </t>
  </si>
  <si>
    <t>1. PAUD PELITA = 46</t>
  </si>
  <si>
    <t>1. SDN 3 MUARA = 581
2. SDN 1 KATAPANG = 204.                          3. MI MATHLAUL ANWAR = 228</t>
  </si>
  <si>
    <t>1. MTS AL-MUJAHIDIN = 135         2. MTS DAARUZ ZUHAN = 51</t>
  </si>
  <si>
    <t xml:space="preserve">1. MUTIARA 5 = 8 
2. MUTIARA 6 = 8 
3. MUTIARA 7 = 8
4. MUTIARA 8 = 2 
5. MUTIARA 9 =  10 </t>
  </si>
  <si>
    <t xml:space="preserve">1. MUTIARA 5 = 14
2. MUTIARA 6 = 33
3. MUTIARA 7 = 22
4. MUTIARA 8 = 17
5. MUTIARA 9 = 7 </t>
  </si>
  <si>
    <t xml:space="preserve">1. MUTIARA 5 = 5
2. MUTIARA 6 = 30
3. MUTIARA 7 = 21
4. MUTIARA 8 = 13
5. MUTIARA 9 = 27 </t>
  </si>
  <si>
    <t>1. SIROJUL ATHFAL = 28                   2. RIYADUL ULUM = 20          3. Riyadul Mubtadiin = 37      4. Al-Kalam = 44                      5. Al-Hidayah = 43</t>
  </si>
  <si>
    <t>Bejod</t>
  </si>
  <si>
    <t>SPPG Lebak Wanasalam Bejod</t>
  </si>
  <si>
    <t>KUS53LWJ</t>
  </si>
  <si>
    <t>Jl. Raya jembatan kayu kp. Jaringan rt006/r002, desa bejod kec. Wanasalam kab. Lebak</t>
  </si>
  <si>
    <t>DENIS ARROKHMAN</t>
  </si>
  <si>
    <t>082298329833</t>
  </si>
  <si>
    <t>KB IT BANY ZUHUD = 15</t>
  </si>
  <si>
    <t>TK SALMAN AL-FARIZHI = 28</t>
  </si>
  <si>
    <t>1. SDN 1 CIPEUCANG = 207
2. SDN 1 BEJOD = 193
3. SDN 3 BEJOD = 147
4. SDN 1 PARUNGSARI = 153
5. SDN 2 PARUNGSARI = 123
6. MIS MATHLAUL ANWAR CIKEUSIK DESA
7. MIS MATHLAUL ANWAR BARENGKOK GIRANG
8. MIS DARRUROHMANIL BUNYAN CIDOMAS</t>
  </si>
  <si>
    <t>1. SMPN 2 WANASALAM = 326
2. SMPN 5 WANASALAM = 162
3. MTS MATHLAUL ANWAR CIKEUSIK DESA = 98
4. MTS IT BANY ZUHUD = 40</t>
  </si>
  <si>
    <t>1. SMK IT BANY ZUHUD = 109
2. SMKN 1 WANASALAM = 251</t>
  </si>
  <si>
    <t>1. POSYANDU FLAMBOYAN 2 = 2
2. POSYANDU FLAMBOYAN 3 = 5
3. POSYANDU FLAMBOYAN 4 = 4
4. POSYANDU FLAMBOYAN 5 = 1
5. POSYANDU FLAMBOYAN 6 = 7</t>
  </si>
  <si>
    <t>1. POSYANDU FLAMBOYAN 2 = 7
2. POSYANDU FLAMBOYAN 3 = 14
3. POSYANDU FLAMBOYAN 4 = 19
4. POSYANDU FLAMBOYAN 5 = 7
5. POSYANDU FLAMBOYAN 6 = 19</t>
  </si>
  <si>
    <t>1. POSYANDU FLAMBOYAN 2 = 50
2. POSYANDU FLAMBOYAN 3 = 54
3. POSYANDU FLAMBOYAN 4 = 50
4. POSYANDU FLAMBOYAN 5 = 30
5. POSYANDU FLAMBOYAN 6 = 53</t>
  </si>
  <si>
    <t>SPPG Lebak Wanasalam Muara 3</t>
  </si>
  <si>
    <t>PMV0JWSJ</t>
  </si>
  <si>
    <t>Yayasan sahabat bumi lestari</t>
  </si>
  <si>
    <t>Kp. Setra Rt 22/Rw 
07, Desa Muara, Kecamatan Wanasalam Kab. Lebak, Provinsi Banten</t>
  </si>
  <si>
    <t xml:space="preserve">AKMAL RISMANSYAH NASUTION </t>
  </si>
  <si>
    <t>1. Kb an-nachrowi :22.              2. Kb islam as syakirin : 23</t>
  </si>
  <si>
    <t xml:space="preserve">1. TK latifa an nur : 26.                 2. Tk anchrowi : 26.                      3. Tk al abhar : 35                        </t>
  </si>
  <si>
    <t>1. Ra ar rafa : 23</t>
  </si>
  <si>
    <t>1. Paud fatur rohman : 52.                 2.paud ar ridho : 21</t>
  </si>
  <si>
    <t>1. SD IT FATIH QALBI : 102.                             2. Sdn 2 cipedang : 104                                 3. Sdn 1 muara : 239.                                     4. Sdn 1 cikeusik : 148.                                  5. Mis mathlaul anwar cililitan : 84.            6. Mis jamiatul arifiah : 74</t>
  </si>
  <si>
    <t>1. Pkbm asuh warga : 62                 2. Skh harapan mulia : 30</t>
  </si>
  <si>
    <t>1. Smk darun nadwah as salam : 62      2. Sma fatih qalbi : 24</t>
  </si>
  <si>
    <t>1. Melati 3 = 10                               2. Melati 4 = 11                               3. Melati 5 = 18</t>
  </si>
  <si>
    <t>1. Melati 3 = 39                        2. Melati 4 = 27                        3. Melati 5 = 33</t>
  </si>
  <si>
    <t>1. Melati 3 = 103                        2. Melati 4 = 88                           3. Melati 5 = 115</t>
  </si>
  <si>
    <t>1. PPS. NURUL MUBTADI ll = 97.                                               2.PONPES RIYADATUL MUBTADIIN :77</t>
  </si>
  <si>
    <t>Muara</t>
  </si>
  <si>
    <t>X8DQ5FZC</t>
  </si>
  <si>
    <t>Yayasan Kemala Bhayangkari</t>
  </si>
  <si>
    <t>Kp. Harapan,, RT/RW: 23/006, Desa Muara, Kec. Wanasalam, Kab. Lebak, banten</t>
  </si>
  <si>
    <t>04 Mei 2026</t>
  </si>
  <si>
    <t>ANSGARIUS ARNOLDI SUDIN</t>
  </si>
  <si>
    <t>081348083684</t>
  </si>
  <si>
    <t>1. KB AZZAHRA : 68</t>
  </si>
  <si>
    <t xml:space="preserve">1. TK Latifatun An-Nur: 25
2. TK Darull Faqih : 58
</t>
  </si>
  <si>
    <t>1. SDN 2 MUARA = 567</t>
  </si>
  <si>
    <t>1. SMP IT FATHI QOLBI = 90</t>
  </si>
  <si>
    <t>1. POSYANDU PERMATA 1= 5
2. POSYANDU PERMATA 2= 7
3. POSYANDU PERMATA 3= 8
4. POSYANDU PERMATA 4= 13
5. POSYANDU MUTIARA 10= 5
6. POSYANDU DAHLIA 1= 8
7. POSYANDU DAHLIA 2= 0
8. POSYANDU DAHLIA 3= 15
9. POSYANDU DAHLIA 4= 6
10. POSYANDU MAWAR 1= 5
11. POSYANDU MAWAR 2= 7
12. POSYANDU MAWAR 3= 5
13. POSYANDU MAWAR 4= 5
14. POSYANDU MAWAR 5= 5
15. POSYANDU MAWAR 6= 7
16. POSYANDU MAWAR 7= 7</t>
  </si>
  <si>
    <t>1. POSYANDU PERMATA 1= 6
2. POSYANDU PERMATA 2= 32
3. POSYANDU PERMATA 3= 18
4. POSYANDU PERMATA 4= 6
5. POSYANDU MUTIARA 10= 10
6. POSYANDU DAHLIA 1= 35
7. POSYANDU DAHLIA 2= 8
8. POSYANDU DAHLIA 3= 8
9. POSYANDU DAHLIA 4= 17
10. POSYANDU MAWAR 1= 27
11. POSYANDU MAWAR 2= 21
12. POSYANDU MAWAR 3= 19
13. POSYANDU MAWAR 4= 7
14. POSYANDU MAWAR 5= 16
15. POSYANDU MAWAR 6= 10
16. POSYANDU MAWAR 7= 11</t>
  </si>
  <si>
    <t>1. POSYANDU PERMATA 1= 13
2. POSYANDU PERMATA 2= 26
3. POSYANDU PERMATA 3= 43
4. POSYANDU PERMATA 4= 56
5. POSYANDU MUTIARA 10= 24
6. POSYANDU DAHLIA 1= 72
7. POSYANDU DAHLIA 2= 62
8. POSYANDU DAHLIA 3= 46
9. POSYANDU DAHLIA 4= 22
10. POSYANDU MAWAR 1= 67
11. POSYANDU MAWAR 2= 74
12. POSYANDU MAWAR 3=50
13. POSYANDU MAWAR 4=35
14. POSYANDU MAWAR 5=38
15. POSYANDU MAWAR 6=39
16. POSYANDU MAWAR 7=46</t>
  </si>
  <si>
    <t xml:space="preserve">1. Ponpes Babakan Loa =19
2. Ponpes Darul Mubtadi Muntaha =17
3. Ponpes Riyadussalam = 34
4. Ponpes Almuqodas = 30
</t>
  </si>
  <si>
    <t>PARUNG PANJANG</t>
  </si>
  <si>
    <t>SPPG PARUNG PANJANG WANASALAM</t>
  </si>
  <si>
    <t>9GAIJHVP</t>
  </si>
  <si>
    <t>YAYASAN PERMAS AGUNG</t>
  </si>
  <si>
    <t>Kp bejod RT 002 RW OO1 Desa parung panjang kecamatan wanasalam kabupaten lebak banten</t>
  </si>
  <si>
    <t>4 Maret 2026</t>
  </si>
  <si>
    <t>M IHSAN SADID</t>
  </si>
  <si>
    <t>1. TK AN NASHRU AIDA:32</t>
  </si>
  <si>
    <t>1. PAUD CILANGKAP : 33
2. PAUD AL AMIN : 22
3. PAUD DARUL ULUM : 20</t>
  </si>
  <si>
    <t xml:space="preserve">1. SD 3 PARUNG PANJANG : 181.                             2. SD 1 KARANG PAMIDANGAN : 169                                                   3. SD 2 PARUNG PANJANG : 110.                                     4. SD 1 PARUNG PANJANG: 144                                  5. SD 1 CILANGKAP : 122                             6. SD ALAM INSAN MAHIRA : 79             7.MI WARUNG JOGJOG :81                           8. MI CILIMUS : 146                                                                 9. MI CILULUK : 61                                                 10. MI AN NUR SOBONG : 77   </t>
  </si>
  <si>
    <t>1. MTS AS SHOBIRUN : 54                          2. SMP 4 SATU ATAP : 56                  3. SMP 3 WANASALAM : 110</t>
  </si>
  <si>
    <t>1. SMK 1 WANASALAM : 281</t>
  </si>
  <si>
    <t>1. POSYANDU MELATI 1 : 10         2. POSYANDU MELATI 2 : 8                       3. POSYANDU MELATI 3 : 10                          4. POSYANDU MELATI 4 : 10                     5. POSYANDU MELATI 5 : 6                                    6. POSYANDU MELATI 6 : 4</t>
  </si>
  <si>
    <t xml:space="preserve">1. POSYANDU PERMATA 1= 17
2. POSYANDU PERMATA 2= 13
3. POSYANDU PERMATA 3= 18
4. POSYANDU PERMATA 4= 18
5. POSYANDU MUTIARA 10= 22
6. POSYANDU DAHLIA 1= 10
</t>
  </si>
  <si>
    <t>1. POSYANDU PERMATA 1= 50
2. POSYANDU PERMATA 2= 51
3. POSYANDU PERMATA 3= 57
4. POSYANDU PERMATA 4= 66
5. POSYANDU MUTIARA 10= 57
6. POSYANDU DAHLIA 1= 35</t>
  </si>
  <si>
    <t>1. PONPES ARIYADUL MUTAALIMIN : 26                            2. PONPES ARIYADUL MUTAQIN : 16</t>
  </si>
  <si>
    <t>Sukatani</t>
  </si>
  <si>
    <t>SPPG Lebak Wanasalam Sukatani</t>
  </si>
  <si>
    <t>WRG0CPUH</t>
  </si>
  <si>
    <t>Kemala Bhayangkari</t>
  </si>
  <si>
    <t>Kampung Sindanghurip RT 014 RW 005, Desa Sukatani, Kecamatan Wanasalam, Kabupaten Lebak, Provinsi Banten</t>
  </si>
  <si>
    <t>18 Mei 2026</t>
  </si>
  <si>
    <t>Mubin</t>
  </si>
  <si>
    <t>1. Tk Subulussalam : 67</t>
  </si>
  <si>
    <t>RA Almu'Minun: 53</t>
  </si>
  <si>
    <t>1. SDN 1 Sukatani	= 274
⁠2. SDN 3 Sukatani 	= 238
⁠3. SDN 1 Parung Sari	= 166
4. SDN 2 Parung Sari= 135
5. SDIT Generasi Cendekia=238
6. SD Subulussalam =192</t>
  </si>
  <si>
    <t>1. SMP Subulussalam=70</t>
  </si>
  <si>
    <t xml:space="preserve">Sindanglaya </t>
  </si>
  <si>
    <t>SPPG Lebak Sobang Sindanglaya 2</t>
  </si>
  <si>
    <t xml:space="preserve"> EAA6JRGJ</t>
  </si>
  <si>
    <t xml:space="preserve">MATHLA UL HIDAYAH </t>
  </si>
  <si>
    <t xml:space="preserve">JALAN GUNUNG BANGKONG KAMPUNG PASIR EURIH DESA SINDANGLAYA KECAMATAN SOBANG </t>
  </si>
  <si>
    <t xml:space="preserve">GOGO YOSAFAT </t>
  </si>
  <si>
    <t>1. KB Al Ihsan: 72</t>
  </si>
  <si>
    <t>1. Tk Nyalindung :26
2. Tk Harapan Bunda : 62
3. Tk Harapan Jaya: 97</t>
  </si>
  <si>
    <t>KB AL IHSAN: 84</t>
  </si>
  <si>
    <t>1. SDN 1 SINAR JAYA : 104
2. SDN 1 SUKAJAYA : 162
3. SDN 2 SINDANGLAYA :156
4. SDN 2 SINARJAYA : 84 
5. SDN 1 SUKARESMI: 204</t>
  </si>
  <si>
    <t>1. SMPN 5 SOBANG : 284 
2. MTs RIYADUL ULUM: 83
3. MTs.DARUL AHSAN: 93</t>
  </si>
  <si>
    <t>1. SMAN 1 SOBANG : 468</t>
  </si>
  <si>
    <t>1.  Posyandu Rajawali : 11
2.  Posyandu Lestari : 5
3.  Posyandu Setia kawan : 9
4.  Posyandu Murni : 7
5.  Posyandu Jaya nukti: 5
6.Posyandu Bahagia : 1
7.Posyandu Sinar harapan :1
8.Posyandu Sinar maju: 6
9.Posyandu desa sukaresmi : 14</t>
  </si>
  <si>
    <t>1.  Posyandu Rajawali :16
2.  Posyandu Lestari :19
3.  Posyandu Setia kawan :20
4.  Posyandu Murni :9
5.  Posyandu Jaya nukti :12
6.Posyandu Bahagia :6
7.Posyandu Sinar harapan :6
8.Posyandu Sinar maju:9
9.Posyandu desa sukaresmi: 31</t>
  </si>
  <si>
    <t>1.  Posyandu Rajawali :54
2.  Posyandu Lestari :46
3.  Posyandu Setia kawan :42
4.  Posyandu Murni :24
5.  Posyandu Jaya nukti :42
6.Posyandu Bahagia :31
7.Posyandu Sinar harapan :21
8.Posyandu Sinar maju :32
9.Posyandu desa sukaresmi: 91</t>
  </si>
  <si>
    <t>SPPG Lebak Sobang Sindanglaya 04</t>
  </si>
  <si>
    <t>AMT3COW5</t>
  </si>
  <si>
    <t xml:space="preserve">BINAAKSARA CENDIKIA </t>
  </si>
  <si>
    <t>KP. SELAGUNUNG, RT 01/RW 03 DS.SINDANGLAYA,KEC.SOBANG, KAB.LEBAK</t>
  </si>
  <si>
    <t xml:space="preserve">SHANDY EFANSYAH </t>
  </si>
  <si>
    <t>01.	TK DAMAR CIROMPANG (43)
02.	TK AL HUSNA (47)
03.	TK CAHYA INSANI (65)</t>
  </si>
  <si>
    <t>01.	PAUD BHAKTI PERTIWI (40)
02.	PAUD DARUL MUBTADIIN (34)
03.	KOBER CAHYA INSANI (67)
04.	KOBER MIFTHAHUL HIDAYAH (105)</t>
  </si>
  <si>
    <t>01.	SDN 01 SINDANGLAYA (100)
02.	SDN 01 CIROMPANG (150)
03.	SDN 01 SUKAMAJU (303)
04.	SDN 01 SOBANG (320)
05.	SDN 01 HARIANG (161)
06.	MI SELAGUNUNG (92)</t>
  </si>
  <si>
    <t>1. SMPN 02 SOBANG (235)</t>
  </si>
  <si>
    <t>1. MA WASILATUL HUSNA (18)</t>
  </si>
  <si>
    <t>1. POSYANDU SETIA BERJALAN: 7
2. POSYANDU SALUYU: 8
3. POSYANDU MANDALA: 5
4. POSYANDU SETIA BAKTI: 2
5. POSYANDU AGUNG JAYA: 5
6. POSYANDU JERAPAH: 4
7. POSYANDU BERUANG: 5
8. POSYANDU GAJAH: 11
9. POSYANDU KANCIL: 3</t>
  </si>
  <si>
    <t>1. POSYANDU SETIA BERJALAN: 12
2. POSYANDU SALUYU: 13
3. POSYANDU MANDALA: 19
4. POSYANDU SETIA BAKTI:12
5. POSYANDU AGUNG JAYA: 12
6. POSYANDU JERAPAH: 10
7. POSYANDU BERUANG: 3
8. POSYANDU GAJAH: 3
9. POSYANDU KANCIL: 0</t>
  </si>
  <si>
    <t>1. POSYANDU SETIA BERJALAN: 32
2. POSYANDU SALUYU: 39
3. POSYANDU MANDALA: 32
4. POSYANDU SETIA BAKTI: 14
5. POSYANDU AGUNG JAYA: 27
6. POSYANDU JERAPAH: 21
7. POSYANDU BERUANG: 12
8. POSYANDU GAJAH: 57
9. POSYANDU KANCIL: 43</t>
  </si>
  <si>
    <t>Suka Maju</t>
  </si>
  <si>
    <t>SPPG Suka Maju Sobang Lebak Banten</t>
  </si>
  <si>
    <t>SO2X7W39</t>
  </si>
  <si>
    <t>DAARUSSAADAH</t>
  </si>
  <si>
    <t>KP. CIKUNING, RT 05/RW 06 DS.SUKAMAJU, KEC. SOBANG, KAB. LEBAK</t>
  </si>
  <si>
    <t>TEUKU RIAN ADITYA</t>
  </si>
  <si>
    <t>Majasari</t>
  </si>
  <si>
    <t>SPPG Majasari, Sobang, Lebak</t>
  </si>
  <si>
    <t>FJMLDXSA</t>
  </si>
  <si>
    <t>Kp. Maja, Desa Majasari, Rt.003 Rw 005, Kecamatan Sobang, Kabupaten Lebak</t>
  </si>
  <si>
    <t>SPPG Majasari Polda Banten</t>
  </si>
  <si>
    <t>Yayasan kemala Bhayangkari polda Banten</t>
  </si>
  <si>
    <t>Kp. Impres RT. 03/RW 05 Desa Majasari Kecamatan Sobang, Kabupaten lebak</t>
  </si>
  <si>
    <t>ABADIUS NDRURU</t>
  </si>
  <si>
    <t>1. TK Islam Fitrah Insani : 107       2. TK Harapan Ciparasi :78</t>
  </si>
  <si>
    <t>1. SDN 1 Majasari :426               2. SDN 2 Majasari 144</t>
  </si>
  <si>
    <t>Mts Ibnu majah : 206</t>
  </si>
  <si>
    <t>MA mathlaul Anwar: 30</t>
  </si>
  <si>
    <t xml:space="preserve">1.  Posyandu Abimanyu : 5
2.  Posyandu Arjuna : 11
3.  Posyandu Parikesit : 6
4.  Posyandu Hanoman : 7
5.  Posyandu Bima Sakti : 7   
6. Posyandu Rajawali : 4
7. Posyandu Cendrawasih : 3
</t>
  </si>
  <si>
    <t xml:space="preserve">1. Posyandu Abimanyu : 18
2.  Posyandu Arjuna : 32
3.  Posyandu Parikesit : 20
4.  Posyandu Hanoman : 39
5.  Posyandu Bima Sakti : 24
6. Posyandu Rajawali : 24
7. Posyandu Cendrawasih : 14   
</t>
  </si>
  <si>
    <t xml:space="preserve">Posyandu Abimanyu : 57
2.  Posyandu Arjuna : 53
3.  Posyandu Parikesit : 43
4.  Posyandu Hanoman : 39
5.  Posyandu Bima Sakti : 61
6. Posyandu Rajawali : 50
7. Posyandu Cendrawasih : 39  
</t>
  </si>
  <si>
    <t>bpjs</t>
  </si>
  <si>
    <t>CIKARETUAN</t>
  </si>
  <si>
    <t>SPPG LEBAK  CIGEMBLONG Peucangpari</t>
  </si>
  <si>
    <t>4CAIS65D</t>
  </si>
  <si>
    <t xml:space="preserve">YAYASAN PERMAS AGUNG </t>
  </si>
  <si>
    <t xml:space="preserve">sudah terdaftar </t>
  </si>
  <si>
    <t xml:space="preserve">KP CIBOGA DESA CIKARTUAN KEC CIGEMBLONG </t>
  </si>
  <si>
    <t>RASUDIN</t>
  </si>
  <si>
    <t>085770523743</t>
  </si>
  <si>
    <t>3035</t>
  </si>
  <si>
    <t>1. KB SIROJUL ATFAL : 21</t>
  </si>
  <si>
    <t>1. TK AL INAYAH : 31</t>
  </si>
  <si>
    <t>1. HARPAN BANGSA : 26</t>
  </si>
  <si>
    <t>1. SDN 3 CIGEMBLONG FILIAL : 47</t>
  </si>
  <si>
    <t>1. SMPN 2 CIGEMBLONG : 36</t>
  </si>
  <si>
    <t>1. SMA 1 CIGEMBLONG : 253</t>
  </si>
  <si>
    <t>--</t>
  </si>
  <si>
    <t>2. KB SIROJUL ATFAL CIBADAK : 29</t>
  </si>
  <si>
    <t>2. PAUD NUR AKILA : 34</t>
  </si>
  <si>
    <t>2. SDN 1 MUGIJAYA : 109</t>
  </si>
  <si>
    <t>2. SMPN 3 CIGEMBLONG :207</t>
  </si>
  <si>
    <t>2. MA GUNUNGLANGKAP : 40</t>
  </si>
  <si>
    <t>3. KB NURUL ATIFAL : 45</t>
  </si>
  <si>
    <t>3. PAUD AL HUSNA : 57</t>
  </si>
  <si>
    <t>3. SDN 2 CIKADONGDONG : 67</t>
  </si>
  <si>
    <t>3. MTS MA SARIAKLAYUNG : 72</t>
  </si>
  <si>
    <t>3. MA CILIPUNG : 28</t>
  </si>
  <si>
    <t>4. KB ANUGRAH: 43</t>
  </si>
  <si>
    <t>4. PAUD AZAHRA : 40</t>
  </si>
  <si>
    <t>4. SDN 2 CIKARTUAN :77</t>
  </si>
  <si>
    <t>4. MTS MA GUNUNGLANGKAP : 68</t>
  </si>
  <si>
    <t>5. PAUD ALAM UMUL QURA : 26</t>
  </si>
  <si>
    <t>5. MIS MATLAUL ANWAR : 103</t>
  </si>
  <si>
    <t>5. MTS CILIPUNG : 78</t>
  </si>
  <si>
    <t>6. PAUD SABILIL HUDA : 13</t>
  </si>
  <si>
    <t>6. SDN 1 CIKARTUAN : 119</t>
  </si>
  <si>
    <t>7. PAUD LENTERA BANGSA : 21</t>
  </si>
  <si>
    <t>7. SDN 2 PEUCANGPARI : 155</t>
  </si>
  <si>
    <t>8. PAUD MUTIARA : 36</t>
  </si>
  <si>
    <t>8. SDN 1 PEUCANGPARI : 173</t>
  </si>
  <si>
    <t>9. PAUD AL IKHLAS : 33</t>
  </si>
  <si>
    <t>9. SDN 3 CIGEMBLONG : 33</t>
  </si>
  <si>
    <t>12 -01-2026</t>
  </si>
  <si>
    <t>10. PAUD NURUL QOLBI : 26</t>
  </si>
  <si>
    <t>10. SDN 1 CIGEMBLONG : 217</t>
  </si>
  <si>
    <t>11. PAUD NUR AKILA CISAREAT : 15</t>
  </si>
  <si>
    <t>11. SDN 2 CIBUNGUR : 109</t>
  </si>
  <si>
    <t>12. SDN 2 CIBUNGUR FILIAL : 66</t>
  </si>
  <si>
    <t>13. SDN 1CIBUNGUR : 96</t>
  </si>
  <si>
    <t>14. SDN 1 CIKADONGDONG : 76</t>
  </si>
  <si>
    <t>15. SDN 1 CIKADONGDONG FILIAL : 53</t>
  </si>
  <si>
    <t>16. SDN 1 MUGIJAYA FILIAL : 15</t>
  </si>
  <si>
    <t>17. MI PASIR MUNCANG : 25</t>
  </si>
  <si>
    <t>18. SDN 2 CIKADONGDONG FILIAL : 30</t>
  </si>
  <si>
    <t>2.</t>
  </si>
  <si>
    <t xml:space="preserve">CIBUNGUR </t>
  </si>
  <si>
    <t>SPPG CIGEMBLONG, CIGEMLONG, KAB. LEBAK #001</t>
  </si>
  <si>
    <t xml:space="preserve"> CEL0CKDU</t>
  </si>
  <si>
    <t>Pondok pesantren Babu Syafaat</t>
  </si>
  <si>
    <t xml:space="preserve">kp bedahan desa Cibungur kecamatan Cigemblong </t>
  </si>
  <si>
    <t>fauzul arif alfahrozi</t>
  </si>
  <si>
    <t>KB HARAPAN JAYA</t>
  </si>
  <si>
    <t>BANJARIRIGASI</t>
  </si>
  <si>
    <t>SPPG LEBAK LEBAKGEDONG BANJARIRIGASI</t>
  </si>
  <si>
    <t>XNJIBODG</t>
  </si>
  <si>
    <t>YAYASAN MULYA BERSAMA IHSANI</t>
  </si>
  <si>
    <t>Kampung Cikomara, Rt 002 Rw 002, Jl. Raya Cipanas - Warungbanten, Desa Banjaririgasi, Kec. Lebakgedong, Kab. Lebak, Banten</t>
  </si>
  <si>
    <t>DIAN ENDRAYANA KUSMANA</t>
  </si>
  <si>
    <t>085774949111</t>
  </si>
  <si>
    <t xml:space="preserve">1. KB Raudhotul Marhamah : 24 
2. KB Al- Hidayatul Mursidiyah : 43 
3. KB PGRI : 34 </t>
  </si>
  <si>
    <t xml:space="preserve">1. TK Husna Nusantara : 22 
</t>
  </si>
  <si>
    <t>1. SDN 1 Banjaririgasi : 401 
2. SDN 2 Banjaririgasi : 304 
3. SDN 2 Banjarsari : 97 
4. SDN 2 Ciladaeun : 219
5. MI Al Hidayah Cinyiru : 84</t>
  </si>
  <si>
    <t xml:space="preserve">1. SMPN 1 Lebakgedong : 216 
2. SMPN 4 Lebakgedong: 128 
3. MTs AL-Hidayah Ibnu Zuber : 101 
 </t>
  </si>
  <si>
    <t xml:space="preserve">1. SMKN 1 Lebakgedong : 183 
2. MA AL-Hidayah Ibnu Zuber : 54 
 </t>
  </si>
  <si>
    <t xml:space="preserve">1.	Melati 1 : 26
2.	Melati 2 : 15
3.	Melati 3 : 17
4.	Melati 4 : 8
5.	Melati 5 : 5
6.	Melati 6 : 7
</t>
  </si>
  <si>
    <t xml:space="preserve">1.	Melati 1 : 73
2.	Melati 2 : 9
3.	Melati 3 : 16
4.	Melati 4 : 11
5.	Melati 5 : 5
6.	Melati 6 : 4
</t>
  </si>
  <si>
    <t xml:space="preserve">1.	Melati 1 : 196
2.	Melati 2 : 58
3.	Melati 3 : 108
4.	Melati 4 : 27
5.	Melati 5 : 41
6.	Melati 6 : 35
</t>
  </si>
  <si>
    <t>CILADAEUN</t>
  </si>
  <si>
    <t>SPPG LEBAK LEBAKGEDONG CILADAEUN</t>
  </si>
  <si>
    <t>FEGHZCWS</t>
  </si>
  <si>
    <t>FARHAN ARDIAN ANAS</t>
  </si>
  <si>
    <t>SPPG LEBAK LEBAKGEDONG CILADAEUN 002</t>
  </si>
  <si>
    <t>F6IPCVON</t>
  </si>
  <si>
    <t>YAYASAN KEMALA BHAYANGKARI</t>
  </si>
  <si>
    <t>Kampung Gembor Rt 001 Rw 002 Desa Ciladaeun, Kec. Lebakgedong, Kab. Lebak, Banten</t>
  </si>
  <si>
    <t>FIKRY HIDAYAT</t>
  </si>
  <si>
    <t>085828099190</t>
  </si>
  <si>
    <t>1. KB Harapan Bunda : 46</t>
  </si>
  <si>
    <t>1. TK PGRI : 46</t>
  </si>
  <si>
    <t>1. Sdn 1 ciladaeun : 230                        2.Sdn 1 lebak gedong : 376</t>
  </si>
  <si>
    <t>1. Smp daru at-taufiqin 130</t>
  </si>
  <si>
    <t>1.	Anggrek 1 : 6
 2.	Anggrek 2 : 18
3. Anggrek 3 : 14</t>
  </si>
  <si>
    <t>1.	Anggrek 1 : 20
2.	Anggrek 2 : 48
3. Anggrek 3 : 43</t>
  </si>
  <si>
    <t>1.	Anggrek 1 : 35
2.	Anggrek 2 : 89
3. Anggrek 3 : 71</t>
  </si>
  <si>
    <t xml:space="preserve">SPPG LEBAK SAJIRA SAJIRA MEKAR </t>
  </si>
  <si>
    <t>DIKCUU9B</t>
  </si>
  <si>
    <t>YAYASAN BAI MAHDI SHOLEH MA'MUN</t>
  </si>
  <si>
    <t>Jl. Alun Alun Selatan Sajira Lebak Banten, Sajira Mekar, Kec. Sajira, Kab. Lebak, Banten</t>
  </si>
  <si>
    <t>KONI</t>
  </si>
  <si>
    <t>0857-8197-5613</t>
  </si>
  <si>
    <t>- KB AL IQRO, LK 15 PR 19 TENDIK 3, KB AL MUBAROK LK 15 PR 18 TENDIK 3, TK -RAUDATUL HASANAH LK 25 PR 19 TENDIK 4,</t>
  </si>
  <si>
    <t>TK PELITA HARAPAN, LK 19 PR 23 TENDIK 4 TKQ AL KAYYIS LK 11 PR 11 TENDIK 6</t>
  </si>
  <si>
    <t xml:space="preserve">- RA DARUSALAM LK 26 PR 26 TENDIK 5, RA AT- THUMANINAH LK 33 PR 44 TENDIK 6, RA AL IQRO LK 14 PR 13 TENDIK 3, </t>
  </si>
  <si>
    <t>- SDN 1 SAJIRA MEKAR, LK 102- SDN 2 SINDANG SARI MIS AL-HIDAYAH SAJIRA TIMUR, - SDN 2 SUKAMARGA - SDN 1 SINDANG SARI</t>
  </si>
  <si>
    <t>- MTS AL MUBASYIRIN LK 29 PR 32 TENDIK 11 - MTS AL- MUAWANAH LK 26 PR 28 TENDIK 10 - SMP 3 SAJIRA LK 69 PR 55 TENDIK 12</t>
  </si>
  <si>
    <t>- SMKN 1 SAJIRA LK 174 PR 86 TENDIK 27 - SMA AL - MUBASYIRIN LK 19 PR 22 TENDIK 9</t>
  </si>
  <si>
    <t>POSYANDU DESA SAJIRA MEKAR 30 MELATI 1 = 14 MELATI 2 = 2 MELATI 3 = 3 MELATI 4 = 3 MELATI 6 = 8</t>
  </si>
  <si>
    <t>POSYANDU SAJIRA  MEKAR 140, MELATI 1 = 38 MELATI 2 = 34 MELATI 3 = 17 MELATI 4 8 MELATI 5 = 43</t>
  </si>
  <si>
    <t>POSYANDU DESA SAJIRA MEKAR 262 MELATI 1 = 69 MELATI 2 = 45 MELATI 3 = 38 MELATI 4 31 MELATI 5 = 80</t>
  </si>
  <si>
    <t>SUKARAME</t>
  </si>
  <si>
    <t>SPPG Lebak Sajira Sukarame</t>
  </si>
  <si>
    <t xml:space="preserve">RWVOOD4L </t>
  </si>
  <si>
    <t>YAYASAN ADIGUNA CAKRAWALA LEBAK</t>
  </si>
  <si>
    <t xml:space="preserve">KP.PASIR LUHUR DESA SUKARAME KECAMATAN SAJIRA JLN RAYA CIPANAS KM 27 </t>
  </si>
  <si>
    <t xml:space="preserve">NAUGI SIKARAJA </t>
  </si>
  <si>
    <t xml:space="preserve"> TK UMMUL QURO	KP.SOMANG BARU	51
PAUD NURUSSAADAH	KP.CIPAGER	19
KB FATHUL BARIYAH	KP. KANDANG MANJANGAN	39
PAUD MUTIARA MAJA	KP PAJA	33</t>
  </si>
  <si>
    <t>SDN O1 SUKARAME	KP.SOMANG BARU	127
SDN 02 SUKARAME	Jl. CIPANAS KM 11	200
SDN 02 SUKAJAYA	KP.SOMANG KINASUL	130
SDN 01 BUNGURMEKAR	KP.GUBUG	328
SDN 01 PAJA SAJIRA	KP.PAJA TARISI	120
SDN 02 PAJA SAJIRA	KP.PAJA CIMENTENG	88
MI FATHUL BARIYAH	KP.KANDANG MANJANGAN	91</t>
  </si>
  <si>
    <t>SMPN 05 SAJIRA	KP.GUBUG	150
SMPN 06 SAJIRA	KP.PAJA TARISI	90
SMP ISLAM MUMTAZ	KP. GUBUG	15
MTS AT-THUMANINAH	JL RAYA HAMPO, NAGROG	101
MTS FATHUL BARIYAH	KP.KANDANG MANJANGAN	50
MTS NURUSSAADAH	KP.CIPAGER	80
MTS ROFIATUL FIKRI	KP.CEKDAM	65</t>
  </si>
  <si>
    <t>SMK AT-THUMANINAH	JL RAYA HAMPO, NAGROG	41</t>
  </si>
  <si>
    <t>Desa sukarame : 20.  Sukajaya:25</t>
  </si>
  <si>
    <t>DESA SUKARAME : 109   Sukajaya: 89</t>
  </si>
  <si>
    <t>Desa sukarame  : 388.  Sukajaya : 270</t>
  </si>
  <si>
    <t>PONPES AL-INTISOR	KP.KANDANG MANJANGAN	45
PONPES RIYADHUL IBTIDA	KP. KEMANG DESA SUKAJAYA	24
PONPES RAUDHOTUSSIBYAN	KP.SINTAL PERBATASAN PAJA	32
PONPES NAHDLOTUL MUTA'ALLIMIIN	KP.KANDANG MANJANGAN	85
PONPES BABUSYAFAAT	KP. PASIR LUHUR	40</t>
  </si>
  <si>
    <t>PAJAGAN</t>
  </si>
  <si>
    <t xml:space="preserve">SPPG Lebak Sajira Pajagan </t>
  </si>
  <si>
    <t>LSUB8EDE</t>
  </si>
  <si>
    <t>YAYASAN PRIMALAND PEDULI UMAT</t>
  </si>
  <si>
    <t>Jl. Raya Rangkas Cipanas, Pajagan, Kec. Sajira, Kab. Lebak, Banten</t>
  </si>
  <si>
    <t>M. FARHAN ROSYID</t>
  </si>
  <si>
    <t>*081367360442</t>
  </si>
  <si>
    <t>PAUD Darussalam	CIUYAH	27
KB BESTARIBKUSUMA	CIUYAH	25
RA KHAERUNISA	CIUYAH	30
RA ALMUTAQIN	CIUYAH	42
RA BANI ARAHMAN CIUYAH	CIUYAH	30</t>
  </si>
  <si>
    <t>SDN 1 CIUYAH	CIUYAH	258
SDN 2 CIUYAH	CIUYAH	336
SDN 3 CIUYAH	CIUYAH	385</t>
  </si>
  <si>
    <t>SMPN 2 SAJIRA	CIUYAH	892</t>
  </si>
  <si>
    <t>Desa ciuyah</t>
  </si>
  <si>
    <t>SAJIRA</t>
  </si>
  <si>
    <t>SPPG Lebak Sajira Pajagan 2</t>
  </si>
  <si>
    <t>5U6GIMRX</t>
  </si>
  <si>
    <t>KP PAJAGAN RT 003 RW 001 DESA PAJAGAN KEC SAJIRA KAB LEBAK BANTEN</t>
  </si>
  <si>
    <t>23 Februari 2026</t>
  </si>
  <si>
    <t>THEZAR FEBRIANSYAH</t>
  </si>
  <si>
    <t>085341577707</t>
  </si>
  <si>
    <t xml:space="preserve">KB EL BINA : 20
KB AL BADRIYAH : 37
KB SABILUROSYAD : 28
</t>
  </si>
  <si>
    <t xml:space="preserve">TK PG SMILE KIDS : 14
</t>
  </si>
  <si>
    <t xml:space="preserve">RA ALMUTAQIN : 45
RA KHAERUNNISA : 30
RA RIZKI : 30
RA EL BINA : 71 
</t>
  </si>
  <si>
    <t xml:space="preserve">PAUD KAWUNG ANTEN : 46
PAUD AGISNA : 15
</t>
  </si>
  <si>
    <t>SDN 1 PARUNGSARI                325
SDN 2 PARUNGSARI                446</t>
  </si>
  <si>
    <t>MTS ISLAM PEMBANGUNAN : 22
MTS AL-ANWARIYAH : 241</t>
  </si>
  <si>
    <t>MA ISLAM PEMBANGUNAN : 19
MA AL-ANWARIYAH : 139</t>
  </si>
  <si>
    <t>POSYANDU DAHLIA 1 : 7
POSYANDU DAHLIA 2 : 15
POSYANDU DAHLIA 3 : 4 POSYANDU DAHLIA 4 : 14 
POSYANDU DAHLIA 5 : 4
POSYANDU DAHLIA 6 : 6
POSYANDU DAHLIA 7 : 1</t>
  </si>
  <si>
    <t>POSYANDU DAHLIA 1 : 21
POSYANDU DAHLIA 2 : 41
POSYANDU DAHLIA 3 : 7 POSYANDU DAHLIA 4 : 41 
POSYANDU DAHLIA 5 : 4
POSYANDU DAHLIA 6 : 9
POSYANDU DAHLIA 7 : 9</t>
  </si>
  <si>
    <t>POSYANDU DAHLIA 1 : 63
POSYANDU DAHLIA 2 : 113
POSYANDU DAHLIA 3 : 35 POSYANDU DAHLIA 4 : 153 
POSYANDU DAHLIA 5 : 24 POSYANDU DAHLIA 6 : 48
POSYANDU DAHLIA 7 : 42</t>
  </si>
  <si>
    <t xml:space="preserve">PONPES TIJANUL MAJANI : 101
PONPES AL HUSAENI : 58
PONPES SALAFI DARUL AMANAH : 55 PONPES SALAFI AL QUDSU : 108  
PONPES DARUL HASANA : 45 PONPES AL UMM : 35
</t>
  </si>
  <si>
    <t>MEKARSARI</t>
  </si>
  <si>
    <t>SPPG Lebak Sajira Mekarsasri</t>
  </si>
  <si>
    <t>GGPGDTYN</t>
  </si>
  <si>
    <t>YAYASAN BIMA SAKTI CILISUNG</t>
  </si>
  <si>
    <t xml:space="preserve">Kp. Gedong RT.006 RW.002 Desa Mekarsari Kec. Sajira Kab. Lebak                                                                                        </t>
  </si>
  <si>
    <t>MUHAMMAD ISA ANANTA</t>
  </si>
  <si>
    <t>0895381564723</t>
  </si>
  <si>
    <t>KB Al-hadist: 32
KB Nurhidayah: 27
KB Al-Anwar: 24</t>
  </si>
  <si>
    <t>TK AL Hizaiyah: 50
TK Kartika IX 14 Mandala Yudha: 41</t>
  </si>
  <si>
    <t>RA As-Syahda: 13</t>
  </si>
  <si>
    <t>Paud Darussalam: 27
Paud Nurul Ilmi Cabang TK LC RKS: 11</t>
  </si>
  <si>
    <t>SDN 1 Mekarsari:  320
SDN 2 Bungur Mekar: 261
MI Mulki Dahlan: 52
MI Darussalam: 133
MI Darul Qur'an Wal-Hadist: 23</t>
  </si>
  <si>
    <t>SMPN 4 SAJIRA: 138
MTS Bani Ahmad: 30
MTS Darussalam: 51</t>
  </si>
  <si>
    <t>SMA 1 SAJIRA: 751
MA Mulki Dahlan: 3</t>
  </si>
  <si>
    <t>Posyandu Melati 1 : 4
Posyandu Melati 2: 9
Posyandu Melati 3: 4
Posyandu Melati 4: 3
Posyandu Melati 5: 8
Posyandu Melati 6: 16</t>
  </si>
  <si>
    <t>Posyandu Melati 1 : 29
Posyandu Melati 2: 23
Posyandu Melati 3: 14
Posyandu Melati 4: 5
Posyandu Melati 5: 10
Posyandu Melati 6: 43</t>
  </si>
  <si>
    <t>Posyandu Melati 1 : 51
Posyandu Melati 2: 67
Posyandu Melati 3: 58
Posyandu Melati 4: 20
Posyandu Melati 5: 37
Posyandu Melati 6: 94</t>
  </si>
  <si>
    <t>SPPG LEBAK SAJIRA SAJIRA</t>
  </si>
  <si>
    <t>VDZFI3IQ</t>
  </si>
  <si>
    <t>YAYASAN MITRA WAHID KEBUMEN</t>
  </si>
  <si>
    <t>Jalan Raya Sajira, Kp. Pasir buluh, RT/RW 04/01, Desa. Sajira, Kec. Sajira, Kab. Lebak, Banten</t>
  </si>
  <si>
    <t>FEBIANO MOHAMAD SYAWALI</t>
  </si>
  <si>
    <t>087775561322</t>
  </si>
  <si>
    <t>1. SDN 1 SAJIRA : 375
2. SDN 2 SAJIRA : 112
3. SDN 3 SAJIRA : 195
4. SDN 3 SUKARAME : 99
5. SDN 1 SUKAJAYA : 152</t>
  </si>
  <si>
    <t>1. SMPN 1 SAJIRA : 429
2. MTSS AL HASANAH : 177
3. MTSS ALINGGA : 68
4. MTS SAJIRA : 60</t>
  </si>
  <si>
    <t>1. MASS AL HASANAH : 79
3. MA SAJIRA : 86</t>
  </si>
  <si>
    <t>DESA SAJIRA : 29</t>
  </si>
  <si>
    <t>DESA SAJIRA : 113</t>
  </si>
  <si>
    <t>DESA SAJIRA : 305</t>
  </si>
  <si>
    <t>1.AL-HASANAH : 55
2. ARRYADHUL HASANAH : 95
3. RIYADUL IBTIDA : 34</t>
  </si>
  <si>
    <t>SUKAMARGA</t>
  </si>
  <si>
    <t>SPPG SUKAMARGA 1</t>
  </si>
  <si>
    <t>suDAH</t>
  </si>
  <si>
    <t>FIRDAUS</t>
  </si>
  <si>
    <t>Paud Manunggal : PK 41 PB 9
Paud Tunas Harapan : PK 20 PB 2
Paud Al Kamil : PK 38 PB 4
Paud Baitul Luqman : PK 27 PB 3
Paud An Nur : PK 32 PB 4
Paud Azizah : PK 52 PB 7
Paud Al-Muzaki : PK 25 PB 3
Paud Bani Solih : PK 27 PB 3
Paud Wakiki : PK 41 PB 3</t>
  </si>
  <si>
    <t>SDN 2 Margaluyu : PK 152 PB 140
SDN 3 Margaluyu : PK 134 PB 124
MIS Al-Hidayah Islamiyah : PK 95 PB 109 ✗
SDN 3 Sukamarga : PK 110 PB 100 ✗ ✓
SDN 1 Sukamarga : PK 126 PB 8
SDN 3 Sukamarga : 110 + 100 =
SDN 3 Margaluyu : 134 + 124 =</t>
  </si>
  <si>
    <t xml:space="preserve">MTS Al-Hidayah : PB 209 ✗ ✓	
SMPN 7 SAJIRA : PB 116	
MTS Al-Hidayah : PB 209 ✗ ✓	
SMPN 7 SAJIRA : PB 116	</t>
  </si>
  <si>
    <t>SMK Ibnu Sina : PB 87
SMK Margaluyu : PK 60 PB 68
MA Al-Hidayah : PB 161 ✗ ✓</t>
  </si>
  <si>
    <t>DESA SUKMARGA</t>
  </si>
  <si>
    <t>Ponpes Nursa'adah : PB 80
Ponpes Taqwahtul Muttaqin : PB 13</t>
  </si>
  <si>
    <t xml:space="preserve">pajagan </t>
  </si>
  <si>
    <t>SPPG PAJAGAN 3</t>
  </si>
  <si>
    <t>MENGUNDURKAN DIRI</t>
  </si>
  <si>
    <t>;</t>
  </si>
  <si>
    <t xml:space="preserve">calungbungur </t>
  </si>
  <si>
    <t xml:space="preserve">sppg 3T calungbungur </t>
  </si>
  <si>
    <t>maraya</t>
  </si>
  <si>
    <t>sppg 3T maraya</t>
  </si>
  <si>
    <t>ciuyah</t>
  </si>
  <si>
    <t>sppg sajira ciuyah</t>
  </si>
  <si>
    <t>UJHGX0EG</t>
  </si>
  <si>
    <t>Yayasan Sahabat Bumi Lestari</t>
  </si>
  <si>
    <t>Kp. Cireuma, Desa pajagan , Kec. Sajira</t>
  </si>
  <si>
    <t>19-05-2026</t>
  </si>
  <si>
    <t>Dalam Proses</t>
  </si>
  <si>
    <t>Billy Elkel</t>
  </si>
  <si>
    <t>KB Anazwa 26, KB Al Mubarokah 47</t>
  </si>
  <si>
    <t>TK Makiya Azhara 13</t>
  </si>
  <si>
    <r>
      <rPr>
        <rFont val="&quot;Arial&quot;,sans-serif"/>
        <color rgb="FF000000"/>
        <sz val="9.0"/>
      </rPr>
      <t>RA Al-Huda 38, RA Medina Insan</t>
    </r>
    <r>
      <rPr>
        <rFont val="&quot;Arial&quot;,sans-serif"/>
        <color rgb="FF000000"/>
        <sz val="11.0"/>
      </rPr>
      <t>i 32</t>
    </r>
  </si>
  <si>
    <t>Paud Al- Hibah Sanusi Sajira 27</t>
  </si>
  <si>
    <t>SD 1 Pajagan :226, SD 2 Ciuyah: 351, MI Anwar Sepang 45,MI Insan Kamil 74</t>
  </si>
  <si>
    <t>Mts Anazwa 48, Mts Mitfhul Kulub 35</t>
  </si>
  <si>
    <t>Ma Anzwa 49</t>
  </si>
  <si>
    <t>Posyandu Cempaka Parungsari : 47, Posyandu Teratai Gubug : 19</t>
  </si>
  <si>
    <t>Posyandu Cempaka Parungsari : 131, Posyandu Teratai Gubug : 58</t>
  </si>
  <si>
    <t>Posyandu Cempaka Parungsari : 346, Posyandu Teratai Gubug : 170</t>
  </si>
  <si>
    <t>Salafi anazwa 37, Al hidaya 24, Riadul Ihsan 37, Hidayatul Mustafid 31, Darul Ibtida Al-has 35, Raudlotus Salam As 55, Riayadatul Mubtadiin 14, Al-almaliya 30</t>
  </si>
  <si>
    <t xml:space="preserve">Mekarsari </t>
  </si>
  <si>
    <t xml:space="preserve">sppg Mekarsari 2 </t>
  </si>
  <si>
    <t xml:space="preserve">SPPG PERSIAPAN </t>
  </si>
  <si>
    <t>Kuota sppg di portal</t>
  </si>
  <si>
    <t xml:space="preserve">DAFTAR SATUAN PELAYANAN PEMENUHAN GIZI </t>
  </si>
  <si>
    <t>MAJA BARU</t>
  </si>
  <si>
    <t>SPPG LEBAK MAJA SANGIANG 2</t>
  </si>
  <si>
    <t>WVHCY6KV</t>
  </si>
  <si>
    <t>YAYASAN DERMAWAN MENTARI MEGHA</t>
  </si>
  <si>
    <t>Jalan Kopi sangiang Kp. Cirompang RT/RW 004/001 Desa Maja Baru Kecamatan Maja Kabupaten Lebak, Banten</t>
  </si>
  <si>
    <t>EMBUN CAHYANA</t>
  </si>
  <si>
    <t>085697189411</t>
  </si>
  <si>
    <t>1. PAUD KB BUDI ASIH : 24</t>
  </si>
  <si>
    <t>1. MIS ASSALAMIYAH : 168                              2. SDN 1 CURUGBADAK : 641                         3. SDN 2 CURUGBADAK : 329                         4. SDN 3 CURUGBADAK : 248                         5. SDN 1 PASIRKACAPI : 304</t>
  </si>
  <si>
    <t xml:space="preserve">1. MTSS ASSALAMIYAH :120                                                                                        2. MTSS AL-RIYADUL JANAH : 378  </t>
  </si>
  <si>
    <t>1. MAS AL-RIYADUL JANAH : 96                                                                                                          2. SMKS ASSALAMIYAH : 32                                                                                                              3. SMKS PGRI MAJA : 581</t>
  </si>
  <si>
    <t>BUYUT MEKAR</t>
  </si>
  <si>
    <t>SPPG Lebak Maja Buyut Mekar</t>
  </si>
  <si>
    <t>UDWKODXB</t>
  </si>
  <si>
    <t>Yayasan Mutiara Mitra Wahid</t>
  </si>
  <si>
    <t>Kp. Ciemas RT 004 RW 003 Kel/Desa Buyutmekar Kec. Maja Kab. Lebak-Banten. 42381</t>
  </si>
  <si>
    <t>Firlyan Sakti Putra Pratama</t>
  </si>
  <si>
    <t>081615971623</t>
  </si>
  <si>
    <t>1. KB Al Istiqomah : 50</t>
  </si>
  <si>
    <t>1. RA Nurul Hilmi : 70
2. RA Al Iswah : 34</t>
  </si>
  <si>
    <t>1. SDN 1 Buyut Mekar : 397
2. SDN 1 BINONG : 398
3. SDN 2 MEKARSARI : 324
4. SDN 1 CIBEUREUM : 126
5. SDN 2 CIBEUREUM : 116
6. MI Sullamul Futuhat : 63</t>
  </si>
  <si>
    <t>1. SMPN 8 MAJA : 170
2. MTS Nurul Hilmi : 34
3. MTS Sullamul Futuhat : 92</t>
  </si>
  <si>
    <t>1. MA Nurul Hilmi : 44
2. SMK AR RIZKHAN : 49</t>
  </si>
  <si>
    <t>1. Posyandu Buyutmekar Pos Buncis : 7
2. Posyandu Buyutmekar Pos Kol : 11
3. Posyandu Buyutmekar Pos Tomat : 6
4. Posyandu Buyutmekar Pos Wortel : 7</t>
  </si>
  <si>
    <t>1. Posyandu Buyutmekar Pos Buncis : 12
2. Posyandu Buyutmekar Pos Kol : 18
3. Posyandu Buyutmekar Pos Tomat : 9
4. Posyandu Buyutmekar Pos Wortel : 17</t>
  </si>
  <si>
    <t>1. Posyandu Buyutmekar Pos Buncis : 91
2. Posyandu Buyutmekar Pos Kol : 132
3. Posyandu Buyutmekar Pos Tomat : 71
4. Posyandu Buyutmekar Pos Wortel : 64</t>
  </si>
  <si>
    <t>1. Ponpes Nurul Hidayah : 88
2. Ponpes Al Masyuriah : 29</t>
  </si>
  <si>
    <t>PADASUKA</t>
  </si>
  <si>
    <t>SPPG LEBAK MAJA PADASUKA</t>
  </si>
  <si>
    <t>YZDAV8XA</t>
  </si>
  <si>
    <t>Hdayatul Mubtadiin Annurzaeni</t>
  </si>
  <si>
    <t>Kp. Bandung Berkah Des. Padasuka Kec. Maja Kab. Lebak Prov. Banten</t>
  </si>
  <si>
    <t>Andri Hidayatullah</t>
  </si>
  <si>
    <t>085894698469</t>
  </si>
  <si>
    <t>1. RA PELITA HARAPAN  : 21
2. RA ATTAQWA               : 16</t>
  </si>
  <si>
    <t>1. PAUD PELANGI         : 32
2. PAUD AL BAROKAH : 36
3. PAUD AL KAUTSAR : 33</t>
  </si>
  <si>
    <t>1. SDN 3 CIBEUREUM : 220
2. SDN 1 PADASUKA   : 320 
3. SDN 1 PASIRKEMBANG : 243
4. SDN 2 PASIRKEMBANG : 269
5. SD SKH SARONGGE : 18</t>
  </si>
  <si>
    <t>1. SMP N 6 MAJA : 280
2. MTS AR RIZKHAN : 67
3. SMPLB SARONGGE : 8</t>
  </si>
  <si>
    <t>1. SMALB SARONGGE : 15</t>
  </si>
  <si>
    <t>1. POSYANDU DESA MEKARSARI : 22
2. POSYANDU DESA PASIR KEMBANG : 55</t>
  </si>
  <si>
    <t xml:space="preserve">1. POSYANDU DESA MEKARSARI : 77
2. POSYANDU DESA PASIR KEMBANG : 99 </t>
  </si>
  <si>
    <t xml:space="preserve">1. POSYANDU DESA MEKARSARI : 252
2. POSYANDU DESA PASIR KEMBANG : 404 </t>
  </si>
  <si>
    <t>SANGIANG</t>
  </si>
  <si>
    <t>SPPG Lebak Maja Sangiang 1</t>
  </si>
  <si>
    <t>ZMDN4TIH</t>
  </si>
  <si>
    <t xml:space="preserve">Muh alqadri </t>
  </si>
  <si>
    <t>Kampung Cikuya, Sangiang, Maja, Kabupaten Lebak, Banten</t>
  </si>
  <si>
    <t>Muh. Alqadri</t>
  </si>
  <si>
    <t>RA MATHLAUL ANWAR : 25</t>
  </si>
  <si>
    <t>1.SDN 1 Sangiang    : 262
2. SDN 1 Maja Baru  : 134
3. MI Matlaul anwar : 215</t>
  </si>
  <si>
    <t>1. SMP N 1 MAJA    :  824
2. SMPN N 3 MAJA :  435</t>
  </si>
  <si>
    <t xml:space="preserve">1.SMKN 1 MAJA     :  411
</t>
  </si>
  <si>
    <t xml:space="preserve">MAJA </t>
  </si>
  <si>
    <t>SPPG LEBAK MAJA MAJA</t>
  </si>
  <si>
    <t>2KBNDBAV</t>
  </si>
  <si>
    <t>YAYASAN NALANDA ARTHA ANANDA</t>
  </si>
  <si>
    <t>Jl. Raya Maja Km.1
(Gg. PDAM Maja),
Ds. Maja, Kec. Maja,
Kab. Lebak, Banten
42381</t>
  </si>
  <si>
    <t>Nur Ilhamdi Dasril</t>
  </si>
  <si>
    <t>088279764610</t>
  </si>
  <si>
    <t>1. TK Pelita = 17
2. TKIT Al-Qolam = 41
3. TK Mutiara Bangsa 7 = 30
4. TKIT Muslim Cendekia = 54</t>
  </si>
  <si>
    <t>1. SDN 1 Maja = 533
2. SDN 2 Maja = 674
3. SD Mutiara Bangsa 7 = 247
4. SDLB Kekerabatan = 29</t>
  </si>
  <si>
    <t>1. SMP Mutiara Bangsa 7 = 110
2. SMP Muslim Cendekia = 33
3. SMPLB Kekerabatan = 13</t>
  </si>
  <si>
    <t>1. SMA Mutiara Bangsa 7 = 118
2. SMK Mutiara Bangsa 7 = 35
3. SMALB Kekerabatan = 19</t>
  </si>
  <si>
    <t>1. Posyandu Bougainville = 10
2. Posyandu Melati = 8
3. Posyandu Anggrek = 1
4. Posyandu Dahlia = 11
5. Posyandu Mawar 1 = 6
6. Posyandu Mawar 2 = 3</t>
  </si>
  <si>
    <t>1. Posyandu Bougainville = 24
2. Posyandu Melati = 18
3. Posyandu Anggrek = 3
4. Posyandu Dahlia = 25
5. Posyandu Mawar 1 = 19
6. Posyandu Mawar 2 = 3</t>
  </si>
  <si>
    <t>1. Posyandu Bougainville = 69
2. Posyandu Melati = 76
3. Posyandu Anggrek = 31
4. Posyandu Dahlia = 113
5. Posyandu Mawar 1 = 86
6. Posyandu Mawar 2 = 42</t>
  </si>
  <si>
    <t xml:space="preserve">SINDANGMULYA </t>
  </si>
  <si>
    <t xml:space="preserve">SPPG LEBAK MAJA SINDANGMULYA </t>
  </si>
  <si>
    <t>2KFY3DP6</t>
  </si>
  <si>
    <t xml:space="preserve">YAYASAN AL-FURQON PANTURA </t>
  </si>
  <si>
    <t xml:space="preserve">Kp. Dengung Desa Sindangmulya Kec. Maja Lebak Banten </t>
  </si>
  <si>
    <t xml:space="preserve">Miftahul Falah </t>
  </si>
  <si>
    <t>1. TK TUNAS KARYA = 22</t>
  </si>
  <si>
    <t>1. RA DARUL MUSTOFA = 25
2. RA NURUL HASANAH = 34
3. RA AL ABROR = 11
4. RA DARUSSIBYAN = 21
5. RA AL-FALAH = 64</t>
  </si>
  <si>
    <t>1. PAUD EL-MAJANI = 58
2. PAUD BINA CAHAYA = 28
3. PAUD NURUL AMAL = 21
4. PAUD KB ANNUR = 53</t>
  </si>
  <si>
    <t>1. SDN 1 SINDANGMULYA = 340
2. SDN 2 SINDANGMULYA = 398
3. SDN 1 MEKARSARI = 164</t>
  </si>
  <si>
    <t>1. MTS NURUL HASANAH = 150</t>
  </si>
  <si>
    <t>1. SMA NURUL HASANAH = 103
2. MA ALFALAH MAJA = 111</t>
  </si>
  <si>
    <t>POSYANDU SINDANGMULYA IBU HAMIL = 50</t>
  </si>
  <si>
    <t>POSYANDU SINDANGMULYA IBU MENYUSUI = 120</t>
  </si>
  <si>
    <t>POSYANDU SINDANGMULYA BALITA = 545</t>
  </si>
  <si>
    <t>SPPG LEBAK MAJA BUYUT MEKAR 2</t>
  </si>
  <si>
    <t>7FTKECSM</t>
  </si>
  <si>
    <t>Kp. Batu Karut, Desa Buyut Mekar, Kec. Maja, Kab Lebak, Banten 42381</t>
  </si>
  <si>
    <t>Deni Adrian Saroha</t>
  </si>
  <si>
    <t>1. Paud Mutiara Hati : 25
2. Paud Assiratul Kahfi : 31
3. Paud Al-Kautsar : 30</t>
  </si>
  <si>
    <t>1. SDN 2 Padasuka : 441
2. SDN 3 Padasuka : 173</t>
  </si>
  <si>
    <t>1. SMPN 2 Maja : 520
2. SMPN 5 Maja : 115
3. MTS Nurul Amal : 57</t>
  </si>
  <si>
    <t>1. MA Nurul Amal : 58</t>
  </si>
  <si>
    <t>1. Posyandu Desa Binong : 49
2. Posyandu Desa Cibeureum : 42</t>
  </si>
  <si>
    <t>1. Posyandu Desa Binong : 96
2. Posyandu Desa Cibeureum : 66</t>
  </si>
  <si>
    <t>1. Posyandu Desa Binong : 394
2. Posyandu Desa Cibeureum : 303</t>
  </si>
  <si>
    <t>1. Ponpes Yayasan Al Furqon : 50</t>
  </si>
  <si>
    <t>DATA PENERIMA MANFAAT SUDAH TERMASUK TENDIK DAN PIC 3B</t>
  </si>
  <si>
    <t>Maja Baru</t>
  </si>
  <si>
    <t>SPPG Lebak Maja Maja Baru</t>
  </si>
  <si>
    <t>UMTJ8LFV</t>
  </si>
  <si>
    <t>Yayasan Saffari Permadani Rahayu</t>
  </si>
  <si>
    <t>Jl. Kopi sangiang, RT 001/ RW 001, Maja Baru, Kec. Maja, Kab Lebak, Baten</t>
  </si>
  <si>
    <t>YOHANES ALTO MODO</t>
  </si>
  <si>
    <t xml:space="preserve">1. paud tunas harapan 28 </t>
  </si>
  <si>
    <t xml:space="preserve">1. SDN 1 CURUKBADAK ( L=321 P= 155)
2. SDN 1 PASIRKECAPI ( L = 150 P= 151)
2. SDN 1 Tanjung sari : 396
3. SDN 1 Cilangkap : 211
4. MIS Nurul ilmi : 91
5. SDN 2 Sangiang : 184
</t>
  </si>
  <si>
    <t>Data penerima maanfat belum termasuk guru dan tenaga pengajar</t>
  </si>
  <si>
    <t>SUKARENDAH</t>
  </si>
  <si>
    <t>SPPG Lebak Warunggunung Sukarendah 1</t>
  </si>
  <si>
    <t>MWYM7GRO</t>
  </si>
  <si>
    <t xml:space="preserve">Yayasan Buana Pangan Sejahtera </t>
  </si>
  <si>
    <t>Jalan Raya Sampay-Cileles, Kampung Karoya RT 015 RW 006, Desa Sukarendah, Kecamatan Warunggunung, Kabupaten Lebak, Banten</t>
  </si>
  <si>
    <t>Diana Putri Khairin</t>
  </si>
  <si>
    <t>081345723134</t>
  </si>
  <si>
    <t>1. KB Al-Ghifari : 37</t>
  </si>
  <si>
    <t>1. RA Asy-Syifa : 52
2. RA Alkhoer : 39</t>
  </si>
  <si>
    <t>1. PAUD Mandiri : 47</t>
  </si>
  <si>
    <t>1. SDN 1 Sukarendah : 269
2. SDN 2 Sukarendah : 300
3. SDN 1 Cibuah : 206
4. SDN 2 Cibuah : 176
5. MIS Mabdail Falah : 154</t>
  </si>
  <si>
    <t>1. SMPN 1 Warunggunung : 1.145</t>
  </si>
  <si>
    <t>WARUNGGUNUNG</t>
  </si>
  <si>
    <t>SPPG Lebak Warunggunung Warunggunung 1</t>
  </si>
  <si>
    <t xml:space="preserve">MTXG9QUI </t>
  </si>
  <si>
    <t xml:space="preserve">Yayasan Ijah Arip Walbarokah </t>
  </si>
  <si>
    <t xml:space="preserve">Jl. Raya Rangkasbitung Pandeglang Km 7, Warunggunung Kec. Warunggunung, Kabupaten Lebak provinsi banten </t>
  </si>
  <si>
    <t>Rio Triansyah S.IP</t>
  </si>
  <si>
    <t>1.TK PELITA =39                                              2. TK PELANGI=48</t>
  </si>
  <si>
    <t>1.PAUD KHALISA AZAHRA=90</t>
  </si>
  <si>
    <t>1. SDN 1 SELARAJA=200                        2.SDN 2 SELARAJA=297                3.SDN 3 SELARAJA=254               4.SDN 4 SELARAJA=192      5.SDN1CEMPAKA=285               6.SDN 2 WARUNGGUNUNG =265</t>
  </si>
  <si>
    <t>1.MTS MIFTAHUL IKHSAN=90</t>
  </si>
  <si>
    <t>Padasuka</t>
  </si>
  <si>
    <t>SPPG Lebak Warunggunung Padasuka</t>
  </si>
  <si>
    <t>WSL6R8GA</t>
  </si>
  <si>
    <t>Yayasan Mitra Boga Sejati</t>
  </si>
  <si>
    <t>Kampung Kalahang RT.020/RW.005, Desa Padasuka, Kecamatan Warunggunung, Kabupaten Lebak, Provinsi Banten</t>
  </si>
  <si>
    <t>Bayu Firmansyah</t>
  </si>
  <si>
    <t>081574780566</t>
  </si>
  <si>
    <t>1. KB. AL HIKMAH = 33</t>
  </si>
  <si>
    <t>1. TK nur el ardy = 34</t>
  </si>
  <si>
    <t>1. RA an nazzar = 19
2. ⁠RA nur el ardy = 38</t>
  </si>
  <si>
    <t>1. SDN 1 padasuka = 243
2. ⁠SDN 2 padasuka = 370
3. ⁠SDN 3 padasuka = 265
4. ⁠SDN 2 sukaraja = 323</t>
  </si>
  <si>
    <t xml:space="preserve">1. SMP 4 warunggunung = 369
2. SMP darul muntaha = 34
</t>
  </si>
  <si>
    <t xml:space="preserve">
1. SMA darul muntaha = 20</t>
  </si>
  <si>
    <t>Cibuah</t>
  </si>
  <si>
    <t>SPPG LEBAK WARUNGGUNUNG CIBUAH 1</t>
  </si>
  <si>
    <t>F02FDYHJ</t>
  </si>
  <si>
    <t>Yayasan Mitra Cendekia Waskita</t>
  </si>
  <si>
    <t>Kp. Cibuah kertamukti RT 014 RW 005 Desa Cibuah Kecamatan Warunggunung Kabupaten Lebak Provinsi Banten</t>
  </si>
  <si>
    <t>Yayan Octaviana</t>
  </si>
  <si>
    <t>1. TK BINA INSANI = 57
2. ⁠TK INSAN CENDIKIA = 44</t>
  </si>
  <si>
    <t>1. RA MATHLA'UL ANWAR = 27</t>
  </si>
  <si>
    <t>1. PAUD AL IKHLAS = 35</t>
  </si>
  <si>
    <t>1. SDIT INSAN CENDEKIA = 154
2. ⁠SDN 2 PASIRTANGKIL = 233
3. ⁠SDN 1 SINDANGSARI = 263
4. MI AL ITTIHAD PASIRKOPO = 162</t>
  </si>
  <si>
    <t>1. SMP PLUS MABDAIL FALAH = 41
2. ⁠MTS EL KARIM = 203
3. MTS HIDAYAH ISLAMIYAH PASIRKOPO = 70</t>
  </si>
  <si>
    <t>1. SMA 1 WARUNGGUNUNG = 882
2. ⁠MAS HIDAYAH ISLAMIYAH PASIRKOPO = 53
3. ⁠MA EL KARIM = 131</t>
  </si>
  <si>
    <t xml:space="preserve">Warunggunung </t>
  </si>
  <si>
    <t>SPPG Lebak Warunggunung Warunggunung 2</t>
  </si>
  <si>
    <t>RV7CLMZV</t>
  </si>
  <si>
    <t>Yayasan Jaya Sehat Nusantara</t>
  </si>
  <si>
    <t>Jl. Raya Rangkasbitung Pandeglang Km 7, Warunggunung Kec. Warunggunung, Kab. Lebak, Provonsi Banten</t>
  </si>
  <si>
    <t>Hari Sabar Pangestu</t>
  </si>
  <si>
    <t>MTS daarul muawwanah :60 SMP Mulia Hati Insani: 258</t>
  </si>
  <si>
    <t>Ma Daarul muawwanah: 28 Smk Mulia Hati Insani: 790</t>
  </si>
  <si>
    <t>Sindangsari</t>
  </si>
  <si>
    <t>SPPG Lebak Warunggunung Sindangsari</t>
  </si>
  <si>
    <t>VZQ8KXUV</t>
  </si>
  <si>
    <t>Yayasan tribuno svashta harena</t>
  </si>
  <si>
    <t>jl. raya rangkasbitung pandeglang RT004/RW002 Kp. Caringinsiuh desa sindangsari kec. warunggunung kab. Lebak prov banten</t>
  </si>
  <si>
    <t>Eko Tiko Putra</t>
  </si>
  <si>
    <t>KB AL WAHDAH : 30
KB HALIMATSYADIAH : 35</t>
  </si>
  <si>
    <t>TK KANAGA : 46
TK ARIFYAN : 62</t>
  </si>
  <si>
    <t>RA MIFTAHUL ULIM : 28</t>
  </si>
  <si>
    <t>1. PAUD ASYAILAH MUTIARA : 44
2. PAUD NURUL FALAH : 35
3. PAUD ANISA : 37
4. PAUD MIFTAHUL ULUM : 18</t>
  </si>
  <si>
    <t>SDN 1 BANJARSARI : 235
SDN 2 BANJARSARI : 117
SDN 1 SUKARAJA : 277
SDN 3 SUKARAJA : 243
SDN 3 CIBUAH : 252</t>
  </si>
  <si>
    <t>SMPN 2 Warunggunung : 465</t>
  </si>
  <si>
    <t>SMK 1 Warunggunung : 579</t>
  </si>
  <si>
    <t>SPPG Lebak Warunggunung Cibuah 2</t>
  </si>
  <si>
    <t>BZ2655X5</t>
  </si>
  <si>
    <t>Desa Sindangsari, Kec.Warunggunung, Kab.Lebak, banten</t>
  </si>
  <si>
    <t>02 Februari 2026</t>
  </si>
  <si>
    <t>Rezky Budi Prasetyo</t>
  </si>
  <si>
    <t>1. PAUD Al-Ghaitsa : 51 
2. ⁠PAUD Hidayatul mustafid : 20
3. ⁠Paud Bina Hikmah : 81 
4. Paud Dahlia Sukaraja : 40
5. ⁠Paud Dahlia Tegal Lebak : 26
6. ⁠Paud kasih bunda sinangelet: 45
7. Paud kasih bunda pasir pesing: 17
8. Paud Kasih bunda cibuah: 28
⁠9. Paud al-ittihad : 26</t>
  </si>
  <si>
    <t>SD Al-Ghaitsa : 55
SDN 1 Baros: 428
⁠SKH Bina Hikmah: 25</t>
  </si>
  <si>
    <t>SMP Al-Ghaitsa : 87
SMP Plus Mathla`ul Anwar : 195
Mts Hidayah Islamiah : 28
Mts Jamiatul Falah : 50</t>
  </si>
  <si>
    <t>SMK Al-GHaitsa : 101
SMK Mathla`ul Anwar : 538
MA Hidayah Islamiah : 12</t>
  </si>
  <si>
    <t>Cempaka</t>
  </si>
  <si>
    <t>SPPG Lebak Warunggunung Cempaka</t>
  </si>
  <si>
    <t>RCTQAVXT</t>
  </si>
  <si>
    <t>Yayasan An Nur Madani Nusantara</t>
  </si>
  <si>
    <t>Kp. Pasir Nangka, Cempaka, Warunggunung, Lebak, Banten</t>
  </si>
  <si>
    <t>Ahmad Mujahidin Asril</t>
  </si>
  <si>
    <t xml:space="preserve">TK WILRAYHAN : 66 TK PGRI : 29 TK Mentari : 44 TK Alfairuzy : 42 TK Alfairuzy Dukuh Asem : 20 TK Arroyhan : 38  </t>
  </si>
  <si>
    <t>RA As Sukiya : 45</t>
  </si>
  <si>
    <t>Paud Nusa Indah : 43 Paud Intan Permata Jombang : 17 Paud Intan Permata Cilembun : 12</t>
  </si>
  <si>
    <t>SDN Islam Rosyada : 76 SDN 3 Jagabaya</t>
  </si>
  <si>
    <t>MTs An Nurhaniah : 106 Mts Ar Royhan : 47 MTs Miftahul Jannah : 36 , SMP Daar El Rofa : 121 , SMA Daar El Rofa : 34</t>
  </si>
  <si>
    <t>MA Ar Royhan : 34 MA Miftahul Jannah : 30</t>
  </si>
  <si>
    <t xml:space="preserve">Ponpes Bustanul Wildan An Nurhaniah : 59 , Ponpes Masrotul Muta'alimin : 35 , Ponpes Riyadul Muta'alimin : 52 , Ponpes Daar El Hidayah : 28 , Ponpes Raudhatul Awamil : 39 , </t>
  </si>
  <si>
    <t>Sukarendah</t>
  </si>
  <si>
    <t>SPPG Lebak Warunggunung Sukarendah 2</t>
  </si>
  <si>
    <t>QHHYRHNC</t>
  </si>
  <si>
    <t>Yayasan Mutiara Bunda Maulana Wijaya</t>
  </si>
  <si>
    <t>Jalan Raya Rangkasbitung- Padeglang Km 10 desa Sukarendah, Kec.Warunggunung, Kab. Lebak, Banten</t>
  </si>
  <si>
    <t xml:space="preserve">Sudah operasional </t>
  </si>
  <si>
    <t>Dodi Lasen SS</t>
  </si>
  <si>
    <t>KB ARYANTI = 72
KB ASYAPIAH = 45
 KB WANDARI = 46
KB CAHAYA = 57
KB AN-NIDHA = 33</t>
  </si>
  <si>
    <t>TK AN-NIDHA = 21</t>
  </si>
  <si>
    <t>SDN 1 JAGABAYA = 357</t>
  </si>
  <si>
    <t>MTs MA'WAUL 'ULUM = 25
SMP 3 WARUNGGUNUNG = 449</t>
  </si>
  <si>
    <t>MAS AL-ITTIHAD = 45</t>
  </si>
  <si>
    <t>Sppg lebak warunggunung sukarendah 3</t>
  </si>
  <si>
    <t>FE6UYN2F</t>
  </si>
  <si>
    <t xml:space="preserve">Yayasan amanah cinta Indonesia </t>
  </si>
  <si>
    <t xml:space="preserve">Pekon sampai desa sukarendah kec warunggunung </t>
  </si>
  <si>
    <t>SUDAH OPERASIONAL</t>
  </si>
  <si>
    <t>Ganta faried pradana</t>
  </si>
  <si>
    <t>KB MANBAUL FALAH 46</t>
  </si>
  <si>
    <t>TK PANGAYOM : 30</t>
  </si>
  <si>
    <t>RA ASSADIYAH : 67</t>
  </si>
  <si>
    <t>PAUD BINA LESTARI : 47
PAUD MUTIARA ASIH : 47
PAUD NURUL NURUL  MUHTADIN : 46
PAUD PUTRI AZZAHRA : 18
PAUD KB AL HIDAYAH : 65</t>
  </si>
  <si>
    <t>SDN 1 PASIR TANGKIL : 173
SDN 2 SUKARENDAH : 300</t>
  </si>
  <si>
    <t>MTS MANBAUL FALAH : 69
MTS DAARUL HIJRAH : 146
MTS MAZROATUL HUDA : 52</t>
  </si>
  <si>
    <t>MA DAARUL HIJRAH : 80
MA MANBAUL FALAH : 96
MA MAZROATUL  HUDA : 20</t>
  </si>
  <si>
    <t>Ponpes Al-Darsimiyah : 61</t>
  </si>
  <si>
    <t xml:space="preserve">Cempaka </t>
  </si>
  <si>
    <t>SPPG WARUNGGUNUNG CEMPAKA 2</t>
  </si>
  <si>
    <t>QLUC0TYR</t>
  </si>
  <si>
    <t xml:space="preserve">Yayasan Adhiguna Cakrawala Lebak </t>
  </si>
  <si>
    <t xml:space="preserve">Kp. Pasir Bedil RT 05 RW 01 Desa Cempaka Kec. Warunggunung </t>
  </si>
  <si>
    <t>ALAN KUNG</t>
  </si>
  <si>
    <t>RA AL-Khoer:38</t>
  </si>
  <si>
    <t>Paud Mandi:51</t>
  </si>
  <si>
    <t>1. SDN 2 Jagabaya: 290 , 2.SDN 3 BANJARSARI:248, 3.MI Hidayah Islamiyah:98, 4.MIS Mabdail Falah:154, 5.SDLQ:(Kelas 1-3)= 85</t>
  </si>
  <si>
    <t xml:space="preserve">1.MTS Hidayah Islamiyah Pasir Tangkil:87,                                                                                                                                                                   2.MTS QOTHROTUL FALAH: 140  </t>
  </si>
  <si>
    <t xml:space="preserve">1. SMA QOTHROTUL FALAH: 107 </t>
  </si>
  <si>
    <t>Sukaraja:88</t>
  </si>
  <si>
    <t>Sukaraja :189</t>
  </si>
  <si>
    <t>Sukaraja:438</t>
  </si>
  <si>
    <t>Ponpes AL MU`Allimin:25</t>
  </si>
  <si>
    <t>Warunggunung</t>
  </si>
  <si>
    <t>SPPG WARUNGGUNUNG WARUNGGUNUNG 3</t>
  </si>
  <si>
    <t>6VBB2DB</t>
  </si>
  <si>
    <t>Yayasan Insiprasi Semesta Nagari</t>
  </si>
  <si>
    <t>Kp. Gunung RT 05 RW 02, Desa Warunggunung, Kec. Warunggunung, Kab. Lebak, Banten</t>
  </si>
  <si>
    <t>Belum Operasional</t>
  </si>
  <si>
    <t>Agung Wahyudi Sirait</t>
  </si>
  <si>
    <t>sukarendah</t>
  </si>
  <si>
    <t>sppg Lebak warunggunung sukarendah 4</t>
  </si>
  <si>
    <t>yayasan darul kirom</t>
  </si>
  <si>
    <t>Kampung Galura, Rt 017 Rw 006, Desa Sukarendah, Kec. Warunggunung, Kab. Lebak, Banten</t>
  </si>
  <si>
    <t xml:space="preserve">belum operasional </t>
  </si>
  <si>
    <t>belum</t>
  </si>
  <si>
    <t>nurul hadi</t>
  </si>
  <si>
    <t>083896268346</t>
  </si>
  <si>
    <t>Kadudamas</t>
  </si>
  <si>
    <t>SPPG Lebak Cirinten Kadudamas</t>
  </si>
  <si>
    <t>RNAITYGI</t>
  </si>
  <si>
    <t>SINERGI BERDAYA NAGARI</t>
  </si>
  <si>
    <t>KP.CIGINTUNG RT.20 RW.002 DS.KADUDAMAS KEC.CIRINTEN KAB.LEBAK</t>
  </si>
  <si>
    <t>09 Februari 2026</t>
  </si>
  <si>
    <t>IMRON (PERGANTIAN KA SPPG)</t>
  </si>
  <si>
    <t>1. KB Karya Bakti : 54
2. KB Nawarul Ulum : 34
3. KB Nurul Hidayat : 28
4. KB Azzahra : 36</t>
  </si>
  <si>
    <t>TK Bintar Mas : 30</t>
  </si>
  <si>
    <t xml:space="preserve">1. SDN 1 Karangnunggal : 207
2. SDN 2 Karangnunggal : 180
3. SDN 3 Cirinten : 182 
4. SDN 4 Cirinten : 91   
5. SDN 1 Nangerang : 187 
6. SDN 1 Karoya : 150 
7. MI Cariu : 82                        
8. MI Cigintung : 98
9. MI Pangelang : 107                          
10. MI Jaura : 71
11. MI Citiis : 45   
12. MI Cimuncang : 54
             </t>
  </si>
  <si>
    <t xml:space="preserve">1. SMPN 2 Cirinten : 196
2. SMPN 3 Cirinten : 91
3. MTS Cigintung : 10
4. MTS Nurul Ulum : 61  
                         </t>
  </si>
  <si>
    <t xml:space="preserve">
1. MA Matahul Anwar : 32
                         </t>
  </si>
  <si>
    <t>Desa Cempaka Audium1-8 Total = 24</t>
  </si>
  <si>
    <t>Desa Cempaka Audium1-8 Total = 81</t>
  </si>
  <si>
    <t>Desa Cempaka Audium1-8 Total = 209</t>
  </si>
  <si>
    <t>karangnunggal</t>
  </si>
  <si>
    <t>SPPG Lebak Cirinten Karangnunggal</t>
  </si>
  <si>
    <t>OGYSUWMH</t>
  </si>
  <si>
    <t xml:space="preserve">Kampung Gempol Parigi RT 
002 RW 001, Desa 
Karangnunggal, Kec 
Cirinten, Kab Lebak
</t>
  </si>
  <si>
    <t>23 FEBRUARI 2026</t>
  </si>
  <si>
    <t>Afdhalul zikri</t>
  </si>
  <si>
    <t>1. KB DAARUL HAMIZAN: 61
2. KB AL HUDA: 42</t>
  </si>
  <si>
    <t>‎1. PAUD AR-RAHMAT: 39 
‎2. PAUD ALFALLAH: 40 
‎3. PAUD BINA HARAPAN BANGSA: 42
‎4. PAUD ATTHURISIN: 33
‎5. PAUD DAARUL MUQOMAH: 74
‎6. PAUD DARUSSALAM: 34
‎7. PAUD BANI NUR:44</t>
  </si>
  <si>
    <t>1. SDN 1 DATARCAE: 198
2. SDN 2 BADUR: 189
‎3. SDN 3 PARAKANLIMA: 109
‎4. MIS NURUL IHSAN BADUR: 166
‎5. MI MATHLAUL ANWAR BATUJAYA: 46
‎6. MI AL FITROH CIKAHIR: 57
‎7. MI MATHLAUL ANWAR CIKARANG: 111
8. SD 1 BADUR: 163</t>
  </si>
  <si>
    <t>1. MTs Mathlaul Anwar Cikarang: 75
‎2. MTs RIYADUSSAADAH: 124
‎3. MTs MATHLAUL ANWAR BATUJAYA: 49
‎4. MTs AT THURISIN: 66</t>
  </si>
  <si>
    <t xml:space="preserve">1. SMA RIYADUSSAADAH : 61
2. SMK Filial AT THURISIN : 36
3. SMK AL KALAM : 56 
4. SMA 1 CIRINTEN : 187
</t>
  </si>
  <si>
    <r>
      <rPr>
        <rFont val="Calibri"/>
        <color rgb="FF000000"/>
        <sz val="11.0"/>
      </rPr>
      <t xml:space="preserve">KARANGNUNGGAL, MAWAR :  1/2/3/4/5/6/7/8/9 </t>
    </r>
    <r>
      <rPr>
        <rFont val="Calibri"/>
        <b/>
        <color rgb="FF000000"/>
        <sz val="11.0"/>
      </rPr>
      <t>TOTAL</t>
    </r>
    <r>
      <rPr>
        <rFont val="Calibri"/>
        <color rgb="FF000000"/>
        <sz val="11.0"/>
      </rPr>
      <t xml:space="preserve"> = 20
CIRINTEN, ANGGREK  : 7/9 </t>
    </r>
    <r>
      <rPr>
        <rFont val="Calibri"/>
        <b/>
        <color rgb="FF000000"/>
        <sz val="11.0"/>
      </rPr>
      <t xml:space="preserve">TOTAL </t>
    </r>
    <r>
      <rPr>
        <rFont val="Calibri"/>
        <color rgb="FF000000"/>
        <sz val="11.0"/>
      </rPr>
      <t>= 8</t>
    </r>
  </si>
  <si>
    <r>
      <rPr>
        <rFont val="Calibri"/>
        <color rgb="FF000000"/>
        <sz val="11.0"/>
      </rPr>
      <t xml:space="preserve">KARANGNUNGGAL, MAWAR :  1/2/3/4/5/6/7/8/9 </t>
    </r>
    <r>
      <rPr>
        <rFont val="Calibri"/>
        <b/>
        <color rgb="FF000000"/>
        <sz val="11.0"/>
      </rPr>
      <t xml:space="preserve">TOTAL </t>
    </r>
    <r>
      <rPr>
        <rFont val="Calibri"/>
        <color rgb="FF000000"/>
        <sz val="11.0"/>
      </rPr>
      <t xml:space="preserve">= 70
CIRINTEN, ANGGREK  : 7/9 </t>
    </r>
    <r>
      <rPr>
        <rFont val="Calibri"/>
        <b/>
        <color rgb="FF000000"/>
        <sz val="11.0"/>
      </rPr>
      <t>TOTAL</t>
    </r>
    <r>
      <rPr>
        <rFont val="Calibri"/>
        <color rgb="FF000000"/>
        <sz val="11.0"/>
      </rPr>
      <t xml:space="preserve"> = 10</t>
    </r>
  </si>
  <si>
    <r>
      <rPr>
        <rFont val="Calibri"/>
        <color rgb="FF000000"/>
        <sz val="11.0"/>
      </rPr>
      <t xml:space="preserve">KARANGNUNGGAL, MAWAR :  1/2/3/4/5/6/7/8/9 </t>
    </r>
    <r>
      <rPr>
        <rFont val="Calibri"/>
        <b/>
        <color rgb="FF000000"/>
        <sz val="11.0"/>
      </rPr>
      <t>TOTAL</t>
    </r>
    <r>
      <rPr>
        <rFont val="Calibri"/>
        <color rgb="FF000000"/>
        <sz val="11.0"/>
      </rPr>
      <t xml:space="preserve"> = 207
CIRINTEN, ANGGREK  : 7/9 </t>
    </r>
    <r>
      <rPr>
        <rFont val="Calibri"/>
        <b/>
        <color rgb="FF000000"/>
        <sz val="11.0"/>
      </rPr>
      <t>TOTAL</t>
    </r>
    <r>
      <rPr>
        <rFont val="Calibri"/>
        <color rgb="FF000000"/>
        <sz val="11.0"/>
      </rPr>
      <t xml:space="preserve"> = 54</t>
    </r>
  </si>
  <si>
    <t>Cirinten</t>
  </si>
  <si>
    <t>SPPG Lebak Cirinten Cirinten</t>
  </si>
  <si>
    <t>GW6U7SJV</t>
  </si>
  <si>
    <t>CIPTA BANGSA SEJAHTERA</t>
  </si>
  <si>
    <t>Jl. Raya Cijaku Desa Cirinten Kec. Cirinten Kab. Lebak Banten 42363</t>
  </si>
  <si>
    <t>26 Januari 2026</t>
  </si>
  <si>
    <t>Muhammad Aprizal</t>
  </si>
  <si>
    <t>1. ⁠KB Parakanlima : 32
2. ⁠KB Khairunnisa : 18</t>
  </si>
  <si>
    <t>1. ⁠TK BIna Mandiri : 58
2. ⁠TK Daar Al Muttaqin : 31
3. ⁠TK Riyadul Hasanah : 22
4. ⁠TK Satap Kadudamas : 33</t>
  </si>
  <si>
    <t>⁠1. ⁠SDN 1 Cirinten : 231
2. ⁠SDN 2 Cirinten : 148
3. ⁠SDN 1 Kadudamas : 265
4. ⁠SDN 1 Cempaka : 102
5. ⁠SDN 2 Cempaka : 49
6. ⁠SDN 1 Parakanlima : 117
7. ⁠MI Cempaka : 56
8. ⁠MIS MA Pasirmadang : 70</t>
  </si>
  <si>
    <t>1. ⁠SMPN 1 Cirinten : 258
2. ⁠MTs Nurul Islam : 197
3. ⁠SMPN 4 Cirinten : 189</t>
  </si>
  <si>
    <t>1. ⁠SMKN 1 Cirinten : 398</t>
  </si>
  <si>
    <t>1. ⁠Posyandu Anggrek 1 : 4
2. ⁠Posyandu Anggrek 2 : 7
3. ⁠Posyandu Anggrek 3 : 3
4. ⁠Posyandu Anggrek 4 : 5
5. ⁠Posyandu Anggrek 5 : 3
6. ⁠Posyandu Anggrek 6 : 12
Total = 34</t>
  </si>
  <si>
    <t>1. ⁠Posyandu Anggrek 1 : 10
2. ⁠Posyandu Anggrek 2 : 11
3. ⁠Posyandu Anggrek 3 : 12
4. ⁠Posyandu Anggrek 4 : 1
5. ⁠Posyandu Anggrek 5 : 6
6. ⁠Posyandu Anggrek 6 : 19
Total =  59</t>
  </si>
  <si>
    <t>1. ⁠Posyandu Anggrek 1 : 41
2. ⁠Posyandu Anggrek 2 : 43
3. ⁠Posyandu Anggrek 3 : 51
4. ⁠Posyandu Anggrek 4 : 34
5. ⁠Posyandu Anggrek 5 : 23
6. ⁠Posyandu Anggrek 6 : 39
Total =  231</t>
  </si>
  <si>
    <t>Parakanlima</t>
  </si>
  <si>
    <t>SPPG Cirinten 01 Kab.Lebak</t>
  </si>
  <si>
    <t>AXUIMG9E</t>
  </si>
  <si>
    <t>BIRU HARAPAN INDONESIA</t>
  </si>
  <si>
    <t>Kp.Wakapsari Ds.Parakalima Kec.Cirinten RT.001 RW.002</t>
  </si>
  <si>
    <t>Badur</t>
  </si>
  <si>
    <t>SPPG Badur Cirinten Kab.Lebak</t>
  </si>
  <si>
    <t>R7FSF9KE</t>
  </si>
  <si>
    <t>AL HIDAYAH IBNU PALMIN</t>
  </si>
  <si>
    <t>Kp.Cihaladan RT.008 RW.006 Ds.Badur Kec.Cirinten</t>
  </si>
  <si>
    <t>DS.Karangnunggal</t>
  </si>
  <si>
    <t>Ds.Karangnunggal Kec.Cirinten</t>
  </si>
  <si>
    <t>Selesai Di Survai Per Tgl 28-04-26</t>
  </si>
  <si>
    <t>DS.Cibarani</t>
  </si>
  <si>
    <t>DS.Badur Kec.Cirinten</t>
  </si>
  <si>
    <t>Tahap Survai, Menunggu Tanggal Di jadwalkan Survai</t>
  </si>
  <si>
    <t>SPPG Proses Persiapan</t>
  </si>
  <si>
    <t>MUARA CIUJUNG BARAT</t>
  </si>
  <si>
    <t>SPPG Lebak Rangkasbitung Muara Ciujung Barat 1</t>
  </si>
  <si>
    <t>VYHRF3PX</t>
  </si>
  <si>
    <t>Generasi Petarung Indonesia</t>
  </si>
  <si>
    <t xml:space="preserve"> Muara Ciujung Barat, Rangkasbitung, Kab. Lebak, Banten</t>
  </si>
  <si>
    <t>Ayi Ahmad Nuramin</t>
  </si>
  <si>
    <t>PAUD ALHIDAYAH JUMLAH 24</t>
  </si>
  <si>
    <t>1. SDN 1 MUARA CIUJUNG BARAT JUMLAH 420
2. SDN 2 MUARA CIUJUNG BARAT JUMLAH 571</t>
  </si>
  <si>
    <t>SMPN 1 RANGKASBITUNG JUMLAH 1269</t>
  </si>
  <si>
    <t>POSYANDU TULIP 4&amp;5 JUMLAH 29</t>
  </si>
  <si>
    <t>POSYANDU TULIP 4&amp;5 JUMLAH 50</t>
  </si>
  <si>
    <t>POSYANDU TULIP 4&amp; 5 JUMLAH 143</t>
  </si>
  <si>
    <t>CIJORO LEBAK</t>
  </si>
  <si>
    <t>SPPG Lebak Rangkasbitung Cijoro Lebak 1</t>
  </si>
  <si>
    <t>OS7EW6U7</t>
  </si>
  <si>
    <t>Cijoro Lebak, Rangkasbitung, Kab. Lebak, Banten</t>
  </si>
  <si>
    <t>Yanto Mustopa</t>
  </si>
  <si>
    <t>083814941369</t>
  </si>
  <si>
    <t>KB Al-kautsar : 25</t>
  </si>
  <si>
    <t>SMKN 1 Rangkasbitung : 1874</t>
  </si>
  <si>
    <t>Posyandu Teratai 1,2,8,9 Jumlah : 29</t>
  </si>
  <si>
    <t>Posyandu Teratai 1,2,8, dan 9 Jumlah : 53</t>
  </si>
  <si>
    <t>Posyandu Teratai 1,2,3 dan 9 Jumlah: 170</t>
  </si>
  <si>
    <t>CIJORO PASIR</t>
  </si>
  <si>
    <t>SPPG Lebak Rangkasbitung Cijoro Pasir 1</t>
  </si>
  <si>
    <t>8ZB4CP02</t>
  </si>
  <si>
    <t>Yayasan Mandiri Banten Sejahtera</t>
  </si>
  <si>
    <t>Kampung Lembur Sawah Rt 003 Rw 005, Cijoro Pasir, Rangkasbitung, Kab. Lebak, Banten</t>
  </si>
  <si>
    <t>Aulia Prima Rahman Yunas</t>
  </si>
  <si>
    <t>0895391997737</t>
  </si>
  <si>
    <t>TKIT AL - MADANI 85</t>
  </si>
  <si>
    <t>KB FATHUL HASANAH 33</t>
  </si>
  <si>
    <t xml:space="preserve">SDN 2 SUKAMANAH 241
SDN 1 SUKAMANAH 244
SDN 4 CIJORO PASIR 206
SDN 1 NAMENG 223
SDN 2 CIJORO PASIR 218
SDIT AL-MADANI 305
</t>
  </si>
  <si>
    <t>SMP 7 RANGKASBITUNG 547
SMP 8 RANGKASBITUNG 140
SMP LA TAHZAN 260</t>
  </si>
  <si>
    <t>SMK INSAN MANDIRI AL KAHIRI 164
SMA LA TAHZAN 103</t>
  </si>
  <si>
    <t>LILI 8 CIJORO PASIR 5
LILI 9 CIJORO PASIR 9
LILI 10 CIJORO PASIR 7</t>
  </si>
  <si>
    <t>LILI 7 CIJORO PASIR 2
LILI 8 CIJORO PASIR 26
LILI 9 CIJORO PASIR 15
LILI 10 CIJORO PASIR 23</t>
  </si>
  <si>
    <t>LILI 7 CIJORO PASIR 18
LILI 8 CIJORO PASIR 111
LILI 9 CIJORO PASIR 70
LILI 10 CIJORO PASIR 99</t>
  </si>
  <si>
    <t>Jatimulya</t>
  </si>
  <si>
    <t>SPPG Lebak Rangkasbitung Jatimulya</t>
  </si>
  <si>
    <t>QR8AZT9H</t>
  </si>
  <si>
    <t>Bima Sakti Cilisung</t>
  </si>
  <si>
    <t xml:space="preserve">Jl. Tb. Hasan, Rt 05 Rw 02 Jatimulya, Kec. Rangkasbitung, Kabupaten Lebak, Banten 42315
</t>
  </si>
  <si>
    <t>Farhan Raviensa</t>
  </si>
  <si>
    <t>TK Al Muna 20
Tk kasih bunda 49
Tk maulida insani 17</t>
  </si>
  <si>
    <t xml:space="preserve">Sd 1 Jatimulya 223
Sd 2 jatimulya 266
</t>
  </si>
  <si>
    <t>SMPN 3 Rangkasbitung 1136
Ponpes Darul ibtida 293</t>
  </si>
  <si>
    <t>Ponpes darul ibtida 106</t>
  </si>
  <si>
    <t>Anggrek 1, 2 , 3 , 5 , 8 , 9 , 10 jumlah 66</t>
  </si>
  <si>
    <t>Anggrek 1, 2 , 3 , 5 , 8 , 9 , 10  jumlah 202</t>
  </si>
  <si>
    <t>Anggrek 1, 2 , 3 , 5 , 8 , 9 , 10 jumlah 388</t>
  </si>
  <si>
    <t>Muara Ciujung Timur</t>
  </si>
  <si>
    <t>SPPG Lebak Muara Ciujung Timur 1</t>
  </si>
  <si>
    <t>JCA5OIXR</t>
  </si>
  <si>
    <t>Jln. TB Hasan No. 40 Kelurahan Muara Ciujung Timur Kecamatan Rangkasbitung</t>
  </si>
  <si>
    <t>Moh. Rafiyudi</t>
  </si>
  <si>
    <t>SMKN 2 RANGKASBITUNG : 1.737</t>
  </si>
  <si>
    <t>POSYANDU DAHLIA WILAYAH 3 : 19</t>
  </si>
  <si>
    <t>POSYANDU DAHLIA WILAYAH 3 : 142</t>
  </si>
  <si>
    <t>POSYANDU DAHLIA WILAYAH 3 : 278</t>
  </si>
  <si>
    <t>Rangkasbitung TImur</t>
  </si>
  <si>
    <t>SPPG Rangkasbitung Timur</t>
  </si>
  <si>
    <t>SUR8AGK7</t>
  </si>
  <si>
    <t>Yayasan Bintang Luhung Naqsyabandi</t>
  </si>
  <si>
    <t>Jl Pasir Ona, Kp Cibungur Rangkasbitung Timur, Kec. Rangkasbitung, Kabupaten Lebak</t>
  </si>
  <si>
    <t>Aceng Hakiki</t>
  </si>
  <si>
    <t>KB CERIA 56
KB AISYA 37</t>
  </si>
  <si>
    <t>TK PGRI II 73</t>
  </si>
  <si>
    <t>RA NADWATUL ANWAR 15
RA DARUL ILMI BIFADILAH 40
TPA MATAHARI 59</t>
  </si>
  <si>
    <t xml:space="preserve">SDN 1 RANGKASBITUNG TIMUR 779
SDN 2 RANGKASBITUNG TIMUR 298
SDN 3 RANGKASBITUNG TIMUR 313
SDIT INSANTAMA 151
</t>
  </si>
  <si>
    <t>SMPIT ADDAWAH 114</t>
  </si>
  <si>
    <t xml:space="preserve">SMAIT ADDAWAH 109
MAN 1 LEBAK 647
SMKS PU 88
PKBM DAARUSSUNNAH 93
</t>
  </si>
  <si>
    <t xml:space="preserve">SERUNI 1 18
SERUNI 6  13
SERUNI 7 12
SERUNI 9 18
SERUNI 12 17
SERUNI 14  20
</t>
  </si>
  <si>
    <t xml:space="preserve">SERUNI 1 5
SERUNI 6 9
SERUNI 7 2
SERUNI 9 9
SERUNI 12 7
SERUNI 14 7
</t>
  </si>
  <si>
    <t xml:space="preserve">SERUNI 1  47
SERUNI 6  67
SERUNI 7 42
SERUNI 9 93
SERUNI 1274
SERUNI 14 83
</t>
  </si>
  <si>
    <t>Cijoro Pasir</t>
  </si>
  <si>
    <t>SPPG LEBAK RANGKASBITUNG CIJORO PASIR 2</t>
  </si>
  <si>
    <t>3HA9IVUM</t>
  </si>
  <si>
    <t>Yayasan Hati Berbagi Luhur</t>
  </si>
  <si>
    <t>Jl. Profesor Insinyur Dr Soetami No. 45 Cijoro Pasir</t>
  </si>
  <si>
    <t>Nurman</t>
  </si>
  <si>
    <t>085881863954</t>
  </si>
  <si>
    <t>PAUD BUNDA : 39</t>
  </si>
  <si>
    <t>SDN 1 Citeras : 243
SDN 2 Citeras : 425
SDN 3 Citeras : 290</t>
  </si>
  <si>
    <t>SMPN 5 Rangkasbitung : 883</t>
  </si>
  <si>
    <t>SMAN 4 Rangkasbitung : 314</t>
  </si>
  <si>
    <t>Posyandu Lili 3,4,5,6,13 Jumlah : 32</t>
  </si>
  <si>
    <t>Posyandu Lili 1,2,3,4,5,6,13 Jumlah : 165</t>
  </si>
  <si>
    <t>Posyandu Lili 1,2,3,4,5,6,13 Jumlah : 330</t>
  </si>
  <si>
    <t>SPPG Lebak Rangkasbitung Muara Ciujung Barat 2</t>
  </si>
  <si>
    <t>MBYOIGQW</t>
  </si>
  <si>
    <t>YAYASAN MAS HAJI ISCHAK</t>
  </si>
  <si>
    <t>JALAN PATIHDERUS NO 14 RT/RW 001003 KELURAHAN MUARA CIUJUNG BARAT KEC. RANGKASBITUNG KAB LEBAK BANTEN 42312</t>
  </si>
  <si>
    <t>YOPI PERMANA</t>
  </si>
  <si>
    <t>085782743979</t>
  </si>
  <si>
    <t xml:space="preserve">1.  TK MARDIYUANA : 43
2. TK KEMALA BHAYANGKARI : 71
</t>
  </si>
  <si>
    <t>1. PAUD AR-AFI'I : 23
2. PAUD AL-FALAH : 19</t>
  </si>
  <si>
    <t xml:space="preserve">1. SDN 3 MUARA CIUJUNG BARAT : 181
2. SD MARDIYUANA : 187
</t>
  </si>
  <si>
    <t>1. SMPN 4 RANGKASBITUNG : 1.057
2. MTS WASILATUL FALAH : 124
3. SMP MARDIYUANA : 88</t>
  </si>
  <si>
    <t>1. SMK MISYKATUL AZKIA : 165
2. MA WASILATUL FALAH : 81</t>
  </si>
  <si>
    <t>1. TULIP 1 ,2,3,6,7,8,9,10,11,12 : JUMLAH 34</t>
  </si>
  <si>
    <t>1. TULIP 1 ,2,3,6,7,8,9,10,11,12 : JUMLAH 105</t>
  </si>
  <si>
    <t>1. TULIP 1 ,2,3,6,7,8,9,10,11,12 : JUMLAH 382</t>
  </si>
  <si>
    <t>MUARA CIUJUNG TIMUR</t>
  </si>
  <si>
    <t>SPPG Lebak Rangkasbitung Muara Ciujung Timur 3</t>
  </si>
  <si>
    <t>WBAV2N4K</t>
  </si>
  <si>
    <t>YAYASAN BERKAH SEHAT BERSAUDARA</t>
  </si>
  <si>
    <t>Jl. Kota Baru 2, Desa Muara Ciujung Timur, Kecamatan Rangkas Bitung, Kabupaten Lebak, Banten</t>
  </si>
  <si>
    <t>Yusuf Firdaus</t>
  </si>
  <si>
    <t>0895332066795</t>
  </si>
  <si>
    <t xml:space="preserve">1. TK PGRI 1 RANGKASBITUNG JUMLAH 69              2. TK PELITA JUMLAH 56
 </t>
  </si>
  <si>
    <t xml:space="preserve">1. SDN 1 RANGKASBITUNG BARAT JUMLAH 883  2. SDN 2 MUARA CIUJUNG TIMUR JUMLAH 785 
</t>
  </si>
  <si>
    <t xml:space="preserve">1. SMAN 1 RANGKASBITUNG JUMLAH 689
</t>
  </si>
  <si>
    <t>POSYANDU MELATI 1 sd 12 JUMLAH 43</t>
  </si>
  <si>
    <t>POSYANDU MELATI 1 sd 12 JUMLAH 127</t>
  </si>
  <si>
    <t>POSYANDU MELATI 3 4 5 6 8 9 JUMLAH 344</t>
  </si>
  <si>
    <t>SPPG Lebak Rangkasbitung Muara Ciujung Timur 4</t>
  </si>
  <si>
    <t>IS6ZVTE0</t>
  </si>
  <si>
    <t>YAYASAN MITRA WAHID MUTIARA HTAM</t>
  </si>
  <si>
    <t>Kampung Barangbang (Komplek Pendidikan), RT/RW 004/013, Muara Ciujung Timur, Kecamatan Rangkasbitung, Kabupaten Lebak, Banten</t>
  </si>
  <si>
    <t>AEP BUDIMAN</t>
  </si>
  <si>
    <t>0859102693452</t>
  </si>
  <si>
    <t>TK DAREL AZHAR : 75</t>
  </si>
  <si>
    <t>SDI DAREL AZHAR : 37
MIN 3 LEBAK : 21</t>
  </si>
  <si>
    <t>SMPN 6 RANGKASBITUNG : 672
MTS DAREL AZHAR : 438</t>
  </si>
  <si>
    <t>SMA DAREL AZHAR : 435</t>
  </si>
  <si>
    <t>POSYANDU BOUGENVILLE 1 - 10 JUMLAH : 38</t>
  </si>
  <si>
    <t>POSYANDU BOUGENVILLE 1 SD 10 IBU MENYUSUI JUMLAH : 102</t>
  </si>
  <si>
    <t>POSYANDU BOUGENVILLE 1 SD 10 BALITA JUMLAH : 478</t>
  </si>
  <si>
    <t>SPPG Lebak Rangkasbitung Muara Ciujung Timur 2</t>
  </si>
  <si>
    <t>AAWDFUWJID</t>
  </si>
  <si>
    <t>YAYASAN BAKTI ASTA CITA</t>
  </si>
  <si>
    <t>Jln. TB. Hasan. No. 22. Kp. Cimesir.  Kelurahan Muara Ciujung Timur, Kec. Rangkasbitung, Kab. Lebak. Banten</t>
  </si>
  <si>
    <t>syahrizal salsabila shaifana</t>
  </si>
  <si>
    <t>082114238992</t>
  </si>
  <si>
    <t>TK. SKHN 2 LEBAK : 11</t>
  </si>
  <si>
    <t xml:space="preserve">1. SKHN 2 LEBAK =74
2. SD 3 JATIMULYA = 104
</t>
  </si>
  <si>
    <t>SKHN 2 LEBAK = 60</t>
  </si>
  <si>
    <t>1. PONPES ALMIZAN = 199
2. SMA N 2 RANGKASBITUNG = 1.271
3. SKHN 2 LEBAK = 38+52 TENDIK</t>
  </si>
  <si>
    <t>DAHLIA = 25</t>
  </si>
  <si>
    <t>DAHLIA = 94</t>
  </si>
  <si>
    <t>DAHLIA = 149</t>
  </si>
  <si>
    <t xml:space="preserve">ATS/APRAS = 42 </t>
  </si>
  <si>
    <t>PASIRTANJUNG</t>
  </si>
  <si>
    <t>SPPG Lebak Rangkasbitung Pasirtanjung</t>
  </si>
  <si>
    <t>I0PM6KGB</t>
  </si>
  <si>
    <t>YAYASAN KARYA BOGA WIJAYA KUSUMA</t>
  </si>
  <si>
    <t xml:space="preserve">Kp. Babakan RT 001 RW 002 Desa Pasir Tanjung Kecamatan Rangkasbitung Kabupaten Lebak Prov. Banten (42312) </t>
  </si>
  <si>
    <t>YETI RAKHMAWATI</t>
  </si>
  <si>
    <t>1. KB An-nisa 45 2. KB Pelangi 43 3. KB Wibana 52 4. KB Bintang Wibana 50</t>
  </si>
  <si>
    <t>1. Paud Al-Hikam 25 2. Paud Al-Aziz 47</t>
  </si>
  <si>
    <t>1. SDN 1 Pasirtanjung 258 2. SDN 2 Pasirtanjung 348 3. SDN Rangasbitung timur 313. 4. MI Al-Hikam 154</t>
  </si>
  <si>
    <t>1. SMPN 9 Rangkasbitung 220 2. SMP Tafrijul Ahkam 110 3. MTS Al-Hikam 147</t>
  </si>
  <si>
    <t>1. SMA Tafrijul Ahkam 110 2. MA Al-Hikam 77</t>
  </si>
  <si>
    <t>Posyandu Flamboyan : 53</t>
  </si>
  <si>
    <t>Posyandu Flamboyan : 92</t>
  </si>
  <si>
    <t>Posyandu Flamboyan: 512</t>
  </si>
  <si>
    <t>1. Ponpes Miftahul Hidayah 20 2. Ponpes Daarus Syafaat 40 3. Ponpes Riyadul Awamil 20 4. Ponpes Nurul Mubtadin 37 5. Ponpes Azamzami 17</t>
  </si>
  <si>
    <t>Cijoro Lebak</t>
  </si>
  <si>
    <t>SPPG LEBAK RANGKASBITUNG CIJORO LEBAK 2</t>
  </si>
  <si>
    <t>RSWVPBCE</t>
  </si>
  <si>
    <t xml:space="preserve">YAYASAN PERSYARIKATAN MUHAMMADIYAH </t>
  </si>
  <si>
    <t>Jl. Bhakti Manunggal No.5, Kelurahan Cijoro Lebak, Kabupaten Lebak, Banten</t>
  </si>
  <si>
    <t>IKA RIAWATI</t>
  </si>
  <si>
    <t>TK Aisyiyah : 33</t>
  </si>
  <si>
    <t>RA DARUL HUDA : 16</t>
  </si>
  <si>
    <t>SDN 3 Cijoro Lebak : 353, SDN 5 Cijoro Pasir : 275</t>
  </si>
  <si>
    <t>MTS 1 Lebak : 727</t>
  </si>
  <si>
    <t>SMKS 1 Muhammadiyah: 75, SMKS 2 Muhammadiyah: 60</t>
  </si>
  <si>
    <t>Posyandu Teratai 10: 18, Posyandu Teratai 11: 11, Posyandu Teratai 12: 8, Posyandu Teratai 13: 8</t>
  </si>
  <si>
    <t>Posyandu Teratai 10: 41, Posyandu Teratai 11: 18, Posyandu Teratai 12: 28, Posyandu Teratai 13: 31</t>
  </si>
  <si>
    <t>BALITA
Posyandu Teratai 10: 82, Posyandu Teratai 11: 50, Posyandu Teratai 12: 50, Posyandu Teratai 13: 139</t>
  </si>
  <si>
    <t>SPPG LEBAK RANGKASBITUNG CIJORO LEBAK 4</t>
  </si>
  <si>
    <t>ZSSO9RAI</t>
  </si>
  <si>
    <t>YAYASAN AMANAH CINTA INDONESIA</t>
  </si>
  <si>
    <t>JL.BAKTI MANUNGGAL,KP.SALAHAUR,RT.06/RW.10,KEC.RANGKASBITUNG,KEL.CIJORO LEBAK,KAB.LEBAK,BANTEN.</t>
  </si>
  <si>
    <t>SAMUEL CHARLES TEOFILUS SIRAIT</t>
  </si>
  <si>
    <t>TK USWAH HASANAH PERWIRA
:29</t>
  </si>
  <si>
    <t xml:space="preserve">TPA USWAH HASANAH PERWIRA:34
PAUD AL-IZHAR:22
</t>
  </si>
  <si>
    <t xml:space="preserve">SDN  01 Narimbang :278
SDN  02 Narimbang :404
SDN  01 cimangenteng :393
SDN 1 MUARA CIUJUNG TIMUR :268
</t>
  </si>
  <si>
    <t xml:space="preserve">Al Husna Citeras MTS : 36
MTS bani Padil : 37
</t>
  </si>
  <si>
    <t xml:space="preserve">Al Husna Citeras SMA:21
MA BANI PADIL:48
</t>
  </si>
  <si>
    <t xml:space="preserve">EDELWIS 1 :11
EDELWIS 2 :9
EDELWIS 3 :16
EDELWIS 4 :7
EDELWIS 5 :11
EDELWIS 6 :11
EDELWIS 7 :7
EDELWIS 8 :9
EDELWIS 9 :6
EDELWIS 10 :7
</t>
  </si>
  <si>
    <t xml:space="preserve">EDELWIS 1 :35
EDELWIS 2 :9
EDELWIS 3 :33
EDELWIS 4 :19
EDELWIS 5 :22
EDELWIS 6 :17
EDELWIS 7 :16
EDELWIS 8 :12
EDELWIS 9 :10
EDELWIS 10 :20
</t>
  </si>
  <si>
    <t xml:space="preserve">EDELWIS 1 :77
EDELWIS 2 :57
EDELWIS 3 :125
EDELWIS 4 :50
EDELWIS 5 :97
EDELWIS 6 :77
EDELWIS 7 :56
EDELWIS 8 :57
EDELWIS 9 :60
EDELWIS 10 :110
</t>
  </si>
  <si>
    <t>SPPG Lebak Rangkasbitung Rangkasbitung Barat</t>
  </si>
  <si>
    <t>Z62SW6DI</t>
  </si>
  <si>
    <t xml:space="preserve">Yayasan Bima Sakti Cilisung </t>
  </si>
  <si>
    <t xml:space="preserve">Gang suntoro,Block Kavling Jaura Ona Rangkasbitung </t>
  </si>
  <si>
    <t>Dede Muhtadi</t>
  </si>
  <si>
    <t>1.   TK AL-BIRA.               22
 2.  TK NEGERI PEMBINA. 38
 3.  TK AN- NUR.              51.            Total :111</t>
  </si>
  <si>
    <t>1. RA AL- MUHAJIRIN. 36
2. RA AL- FATAH      12.                   Total 48</t>
  </si>
  <si>
    <t xml:space="preserve">1. Sdn 1 MCT.         267.               </t>
  </si>
  <si>
    <t xml:space="preserve">1. Sma PGRI.                 141.         2. Smk PGRI.                  843.         3. Sma Al hidayah.          174.         Total : 1158.         </t>
  </si>
  <si>
    <t>Posyandu kenanga.                     43</t>
  </si>
  <si>
    <t>Posyandu kenanga.                   204</t>
  </si>
  <si>
    <t>Posyandu kenanga.                  330</t>
  </si>
  <si>
    <t>NAMENG</t>
  </si>
  <si>
    <t>SPPG LEBAK RANGKASBITUNG NAMENG 1</t>
  </si>
  <si>
    <t>PXJTGOTY</t>
  </si>
  <si>
    <t>YAYASAN MAS HAJI ISCHAKIYAH</t>
  </si>
  <si>
    <t>Jl. Raya Cikande Kilometer 7, Nameng, Rangkasbitung, Lebak, Banten</t>
  </si>
  <si>
    <t>26 Februari 2026</t>
  </si>
  <si>
    <t>Richard Daniel Steven</t>
  </si>
  <si>
    <t>KB Al Quraisyin: 13
KB AL FATIHAH:26</t>
  </si>
  <si>
    <t>TK DARUL HAMIM AL MAAD: 15
TK SINAR HARAPAN: 25</t>
  </si>
  <si>
    <t>RA AL KAFI: 31</t>
  </si>
  <si>
    <t>PAUD ALFATIH: 15</t>
  </si>
  <si>
    <t>SDN 1 NAMENG: 211
SDN 2 NAMENG: 326
SDN 3 NAMENG: 144
SDN 4 CITERAS: 147</t>
  </si>
  <si>
    <t>MTS DARUSYIFA: 18
SMP IT AL - ISCHAKIYAH: 53
MTS DARUL AL HAMIM AL MAAD: 28</t>
  </si>
  <si>
    <t>SMA IT AL - ISCHAKIYAH: 25
SMK DARUL HAMIM AL MAAD: 27</t>
  </si>
  <si>
    <t>SPPG Lebak Rangkasbitung Muara Ciujung Timur 6</t>
  </si>
  <si>
    <t>9YUBMSKL
9YUBMSKL</t>
  </si>
  <si>
    <t>Jl. Dewi Sartika, Muara Ciujung Timur, Kec. Rangkasbitung, Kab. Lebak, Banten</t>
  </si>
  <si>
    <t>Eza Yayang Firdaus</t>
  </si>
  <si>
    <t>1. MTS Bani Wasilaturrahman: 32 2. SMPN 2 Rangkasbitung: 807 3. SD IT Al-Furqon: 72 4. RA Al-Furqon: 18 5. RA Al-Qudwah: 35 6. RA Al-Adwa: 20 7. PPS MQL: 22 8. SDN 03 Rangkasbitung Timur: 307 9. TK PGRI 2: 73 10. PAUD Matahari: 63 11. SMA Nurul Hasanah: 104 12. MTS Nurul Hasanah: 151 13. RA Nurul Hasanah: 35 14. PPS Nurul Hasanah: 34 15. RA Daarussibyan: 22 16. RA Al-Abror: 10 17. PAUDQ Daarul Ma'rifah: 19 18. MTS Daarul Ma'rifah: 79 19. MA Daarul Ma'rifah: 31 20. RA Arafah: 24 21. B3 Jatimulya: 223</t>
  </si>
  <si>
    <t>1. RA Al-Furqon: 18 2. RA Al-Qudwah: 35 3. RA Al-Adwa: 20 4. RA Daarussibyan: 22 5. RA Nurul Amal: 21 6. RA Al-Abror: 10</t>
  </si>
  <si>
    <t>1. PAUDQ Daarul Ma'rifah: 1o</t>
  </si>
  <si>
    <t xml:space="preserve">1. SD IT Al-Furqon: 72 2. SDN 03 Rangkasbitung Timur: 307 </t>
  </si>
  <si>
    <t>1. SMPN 02 Rangkasbitung: 807 2. MTS Bani Wasilaturrahman: 32 3. MTS Daarul Ma'rifah: 79</t>
  </si>
  <si>
    <t>1. MA Daarul Ma'rifah: 31</t>
  </si>
  <si>
    <t>1. Posyandu Anggrek 4: 8 2. Posyandu Anggrek 06: 04 3. Posyandu Anggrek 07: 10</t>
  </si>
  <si>
    <t>1. Posyandu Anggrek 04: 14 2. Posyandu Anggrek 06: 9 3. Posyandu Anggrek 7: 27</t>
  </si>
  <si>
    <t>1  Posyandu Anggrek 04: 37 2. Posyandu Anggrek 06: 31 3. Posyandu Anggrek 07: 38</t>
  </si>
  <si>
    <t>1. PPS MQL: 22 2. PPS Nurul Hasanah: 34</t>
  </si>
  <si>
    <t>APRAS 1. Posyandu Anggrek 04: 11 2. Posyandu Anggrek 06: 21 3. Posyandu Anggrek 07:13</t>
  </si>
  <si>
    <t>Nameng</t>
  </si>
  <si>
    <t>SPPG LEBAK RANGKASBITUNG NAMENG 2</t>
  </si>
  <si>
    <t>VHZKX1FQ</t>
  </si>
  <si>
    <t>Yayasan Mitra Lebak Mandiri</t>
  </si>
  <si>
    <t xml:space="preserve"> Kp. Cigalempong, Kel. Nameng, Kec. Rangkasbitung, Lebak Regency, Banten 42312</t>
  </si>
  <si>
    <t>Putra Zakaria</t>
  </si>
  <si>
    <t>085892427439</t>
  </si>
  <si>
    <t xml:space="preserve">KB KAFFAH : 49 </t>
  </si>
  <si>
    <t>RA ANWARUL HIDAYAH : 12</t>
  </si>
  <si>
    <t xml:space="preserve">1. Paud Zahrotul a'isy : 38 Paud Al Azam : 21 Paud Ikhwanul Muslimin : 48 Paud Al Ihsan : 25 </t>
  </si>
  <si>
    <t>1. MI Assulton : 61 MI Multazam : 91</t>
  </si>
  <si>
    <t xml:space="preserve">1. MTs Al Hayat : 76 2. MTs Kaffah : 62                                           </t>
  </si>
  <si>
    <t>1. Pesantren Al Bayan : 249 Pesantren Al Fafa : 236  Pesantren Daarul Arofah : 85 Pesantren Istiqomah : 65 Pesantren Al Ihsan : 180 Pesantren Lafifa : 46 Pesantren Mafaza : 33 Pesantren Al Alifiah : 38 Pesantren Daarul Maarif : 35 Pesantren Daarul Tahsin : 77</t>
  </si>
  <si>
    <t>SPPG LEBAK RANGKASBITUNG CIJORO PASIR 4</t>
  </si>
  <si>
    <t>TCXFDMD7</t>
  </si>
  <si>
    <t>Yayasan Alfurqon Pantura Tangerang</t>
  </si>
  <si>
    <t xml:space="preserve">Jl. Prof. Dr. Ir. Sutami No. 45, Kampung Cisalam, Kel. Cijoro Pasir, Kec. Rangkasbitung, Kab. Lebak, Banten
</t>
  </si>
  <si>
    <t>ALDO KURNIAWAN</t>
  </si>
  <si>
    <t>RA Al-Husna: 163</t>
  </si>
  <si>
    <t>PAUD GITA CERIA: 48</t>
  </si>
  <si>
    <t>SDN 1 Mekarsari: 260
SDN 2 Mekarsari: 425
SD Islam Al-Husna: 950</t>
  </si>
  <si>
    <t>SMK Darul Ulum: 165</t>
  </si>
  <si>
    <t>Bumil Narimbang: 20</t>
  </si>
  <si>
    <t>Busui Narimbang: 30</t>
  </si>
  <si>
    <t xml:space="preserve"> Balita Narimbang: 214</t>
  </si>
  <si>
    <t>SPPG LEBAK RANGKASBITUNG MEKARSARI</t>
  </si>
  <si>
    <t>YU2WYKNZ</t>
  </si>
  <si>
    <t>Yayasan Roudotul Islamiah Umbul</t>
  </si>
  <si>
    <t>Jl.Raya Cikande - Rangkasbitung Kampung Binaya Desa, Kec Rangkasbitung Kab.Lebak, Banten</t>
  </si>
  <si>
    <t>Renaldi Syahputra Siagian</t>
  </si>
  <si>
    <t>1. RA NURUL QIRO'AH BANI ARROHMAN : 33</t>
  </si>
  <si>
    <t>1. PAUD ALMUNA = 73         2. PAUD DARUL ILMI : 50            3. PAUD ALKARIMAH 52</t>
  </si>
  <si>
    <t>SDN 1 Mekarsari: 260
SDN 2 Mekarsari: 425
MI DARUTASIHAH :104            MI ISTIQOMATUL FALLAH 145</t>
  </si>
  <si>
    <t>1. MTS BINA INSANI : 61       2. MTS DARUTTASIHAH : 127</t>
  </si>
  <si>
    <t>MA DARUTASIHAH : 50</t>
  </si>
  <si>
    <t>POSYANDU MAWAR 1 : 9                     POSYANDU MAWAR 2 : 10                     POSYANDU MAWAR 3 : 16                 POSYANDU MAWAR 4: 18              POSYANDU MAWAR 5 : 22                POSYANDU MAWAR 6: 8                   POSYANDU MAWAR 7 : 11</t>
  </si>
  <si>
    <t>POSYANDU MAWAR 1 : 10                     POSYANDU MAWAR 2 : 17                    POSYANDU MAWAR 3 : 21                 POSYANDU MAWAR 4: 28              POSYANDU MAWAR 5 : 62                POSYANDU MAWAR 6: 18                   POSYANDU MAWAR 7 : 9</t>
  </si>
  <si>
    <t xml:space="preserve">POSYANDU MAWAR 1 : 83                                       POSYANDU MAWAR 2 : 77                               POSYANDU MAWAR 3 : 133                                                 POSYANDU MAWAR 4: 115                                 POSYANDU MAWAR 5 : 135                                                 POSYANDU MAWAR 6: 100                                        POSYANDU MAWAR 7 : 56  </t>
  </si>
  <si>
    <t>SPPG RANGKASBITUNG MUARA CIUJUNG TIMUR 5</t>
  </si>
  <si>
    <t>AWT65ZRD</t>
  </si>
  <si>
    <t>Jl. R. Holland Sukadiningrat no 7 (Panineungan) RT.003 RW.016 kel.muara Ciujung timur, Kec. Rangkasbitung, Kab. Lebak - Banten. Kode pos 42314</t>
  </si>
  <si>
    <t>AGUNG NOPENDRA</t>
  </si>
  <si>
    <t>081294733879</t>
  </si>
  <si>
    <t>1. TK LEARNING CENTER : 100                    2. TK KARTIKA : 32</t>
  </si>
  <si>
    <t>1. RA MATHLAUL ANWAR : 22                  2. RA AL ARAF : 18</t>
  </si>
  <si>
    <t>1. PAUD TUNAS BANGSA :19        2. PAUD HAMBIAH MUSLIMAT NU : 30</t>
  </si>
  <si>
    <t>1. MI JANNATY : 254                   2. MIS NUROHMAN : 138</t>
  </si>
  <si>
    <t>1. MTS NUR ROHMAN : 56       2. SKH PADESAN : 47               3. SKH 01 LEBAK : 145             4. SKH PGRI : 46</t>
  </si>
  <si>
    <t>1. SMA 3 RANGKASBITUNG :475                                            2. MA NUROHMAN : 41                       3. MA MIFTAHUL HUDA : 68</t>
  </si>
  <si>
    <t>1. POSYANDU SERUNI 2 :  7                       2. POSYANDU SERUNI 3 : 10                         3. POSYANDU SERUNI 4 :   11                    4. POSYANDU SERUNI 5:   5                       5. POSYANDU SERUNI 8 : 9                      6. POSYANDU SERUNI 10: 2                     7. POSYANDU SERUNI 11 : 11                     8 POSYANDU SERUNI 13 :  11</t>
  </si>
  <si>
    <t>1. POSYANDU SERUNI 2 :  25                       2. POSYANDU SERUNI 3 : 19                         3. POSYANDU SERUNI 4 :   10                    4. POSYANDU SERUNI 5:   22                       5. POSYANDU SERUNI 8 : 16                      6. POSYANDU SERUNI 10: 18                     7. POSYANDU SERUNI 11 : 35                     8 POSYANDU SERUNI 13 :  56</t>
  </si>
  <si>
    <t>1. POSYANDU SERUNI 2 :  60                       2. POSYANDU SERUNI 3 : 69                         3. POSYANDU SERUNI 4 : 79                    4. POSYANDU SERUNI 5:   64                       5. POSYANDU SERUNI 8 : 70                      6. POSYANDU SERUNI 10: 54                     7. POSYANDU SERUNI 11 : 70                     8 POSYANDU SERUNI 13 :  98</t>
  </si>
  <si>
    <t>ADA</t>
  </si>
  <si>
    <t>BELUM ADA</t>
  </si>
  <si>
    <t>SPPG Lebak Rangkasbitung Cijoro Lebak 3</t>
  </si>
  <si>
    <t>YATXGGJ2</t>
  </si>
  <si>
    <t>Yayasan Bima Sakti Cilisung</t>
  </si>
  <si>
    <t>Jl. Kh Moch Harun No.5, Cijoro Lebak Kec. Rangkasbitung, Kab. Lebak, Banten</t>
  </si>
  <si>
    <t>EGGY JAYA PAMUNGKAS</t>
  </si>
  <si>
    <t>085691956629</t>
  </si>
  <si>
    <t>- TK Nurul Huda : 20
- TK Fizar Bangsa : 33
- TK Insan Karima : 124</t>
  </si>
  <si>
    <t>RA As-Solihat : 21</t>
  </si>
  <si>
    <t>- SD Insan Karima 1-3: 395
- SD Insan Karima 4-6 : 324
- SD CL 1 1-3 : 212
- SD CL 1 4-6 : 195
- SD CL 2 1-3 : 86
- SD CL 2 4-6 : 130
- MI Al-Hidayah 1-3 : 43
- MI Al-Hidayah 4-6 : 78</t>
  </si>
  <si>
    <t>Teratai 3 : bumil = 7
Teratai 4 : bumil = 12
Teratai 5 : bumil = 10
Teratai 6 : bumil = 17
Teratai 7 : bumil = 6</t>
  </si>
  <si>
    <t>Teratai 3 : busui = 32
Teratai 4 : busui = 40
Teratai 5 : busui = 22
Teratai 6 : busui = 12
Teratai 7 : busui = 25</t>
  </si>
  <si>
    <t xml:space="preserve">Teratai 3 : Balita = 86
Teratai 4 : Balita = 105
Teratai 5 : Balita = 84
Teratai 6 : Balita = 87
Teratai 7 : Balita = 67
</t>
  </si>
  <si>
    <t>- Pondok Pesantren Nizomul Falah : 27
- Pondok Pesantren Bani Hanafi : 32
- Pondok Pesantren Yadul Janah : 27
- Pondok Pesantren An-Nidzom : 53
- Pondok Pesantren Nurul Hidayah : 169
- Pondok Pesantren Majlis Tilawah : 77
- Pondok Pesantren Istiqlal : 70
- Pondok Pesantren Bani Maliq : 37
- Pondok Pesantren Mutafaqirin : 177</t>
  </si>
  <si>
    <t xml:space="preserve">SPPG LEBAK RANGKASBITUNG CIJORO PASIR 3 </t>
  </si>
  <si>
    <t>H5VDRRU0</t>
  </si>
  <si>
    <t>ANNUR AL-LAILI</t>
  </si>
  <si>
    <t>DWI SETIA KURNIAWAN</t>
  </si>
  <si>
    <t>081377910725</t>
  </si>
  <si>
    <t>KB Marifat : 54</t>
  </si>
  <si>
    <t>1. TK PRAMUDITA : 26
2. TK DARUSSALAM CENDEKIA : 22</t>
  </si>
  <si>
    <t>1. RA ITQON AZZAHRA : 54
2. RA TARBIATUL HASANAH : 37</t>
  </si>
  <si>
    <t xml:space="preserve">1. PAUD MUTIARA : 41
2. PAUD TUNAS HARAPAN : 31
3. PAUD AL FATIH : 32
4. PAUD ASSULAEMAN : 29
5. PAUD AL FALAH : 28
6. PAUD AGISNA : 26
</t>
  </si>
  <si>
    <t>- SD Insan Karima 4-6 : 324</t>
  </si>
  <si>
    <t xml:space="preserve">1. MTS AL HIKMAH II : 66
2. MTS ASH SHAFWAH : 34
3. MTS DARUL ULUM : 112
</t>
  </si>
  <si>
    <t>BUMIL SUKAMANAH : 28</t>
  </si>
  <si>
    <t>BUSUI SUKAMANAH : 88</t>
  </si>
  <si>
    <t xml:space="preserve">1. PONPES AZZAHRA : 42
2. PONPES DARUSSALAM : 104
3. PONPES RAUDHOTUSSOLIHIN : 60
4. PONPES DARUL MUTTAQIN : 33
5. PONPES NUN WIQOYAH : 21
</t>
  </si>
  <si>
    <t>APRAS SUKAMANAH : 143</t>
  </si>
  <si>
    <t>ada</t>
  </si>
  <si>
    <t>proses</t>
  </si>
  <si>
    <t>Teratai 5 : Balita = 84</t>
  </si>
  <si>
    <t>Muara Ciujung barat</t>
  </si>
  <si>
    <t>Sppg lebak rangkasbitung Muara ciujung barat 008</t>
  </si>
  <si>
    <t>CUZKWDO8</t>
  </si>
  <si>
    <t>jl sunan bonang rangkasbitung</t>
  </si>
  <si>
    <t>Rangkasbitung timur</t>
  </si>
  <si>
    <t>Sppg lebak Rangkasbitung Timur 006</t>
  </si>
  <si>
    <t>KBNNW7R1</t>
  </si>
  <si>
    <t>Lebak Karya Kreatif</t>
  </si>
  <si>
    <t xml:space="preserve">jl cijoro bendungan </t>
  </si>
  <si>
    <t>Teratai 6 : Balita = 87</t>
  </si>
  <si>
    <t xml:space="preserve">Rangkasbitung barat </t>
  </si>
  <si>
    <t>Sppg lebak Rangkasbitung barat 005</t>
  </si>
  <si>
    <t>GROXFYGN</t>
  </si>
  <si>
    <t>Bina Generasi Anak Negeri</t>
  </si>
  <si>
    <t xml:space="preserve">jl central </t>
  </si>
  <si>
    <t>Pasir Tanjung</t>
  </si>
  <si>
    <t>Sppg Lebak Pasir Tanjung 003</t>
  </si>
  <si>
    <t>FJ7CN81Y</t>
  </si>
  <si>
    <t>Jelita Bahagia Nusantara</t>
  </si>
  <si>
    <t>Pasir tanjung</t>
  </si>
  <si>
    <t>Teratai 7 : Balita = 67</t>
  </si>
  <si>
    <t>Pabuaran</t>
  </si>
  <si>
    <t>Sppg Lebak Pabuaran</t>
  </si>
  <si>
    <t>0AE1OTBF</t>
  </si>
  <si>
    <t>Mitra Lebak Mandiri</t>
  </si>
  <si>
    <t>Muara Ciujung Barat</t>
  </si>
  <si>
    <t>Sppg lebak rangkasbitung Muara ciujung barat 003</t>
  </si>
  <si>
    <t>KGV1BG</t>
  </si>
  <si>
    <t>Muara ciujung Barat</t>
  </si>
  <si>
    <t>YVY5IS</t>
  </si>
  <si>
    <t>Yayasan Nurul Abror</t>
  </si>
  <si>
    <t>Muara Ciujung timur</t>
  </si>
  <si>
    <t>SPPG Muara ciujung timur 7</t>
  </si>
  <si>
    <t>RJTYUOSN</t>
  </si>
  <si>
    <t>YAYASAN DAARUSSADAH LEBAK</t>
  </si>
  <si>
    <t>JL KH ATIM 1 KEBON KELAPA</t>
  </si>
  <si>
    <t>04 Februari 2026</t>
  </si>
  <si>
    <t>T Harri Setiawan</t>
  </si>
  <si>
    <t>TK MARDI UTOMO=18</t>
  </si>
  <si>
    <t xml:space="preserve">SDN 1KOLELETWETAN:257
SDN 2 KOLELETWETAN:205
SDN KOLELETWETAN:188
SD MARDIUTOMO:78
</t>
  </si>
  <si>
    <t xml:space="preserve">BUMIL DAHLIA14 :8
BUMIL DAHLIA16:4
BUMIL DAHLIA17:4
BUMIL DAHLIA18:6
</t>
  </si>
  <si>
    <t>BUSUI DAHLIA14 :21
BUSUI DAHLIA16:12
BUSUI DAHLIA17:21
BUSUI DAHLIA18:21</t>
  </si>
  <si>
    <t>DAHLIA14 BALITA:71
DAHLIA 16 : 36
DAHLIA 17 :55
DAHLIA 18 :33</t>
  </si>
  <si>
    <r>
      <rPr>
        <rFont val="Calibri"/>
        <color rgb="FF000000"/>
        <sz val="11.0"/>
      </rPr>
      <t>-</t>
    </r>
    <r>
      <rPr>
        <rFont val="Calibri"/>
        <color rgb="FF000000"/>
        <sz val="9.0"/>
      </rPr>
      <t>PESANTREN ASSAFIYAH:57 -PESANTRENZAZIROTUL
ULUM:100 -PESANTREN RSYADUL HAMDI:70
-PESANTREN MABDAUL HIDAYAH:350 -PESANTREN
KHAIRUL HIDAYAH:110 -PESANTREN IFTIDAH:70
-PESANTREN HIDAYATUL FALAH:45
-PESANTREN HIDAYATUS SUNDUS:35
-PESANTREN HIDAYATUS RAHMAN: 30
-PESANTREN HIDAYATUS AZKIA:40
-PESANTREN MANBAU ULUM:30
-PESANTREN  HIDAYATUS IFTIDA;25
-PESANTREN RAIFAIYAH:20
PESANTREN RODATUL HIDAYAH:25
PESANTREN MABDAUL ULUM:40
PESANTREN AN NAZWA:70
PESANTREN DAARUL MUBTADI:96
PESANTREN RAIDATUL MUTAFAKIRIN:50</t>
    </r>
  </si>
  <si>
    <t>ATS\APRAS= 24</t>
  </si>
  <si>
    <t>Rangkasbitung Timur</t>
  </si>
  <si>
    <t>SPPG Lebak Rangkasbitung, Rangkasbitung Timur</t>
  </si>
  <si>
    <t>Jl. Langlang Buana RT 002 RW 011, Kampung Cibungur Pasir, Kelurahan Rangkasbitung Timur, Kecamatan Rangkasbitung, Kabupaten Lebak, Banten</t>
  </si>
  <si>
    <t>14 Oktober 2025</t>
  </si>
  <si>
    <t xml:space="preserve">1.	KB Ceria 56
2.	KB Aisya 37
</t>
  </si>
  <si>
    <t xml:space="preserve">1.	RA Darul Ilmi Bifadilah 40
2.	RA Nadwatul Anwar 15
</t>
  </si>
  <si>
    <t xml:space="preserve">1.	SDN 1 Rangkasbitung Timur 779
2.	SDN 2 Rangkasbitung Timur 300
</t>
  </si>
  <si>
    <t>1.	SMP IT Addawah 114</t>
  </si>
  <si>
    <t xml:space="preserve">1.	SMA IT Addawah 109
2.	MAN 1 Lebak 647
3.	SMKS PU 88
4.	PKBM Daarussunnah 93
</t>
  </si>
  <si>
    <t xml:space="preserve">1.        SERUNI 1 : 13
2.        SERUNI 6 : 8
3.        SERUNI 7 : 7
4.        SERUNI 9 : 13
5.        SERUNI 12 : 12
6.        SERUNI 14 : 15
</t>
  </si>
  <si>
    <t xml:space="preserve">1.	SERUNI 1 : 5
2.	SERUNI 6 : 9
3.	SERUNI 7 : 2
4.	SERUNI 9 : 9
5.	SERUNI 12 : 7
6.	SERUNI 14 : 7
</t>
  </si>
  <si>
    <t xml:space="preserve">1.	SERUNI 1 : 47
2.	SERUNI 6 : 67
3.	SERUNI 7 : 42
4.	SERUNI 9 : 93
5.	SERUNI 12 : 75
6.	SERUNI 14 : 83
</t>
  </si>
  <si>
    <t xml:space="preserve">- </t>
  </si>
  <si>
    <t>TANGGAL OPERASIONALM</t>
  </si>
  <si>
    <t>PASAR KEONG</t>
  </si>
  <si>
    <t>SPPG Lebak Cibadak Pasar Keong</t>
  </si>
  <si>
    <t>OCGSTA4B</t>
  </si>
  <si>
    <t>Yayasan Hamim Center Founder</t>
  </si>
  <si>
    <t>Kampung Ciputat, RT 004 RW 001, Kelurahan Pasar Keong, Kecamatan Cibadak, Kabupaten Lebak, Provinsi Banten</t>
  </si>
  <si>
    <t>Algi Firdaus</t>
  </si>
  <si>
    <t xml:space="preserve">1. TK Negeri Syeh Malka (34) 
‎2. TK Nuru Husen (30) 
</t>
  </si>
  <si>
    <t>1.  KB Al Musyawwir (67) 
‎2.  KB Azahra (48) 
‎3.  KB Asri (32)</t>
  </si>
  <si>
    <t>1. Paud Nurul Husen (38)</t>
  </si>
  <si>
    <t xml:space="preserve">1. SDN 1 Panancangan (303)
2. SDN 2 Pasar Keong (245)
3. SDN 1 Cisangu (227)
4. SDN 2 Cisangu (129)
5. MIS Nurul Husen (124)
</t>
  </si>
  <si>
    <t>1. SMPN 4  CIBADAK (179)</t>
  </si>
  <si>
    <t xml:space="preserve">1. SMAN 1 Cibadak (526)
2. SMK Nurul Husen (77) 
</t>
  </si>
  <si>
    <t>1. Posyandu Jeruk (25)
2. Posyandu Talun 1 (6)
3. Posyandu Talun 2 (8)
4. Posyandu Talun 3 (10)
5. Posyandu Pasir Eurih (7)
6. Posyandu Galih Nangtung (7)
7. Posyandu Buek 1 (6)
8. Posyandu Buek 2 (3)
9. Posyandu Ciampo (9)
10. Posyandu Pasir Bengkok (11)
11. Posyandu Pasir Kuntul (13)</t>
  </si>
  <si>
    <t>1. Posyandu Jeruk (53)
2. Posyandu Talun 1 (7)
3. Posyandu Talun 2 (11)
4. Posyandu Talun 3 (12)
5. Posyandu Pasir Eurih (10)
6. Posyandu Galih Nangtung (11)
7. Posyandu Buek 1 (19)
8. Posyandu Buek 2 (10)
9. Posyandu Ciampo (14)
10. Posyandu Pasir Bengkok (12)
11. Posyandu Pasir Kuntul (22)</t>
  </si>
  <si>
    <t>1. Posyandu Jeruk (136)
2. Posyandu Talun 1 (60)
3. Posyandu Talun 2 (56)
4. Posyandu Talun 3 (43)
5. Posyandu Pasir Eurih (36)
6. Posyandu Galih Nangtung (73)
7. Posyandu Buek 1 (44)
8. Posyandu Buek 2 (79)
9. Posyandu Ciampo (69)
10. Posyandu Pasir Bengkok (54)
11. Posyandu Pasir Kuntul (77)</t>
  </si>
  <si>
    <t>BOJONG LELES</t>
  </si>
  <si>
    <t>SPPG Lebak Cibadak Bojong Leles</t>
  </si>
  <si>
    <t>W67OUZRG</t>
  </si>
  <si>
    <t>Yayasan Ijah Arip Walbarokah</t>
  </si>
  <si>
    <t>Kp Pasir Gendok Rt 005 Rw 001 Desa Bojong Leles, Cibadak, Kab. Lebak, Banten</t>
  </si>
  <si>
    <t>MULYADIN MARYANA</t>
  </si>
  <si>
    <t>085885483597</t>
  </si>
  <si>
    <t>2946</t>
  </si>
  <si>
    <t>1. TKN Pembina Cibadak: 28</t>
  </si>
  <si>
    <t>1. RA AL Amanah: 57
2. RA Miftahul Ula: 47
3. RA AL Hidayah: 40</t>
  </si>
  <si>
    <t>1. SDN 2 Bojong Leles: 369
2. SDN 1 Mekar Agung: 374
3. SDN 1 Cibadak: 258
4. SDN 2 Cibadak: 250
5. MI Miftahul Ula: 220</t>
  </si>
  <si>
    <t>1. MTS Nurwidia: 157
2. MTS AL Hidayah: 129</t>
  </si>
  <si>
    <t>1. MA Nurwidia: 131
2. MA AL Hidayah: 21</t>
  </si>
  <si>
    <t>A. Posyandu Desa Bojong Leles:
1. Posyandu Melati: 7
2. Posyandu Mawar: 8
3. Posyandu ASRI BTN PEPABRI: 2
4. Posyandu Sinar Sejati: 7
5. Posyandu Flamboyan: 3
6. Posyandu Anyelir: 8
7. Posyandu Dahlia: 9
8. Posyandu Cempaka: 3
9. Posyandu Anggrek: 2
10. Posyandu Matahari: 6
B. Posyandu Desa Kaduagung Tengah:
1. Posyandu Melati: 1
2. Posyandu Mandiri: 2
3. Posyandu Dahlia: 5
4. Posyandu Bougainville: 5</t>
  </si>
  <si>
    <t>A. Posyandu Desa Bojong Leles:
1. Posyandu Melati: 11
2. Posyandu Mawar: 11
3. Posyandu ASRI BTN PEPABRI: 9
4. Posyandu Sinar Sejati: 10
5. Posyandu Flamboyan: 14
6. Posyandu Anyelir: 10
7. Posyandu Dahlia: 14
8. Posyandu Cempaka: 8
9. Posyandu Anggrek: 6
10. Posyandu Matahari: 22
B. Posyandu Desa Kaduagung Tengah:
1. Posyandu Melati: 3
2. Posyandu Mandiri: 11
3. Posyandu Dahlia: 16
4. Posyandu Bougainville: 14</t>
  </si>
  <si>
    <t>A. Posyandu Desa Bojong Leles:
1. Posyandu Melati: 57
2. Posyandu Mawar: 60
3. Posyandu ASRI BTN PEPABRI: 55
4. Posyandu Sinar Sejati: 40
5. Posyandu Flamboyan: 45
6. Posyandu Anyelir: 46
7. Posyandu Dahlia: 48
8. Posyandu Cempaka: 35
9. Posyandu Anggrek: 27
10. Posyandu Matahari: 58
B. Posyandu Desa Kaduagung Tengah:
1. Posyandu Melati: 16
2. Posyandu Mandiri: 26
3. Posyandu Dahlia: 67
4. Posyandu Bougainville: 58</t>
  </si>
  <si>
    <t>ASEM</t>
  </si>
  <si>
    <t>SPPG Lebak Cibadak Asem</t>
  </si>
  <si>
    <t>L2DCU9XK</t>
  </si>
  <si>
    <t>Yayasan Shohibul Muslimin</t>
  </si>
  <si>
    <t>Kp Legok Rt 003 Rw 001, Asem, Cibadak, Kab. Lebak, Banten</t>
  </si>
  <si>
    <t>Didin Falahudin</t>
  </si>
  <si>
    <t xml:space="preserve">
1. RA NUR EL MARDIYAH (22)
2. RA AZ-ZAHRA BANI BAHO (39)   
</t>
  </si>
  <si>
    <t xml:space="preserve">
1. PAUD BINTANG AN-NAZM (25)
2. PAUD TUNAS BUMI BHAKTI III (63)
3. PAUD MAWAR MELATI (20)
 </t>
  </si>
  <si>
    <t xml:space="preserve">1. SDN 1 ASEM MARGALUYU (363)
2. SDN 1 CIMENTENG JAYA (189)
3. SDN 1 ASEM (334)
4. SDN 2 ASEM (160)
5. MI AZ-ZAHRA BANI BAHO (51)
6. MI KHUSNUL KHOTIMAH (225)
</t>
  </si>
  <si>
    <t xml:space="preserve">1. SMPN 3 CIBADAK (348)
2. MTS KHUSNUL KHOTIMAH (119) 
</t>
  </si>
  <si>
    <t>1. POSYANDU JANGAN WETAN (9)
2. POSYANDU JANGAN KULON (7)
3. POAYANDU LEGOK (10)
4. POSYANDU SEREH PAPAN (5)
5. POSYANDU KUBANG HAUR (12)
6. POSYANDU PASIR RANDU (2)
7. POSYANDU MEKAR MULYA (7)</t>
  </si>
  <si>
    <t>1. POSYANDU JANGAN WETAN (26)
2. POSYANDU JANGAN KULON (16)
3. POSYANDU LEGOK (16)
4. POSYANDU SEREH PAPAN (9)
5. POSYANDU KUBANG HAUR (10)
6. POSYANDU PASIR RANDU (15)
7. POSYANDU MEKAR MULYA (15)</t>
  </si>
  <si>
    <t>1. POSYANDU JANGAN WETAN (67)
2. POSYANDU JANGAN KULON (37)
3. POAYANDU LEGOK (41)
4. POSYANDU SEREH PAPAN (27)
5. POSYANDU KUBANG HAUR (69)
6. POSYANDU PASIR RANDU (52)
7. POSYANDU MEKAR MULYA (43)</t>
  </si>
  <si>
    <t>1. PONPES DARUL IKHLAS (80)</t>
  </si>
  <si>
    <t>KADUAGUNG TIMUR</t>
  </si>
  <si>
    <t>SPPG Lebak Cibadak Kaduagung Timur</t>
  </si>
  <si>
    <t>HP4TSSTA</t>
  </si>
  <si>
    <t>Kp. Kaduagung RT.004 RW.004 Desa Kaduagung Timur Kec. Cibadak Kab. Lebak-Banten</t>
  </si>
  <si>
    <t>Ali Husni</t>
  </si>
  <si>
    <t>088291781834</t>
  </si>
  <si>
    <t>Pasar Keong</t>
  </si>
  <si>
    <t>SPPG Lebak Cibadak Pasar Keong 2</t>
  </si>
  <si>
    <t xml:space="preserve">KTPN05IY </t>
  </si>
  <si>
    <t xml:space="preserve">Yayasan bina generasi anak negri </t>
  </si>
  <si>
    <t>JL. ARIEF RAHMAN HAKIM KP. TUNGKU RT. 001/003</t>
  </si>
  <si>
    <t>Asep gopur</t>
  </si>
  <si>
    <t>0831-5311-6718</t>
  </si>
  <si>
    <t>TK NURUL IMAN (35)</t>
  </si>
  <si>
    <t xml:space="preserve">RA AL HIKAM (29) 
RA DARUL HUDA (53)
</t>
  </si>
  <si>
    <t xml:space="preserve">PAUD DEA ANISA (24)
PAUD AL ISLAH (71)
PAUD KOLBUN SALIM (73)
</t>
  </si>
  <si>
    <t>MI KOLBUN SALIM (122)
SDN 1 BOJONG CAE (272)
SDN 1 PASAR KEONG (273)
SDN 1 MALABAR (423)
SDN 2 BOJONG CAE (184)
MI DARUL HUDA (208)</t>
  </si>
  <si>
    <t>SMP AL KHANZA(149)</t>
  </si>
  <si>
    <t>SMA AL KHANZA (162)</t>
  </si>
  <si>
    <t xml:space="preserve">PY MALABAR (8)
PY PASIR WARU (2)
PY PASIR PADALI (7)
PY CICADAS (0)
PY BABAKAN (7)
PY KOENG (6)
PY DELIMA (10)
PY EDELWIS CIMENTENG (7)
PY CAMELIA CIMENTENG (1)
PY SAKURA CIMENTENG (6)
</t>
  </si>
  <si>
    <t>PY MALABAR (17)
PY PASIR WARU (8)
PY PASIR PADALI (13)
PY CICADAS (12)
PY BABAKAN (12)
PY KOENG (16)
PY DELIMA (26)
PY EDELWIS CIMENTENG (12)
PY CAMELIA CIMENTENG (10)
PY SAKURA CIMENTENG (16)</t>
  </si>
  <si>
    <t>PY MALABAR (77)
PY PASIR WARU (39)
PY PASIR PADALI (53)
PY CICADAS (34)
PY BABAKAN (84)
PY KOENG (89)
PY DELIMA (106)
PY EDELWIS CIMENTENG (51)
PY CAMELIA CIMENTENG (21)
PY SAKURA CIMENTENG (56)</t>
  </si>
  <si>
    <t>SPPG Lebak cibadak pasar keong 3</t>
  </si>
  <si>
    <t>INMFCXTR</t>
  </si>
  <si>
    <t>Yayasan Amanah Cinta Indonesia</t>
  </si>
  <si>
    <t>Kampung Tungku lebak, RT/RW : 003/003, Kelurahan Pasar Keong, Kecamatan Cibadak, Kabupaten Lebak, Banten</t>
  </si>
  <si>
    <t>Dimas Rio Permana</t>
  </si>
  <si>
    <t xml:space="preserve">1. POSYANDU PEJEUH (5)
2. POSYANDU BATU RAMBANG (14)
3. POSYANDU BORONDONG (14)
4. POSYANDU NYOMPLONG (15)
5. POSYANDU BOJONGCAE 1 (12)
6. POSYANDU BOJONGCAE 2 (8)
7. POSYANDU BOJONGCAE 3 (9)
8. POSYANDU BOJONGCAE 4 (1)
9. POSYANDU BOJONGCAE 5 (3)
</t>
  </si>
  <si>
    <t>1. POSYANDU PEJEUH (38)
2. POSYANDU BATU RAMBANG (43)
3. POSYANDU BORONDONG (21)
4. POSYANDU NYOMPLONG (34)
5. POSYANDU BOJONGCAE 1 (37)
6. POSYANDU BOJONGCAE 2 (38)
7. POSYANDU BOJONGCAE 3 (37)
8. POSYANDU BOJONGCAE 4 (17)
9. POSYANDU BOJONGCAE 5 (22)</t>
  </si>
  <si>
    <t>1. POSYANDU PEJEUH (75)
2. POSYANDU BATU RAMBANG (81)
3. POSYANDU BORONDONG (80)
4. POSYANDU NYOMPLONG (118)
5. POSYANDU BOJONGCAE 1 (49)
6. POSYANDU BOJONGCAE 2 (53)
7. POSYANDU BOJONGCAE 3 (89)
8. POSYANDU BOJONGCAE 4 (44)
9. POSYANDU BOJONGCAE 5 (45)</t>
  </si>
  <si>
    <t>Kaduagung Barat</t>
  </si>
  <si>
    <t>SPPG Lebak Cibadak Kaduagung Barat</t>
  </si>
  <si>
    <t>NDZ5RYLO</t>
  </si>
  <si>
    <t>KP. PASIR GARU, RT. 03 RW 04, DESA KADUAGUNG BARAT, KEC. CIBADAK, KAB. LEBAK, PROVINSI BANTEN</t>
  </si>
  <si>
    <t>SUDAH MENDAFTAR</t>
  </si>
  <si>
    <t>Wirman Syah Dachi</t>
  </si>
  <si>
    <t>1.KB LILI TAJUR (14). 2 KB AMANAH PASIR WARU (34)</t>
  </si>
  <si>
    <t>1. TK EBSTI (27)</t>
  </si>
  <si>
    <t>RA ALFURQON (27). RA MATHLAUL ANWAR (69)</t>
  </si>
  <si>
    <t>PAUD MELATI (27). PAUD AN NUR (32)</t>
  </si>
  <si>
    <t>SDI MATHLAUL ANWAR (31). SD 01 KADUAGUNG BARAT (475). SD 02 KADUAGUNG BARAT (365)</t>
  </si>
  <si>
    <t>MTS MATHLAUL ANWAR (391)</t>
  </si>
  <si>
    <t>MA MATHLAUL ANWAR (120)</t>
  </si>
  <si>
    <t>1. POSYANDU GELATIK (93). 2. POSYANDU BIP MELATI (135) 3.POSYANDU BUNGA ROSE 1(83). 4 POSYANDU BUNGA ROSE 2 (50). 5. POSYANDU NUSA INDAH (123). 6. POSYANDU KENANGA HIJAU (56). 7 POSYANDU KENANGA KUNING (75) 8. POSYANDU MELATI PASIR WARU (83). 9. POSYANDU DAHLIA (79). 10. POSYANDU BUGENVILL (87). 11. POSYANDU LILI (83). 12. POSYANDU TULIP (63) 13. POSYANDU ANGGREK (82)</t>
  </si>
  <si>
    <t>Tambakbaya</t>
  </si>
  <si>
    <t>SPPG Lebak Cibadak Tambakbaya</t>
  </si>
  <si>
    <t>XLB4KTCS</t>
  </si>
  <si>
    <t>Jl. Raya Kaduagung Cileles, Tambakbaya, Kecamatan Cibadak, Kabupaten Lebak, Banten</t>
  </si>
  <si>
    <t>Rizky Ardhi Sulistiyana</t>
  </si>
  <si>
    <t>1. KB AL- ACHALAN (31</t>
  </si>
  <si>
    <t>1. TK HARAPAN (44)
2. TK AL IKHLAS (43)</t>
  </si>
  <si>
    <t>1. RA ARRAUDOH (31)
2. RA RIYADUL MUSLIMIN (40)</t>
  </si>
  <si>
    <t>1. PAUD AL ACHLAN TAMBAK (31)</t>
  </si>
  <si>
    <t xml:space="preserve">1. SDN 2 TAMBAKBAYA (293) </t>
  </si>
  <si>
    <t>1. MTS AZZUMAR (76)</t>
  </si>
  <si>
    <t xml:space="preserve">1. POSYANDU ANGGUR (10)
2. POSYANDU LECCY  (6)
3. POSYANDU KURMA (15)
4. POSYANDU MANGGIS (30)
5. POSYANDU LENGKENG (10)
6. POSYANDU KIWI (10)
7. POSYANDU NAGA (3)
8. POSYANDU MARQUISA (11)
</t>
  </si>
  <si>
    <t xml:space="preserve">1. POSYANDU ANGGUR (21)
2. POSYANDU LECCY  (4)
3. POSYANDU KURMA (11)
4. POSYANDU MANGGIS (23)
5. POSYANDU LENGKENG (20)
6. POSYANDU KIWI (8)
7. POSYANDU NAGA (16)
8. POSYANDU MARQUISA (17)
</t>
  </si>
  <si>
    <t xml:space="preserve">1. POSYANDU ANGGUR (63)
2. POSYANDU LECCY  (42)
3. POSYANDU KURMA (45)
4. POSYANDU MANGGIS (83)
5. POSYANDU LENGKENG (30)
6. POSYANDU KIWI (40)
7. POSYANDU NAGA (43)
8. POSYANDU MARQUISA (80)
</t>
  </si>
  <si>
    <t>1. PONPES DARUL AULADI 13
‎2. PONPES NURUL HIKMAH 60
‎3. PONPES DARUL MUTA'ALIMIN 35
‎4. PONPES ANWARUL ULUM 110
‎5. PONPES AL FATIHAH 50
‎6. PONPES AL FURQON 41
‎7. PONPES NURUL ANSOR 11</t>
  </si>
  <si>
    <t>SPPG Lebak Cibadak Tambakbaya 2</t>
  </si>
  <si>
    <t>9R7WWJHM</t>
  </si>
  <si>
    <t>Yayasan Daarussaadah Lebak</t>
  </si>
  <si>
    <t>Kampung Pengkolan, Desa Tambakbaya, Kec. Cibadak, Kab. Lebak, Banten</t>
  </si>
  <si>
    <t>Muhammad Fajar</t>
  </si>
  <si>
    <t>082177418007</t>
  </si>
  <si>
    <t>1. TK HARAPAN (44)</t>
  </si>
  <si>
    <t>1. KB AN NISA (21)
      2. KB BINA AULIA (41)
         3. KB AL MARWAH (16)
    4. RA AL IKHLAS (43)
           5. RA AL MUBAROK (39)
  6. RA ASYIHAB (20)</t>
  </si>
  <si>
    <t>1. PAUD AL FURQON (20)</t>
  </si>
  <si>
    <t xml:space="preserve">1. SDN 1 TAMBAKBAYA (199)
2. SDN 3 TAMBAKBAYA (190)
3. SDN 1 BOJONGLELES (345)
4. SDN 1 KADUAGUNG TIMUR (375)
5. SDN 2 (KADUAGUNG TIMUR (292)
</t>
  </si>
  <si>
    <t xml:space="preserve">
1. SMPN 5 CIBADAK (216)
2. MTS AMANAH (90)
3. MTS AZZAHRA ( 70)
</t>
  </si>
  <si>
    <t>1. SMKS BHAKTI MANDIRI (137)</t>
  </si>
  <si>
    <t>1. Melati (8)
2. Dahlia (11)
3. Sinar Sejati (5)
4. Matahari (5)
5. Anggrek (2)
6. Anggur (5)
7. Delima (4)
8. Ganesa (12)
9. Jambu (5)
10. Durian (2)</t>
  </si>
  <si>
    <t>1. Melati (12)
2. Dahlia (12)
3. Sinar Sejati (12)
4. Matahari (18)
5. Anggrek (7)
6. Anggur (8)
7. Delima (9)
8. Ganesa (18)
9. Jambu (15)
10. Durian (16)</t>
  </si>
  <si>
    <t>Melati (56)
Dahlia (58)
Sinar Sejati (45)
Matahari (65)
Anggrek (27)
Anggur (55)
Delima (58)
Ganesa (111)
Jambu (83)
Durian (72)</t>
  </si>
  <si>
    <t xml:space="preserve">kaduagung barat </t>
  </si>
  <si>
    <t>SPPG LEBAK CIBADAK KADUAGUNG BARAT 2</t>
  </si>
  <si>
    <t>KJWKCLXQ</t>
  </si>
  <si>
    <t>Yayasan Pengembangan Potensi Sumber Daya Pertahanan</t>
  </si>
  <si>
    <t>Jl. Raya Rangkasbitung Pandeglang KM 05 Baros, Desa KaduAgung Barat Kec Cibadak Kab Lebak Prov Banten</t>
  </si>
  <si>
    <t>Sudah oprasional</t>
  </si>
  <si>
    <t>DEDI MARIADI</t>
  </si>
  <si>
    <t xml:space="preserve">SPPG Henti Sementara </t>
  </si>
  <si>
    <t>SPPG KADUAGUNGTIMUR</t>
  </si>
  <si>
    <t>SPPG Persiapan</t>
  </si>
  <si>
    <t>‎SPPG ASEM 2
‎SPPG BOJONGLELES 2
‎SPPG MEKAR AGUNG
‎SPPG BOJONGCAE</t>
  </si>
  <si>
    <t>CIHARA</t>
  </si>
  <si>
    <t>SPPG Lebak Cihara Cihara 1</t>
  </si>
  <si>
    <t>GFT3ISE0</t>
  </si>
  <si>
    <t>Yayasan Al-Ahkam Cibadak</t>
  </si>
  <si>
    <t>Kp. Cihara, RT 002 RW 001, Desa Cihara, Kecamatan Cihara, Kabupaten Lebak, Provinsi Banten.</t>
  </si>
  <si>
    <t>Usep Deri</t>
  </si>
  <si>
    <t xml:space="preserve">KB AL-MAWADAH CIPUNAGA : 32 KB AL HIDAYAH CIBUNAR: 33 KB AL-MAWADAH CIPARAHU: 34 KB AL-MAWADAH SINARWARAS : 49 KB BINA INSANI : 34 </t>
  </si>
  <si>
    <t>TK AL-MAWADAH CIPARAHU : 30</t>
  </si>
  <si>
    <t>RA DARUL ULUM BARUNAI : 33 RA DARUL FAHMI INSANI : 32</t>
  </si>
  <si>
    <t>SDN 1 CIHARA 95. MI NURUL HIDAYAH CIPUNAGA : 121. MI DARUL ULUM CIJENGKOL : 95.  SDN 1 CIPARAHU : 133. SDN 2 CIPARAHU : 188. SDN 3 CIPARAHU: 108.  SDN 4 CIPARAHU: 134. SDN 1 BARUNAI : 82. MI MATHLA'UL ANWAR CIBUNAR : 83. SDN 1 BARUNAI : 81</t>
  </si>
  <si>
    <t>MTS DARUL ULUM BARUNAI : 56. MTS DARUL ULUM CIHARA : 133. SMP AL MA'ARIJ CIPUNAGA : 30. MTS DARUL ULUM CIPARAHU : 62. SMP 3 CIHARA : 131. MTS AL-HIDAYAH CIBUNAR : 28. SMPN 1 CIHARA : 334. SMPN 2 SATAP CIHARA : 232</t>
  </si>
  <si>
    <t>SMA 1 CIHARA : 222. SMK 1 CIHARA : 176</t>
  </si>
  <si>
    <t>SPPG Lebak Cihara Cihara 2</t>
  </si>
  <si>
    <t xml:space="preserve">Q4HO6RQS </t>
  </si>
  <si>
    <t xml:space="preserve">Yayasan Bintang Luhung Naqsyabandi </t>
  </si>
  <si>
    <t>Kampung Wanasari, Cihara, Cihara, Kab. Lebak, Banten</t>
  </si>
  <si>
    <t>Saprudin</t>
  </si>
  <si>
    <t>KB PGRI PONDOKPANJANG : 38 KB ASSYIFA CIKADU : 40</t>
  </si>
  <si>
    <t>TK PGRI CIHARA : 49                      TK SEJAHTERA : 38</t>
  </si>
  <si>
    <t xml:space="preserve">RA DAAR EL MAFAIZ : 14                                 
 RA NURUL HDAYAH PASIRMANTANG : 15                                
RA NAIRA FATHIN ERANG : 24                                
RA NURUL HIDAYAH MUKHLISIN : 28                                
RA DAARUL FAHMI INSANI PASIR SIREM : 27                                
RA DAARUL FAHMI INSANI LEBAKPARI : 21                                
</t>
  </si>
  <si>
    <t>PAUD MELATI CIHARA : 40</t>
  </si>
  <si>
    <t xml:space="preserve">SDN 1 PONDOKPANJANG : 236
SDN 2 PONDOKPANJANG : 106
SDN 1 CITEUPUSEUN : 84
SDN 2 LEBAKPEUNDEUY : 102
SDN 2 CIHARA : 119
MIS DAAR EL MUHAJIRIN : 156
 MIS NURUL HIDAYAH BURUNGCAYUT : 116
MIS NURUL HIDAYAH MALANGNENGAH : 109 
MIS MATLAUL ANWAR CITEUPUSEUN : 38
MIS NURUL HIDAYAH CIBINONG : 78
MIS MATLAUL ANWAR CIBUGANG : 65 
MIS DARUN NADWAH CIKOPO : 61
MIS MATLALUL ANWAR CIGABER : 58
 MIS MATLALUL ANWAR LEBAKPARI : 60 
MIS DAAR EL MAFAIZ : 7
</t>
  </si>
  <si>
    <t xml:space="preserve">MTS DAAR EL MAFAIZ : 24
SMPN 4 SATU ATAP : 95
MTS NURUL HIDAYAH MALANGNENGAH : 116
MTS DAARUL FAHMI INSANI : 71
MTS NURUL HIDAYAH LEBAKPEUNDEUY : 10
SMPN 6 SATU ATAP CIHARA : 41
SMPN 7 SATU ATAP CIHARA : 87
</t>
  </si>
  <si>
    <t xml:space="preserve">MA DAAREL MAFAIZ : 14                                
MAS NURUL HIDAYAH MALANGNENGAH : 65                                
SMKN 2 CIHARA : 65                                
MAS DAAREL FAHMI INSANI : 60                                 
</t>
  </si>
  <si>
    <t xml:space="preserve">DAHLIA 1        8
DAHLIA 2        7
DAHLIA 3        7
DAHLIA 4        5
DAHLIA 5        2
DAHLIA 6        11
DAHLIA 7        4
DAHLIA 8        9
MELATI 1        4
MELATI 2        4
MELATI 3        7
MELATI 4        2
MELATI 5        5
KAMBOJA 1        6
KAMBOJA 2        0
KAMBOJA 3        2
KAMBOJA 4        10
KAMBOJA 5        0
</t>
  </si>
  <si>
    <t xml:space="preserve">DAHLIA 1        28
DAHLIA 2        18
DAHLIA 3        22
DAHLIA 4        18
DAHLIA 5        21
DAHLIA 6        26
DAHLIA 7        13
DAHLIA 8        28
MELATI 1        17
MELATI 2        35
MELATI 3        32
MELATI 4        9
MELATI 5        20
KAMBOJA 1        21
KAMBOJA 2        10
KAMBOJA 3        20
KAMBOJA 4        28
KAMBOJA 5        5
</t>
  </si>
  <si>
    <t xml:space="preserve">DAHLIA 1        58
DAHLIA 2        41
DAHLIA 3        38
DAHLIA 4        42
DAHLIA 5        49
DAHLIA 6        46
DAHLIA 7        33
DAHLIA 8        46
MELATI 1        35
MELATI 2        51
MELATI 3        60
MELATI 4        20
MELATI 5        32
KAMBOJA 1        25
KAMBOJA 2        11
KAMBOJA 3        19
KAMBOJA 4        46
KAMBOJA 5        5
</t>
  </si>
  <si>
    <t xml:space="preserve">DATA TERBARU SETELAH HASIL UPDATE </t>
  </si>
  <si>
    <t>PANYAUNGAN</t>
  </si>
  <si>
    <t>SPPG Lebak Cihara Panyaungan</t>
  </si>
  <si>
    <t>XQX2DGTQ</t>
  </si>
  <si>
    <t>Yayasan Cahaya Anagata Nusantara</t>
  </si>
  <si>
    <t>Jln. Nasional III Kampung Sawah Rt001/Rw009, Desa Panyaungan, Kec. Cihara, Lebak-Banten 42392, Panyaungan, Cihara, Kab. Lebak, Banten</t>
  </si>
  <si>
    <t>Irwan Irawan</t>
  </si>
  <si>
    <t>KB. ALLIFAH SAWAH BARU : 33
KB AL- IRSYAD 1 : 21
KB INSAN CENDIKIA : 43
KB AL ISHLAH TEGAL : 31
KB. HARAPAN BANGSA CIMANGGU : 22
KB. Tunas Mekar Cidahu : 34
KB NUR AL- MA`RUF CIKASO : 30
KB Al- ISHLAH KADU GEDE  : 30
KB NURSAADAH 1 : 25
KB AL-IRSYAD CINGAGOLER : 46</t>
  </si>
  <si>
    <t>TK PGRI 2 CIHARA : 36
TK AISYIYAH PANYAUNGAN : 33
TK AL IRSYAD : 14</t>
  </si>
  <si>
    <t>SDN 2 PANYAUNGAN : 206
SDN 4 KARANGKAMULYAN : 118
SDN 1 KARANGKAMULYAN : 177
SDN 3 MEKARSARI : 95
SDN 2 MEKARSARI : 126
SDN 1 MEKARSARI : 125
SDN 1 PANYAUNGAN : 183
MIS WIRAMANTRA PANYAUNGAN : 86
MIS AL- ISHLAH BANI MENOY : 41</t>
  </si>
  <si>
    <t>MTS AL ISHLAH : 10
MTS WIRAMANTRA CIKIRAI : 31
MTS DAARUL ULUM : 62
MTS DAAR EL-AZMI : 25
MTS NURUL IBAD : 47
MTS DAARUL `ULUM PANYAUNGAN : 142</t>
  </si>
  <si>
    <t>SMK AL ISHLAH : 24
MAS Daarul Ulum Panyaungan : 80</t>
  </si>
  <si>
    <t>KEMUNING 1 : 8
KEMUNING 2 : 3
KEMUNING 3 : 6
KEMUNING 4 : 1
KEMUNING 5 : 7
KEMUNING 6 : 2
KEMUNING 7 : 2
KEMUNING 8 : 3
KEMUNING 9 : 3
ANGGREK 1 : 11
ANGGREK 2 : 5
ANGGREK 3 : 4
ANGGREK 4 : 3
ANGGREK 5 : 4
ANGGREK 6 : 1
ANGGREK 7 : 5
FLAMBOYAN 2 : 8
FLAMBOYAN 5 : 5</t>
  </si>
  <si>
    <t>KEMUNING 1 : 17
KEMUNING 2 : 10
KEMUNING 3 : 14
KEMUNING 4 : 6
KEMUNING 5 : 13
KEMUNING 6 : 17
KEMUNING 7 : 7
KEMUNING 8 : 7
KEMUNING 9 : 6
ANGGREK 1 : 24
ANGGREK 2 : 22
ANGGREK 3 : 20
ANGGREK 4 : 15
ANGGREK 5 : 10
ANGGREK 6 : 5
ANGGREK 7 : 12
FLAMBOYAN 2 : 35
FLAMBOYAN 5 : 13</t>
  </si>
  <si>
    <t>KEMUNING 1 : 38
KEMUNING 2 : 39
KEMUNING 3 : 29
KEMUNING 4 : 20
KEMUNING 5 : 22
KEMUNING 6 : 22
KEMUNING 7 : 20
KEMUNING 8 : 23
KEMUNING 9 : 15
ANGGREK 1 : 55
ANGGREK 2 : 41
ANGGREK 3 : 20
ANGGREK 4 : 27
ANGGREK 5 : 43
ANGGREK 6 : 10
ANGGREK 7 : 25
FLAMBOYAN 2 : 54
FLAMBOYAN 5 : 14</t>
  </si>
  <si>
    <t>Pondokpanjang</t>
  </si>
  <si>
    <t>SPPG Pondokpanjang Citaritih 001</t>
  </si>
  <si>
    <t>GBIV49</t>
  </si>
  <si>
    <t>Yayasan Daarussa'adah Lebak</t>
  </si>
  <si>
    <t>Kp.Citaritih Desa Pondokpanjang Kecamatan Cihara Kabupaten Lebak . Banten</t>
  </si>
  <si>
    <t>Agung Suhaidi</t>
  </si>
  <si>
    <t xml:space="preserve">KB BINA INSANI 38
KB PGRI PASIRMANTANG 37
</t>
  </si>
  <si>
    <t>TK SEJAHTERA IV 38</t>
  </si>
  <si>
    <t xml:space="preserve">RA DARUL FAHMI 33
RA NAIRAFATHIN 25
RA MAFAIZ 14
RA NH PASIRMANTANG 19
</t>
  </si>
  <si>
    <t xml:space="preserve">MI BURUNG CAYUT 116
SDN 2 PONDOKPANJANG 107
MI MUHAJIRIN 157
MI MAFAIZ 7
</t>
  </si>
  <si>
    <t>MTS MAFAIZ 24</t>
  </si>
  <si>
    <t xml:space="preserve">SMK 2 CIHARA 65
MA MAFAIZ 14
</t>
  </si>
  <si>
    <t xml:space="preserve">MAWAR 1 21
MAWAR 2 7
MAWAR 3 5
MAWAR 4 4
MAWAR 5 4
MAWAR 6 7
KAMBOJA 1 6
KAMBOJA 2 0
KAMBOJA 3 3
KAMBOJA 4 13
KAMBOJA 5 0
</t>
  </si>
  <si>
    <t xml:space="preserve">MAWAR 1 63
MAWAR 2 30
MAWAR 3 24
MAWAR 4 20
MAWAR 5 26
MAWAR 6 28
KAMBOJA 1 21
KAMBOJA 2 12
KAMBOJA 3 24
KAMBOJA 4 31
KAMBOJA 5 6
</t>
  </si>
  <si>
    <t xml:space="preserve">MAWAR 1 99
MAWAR 2 46
MAWAR 3 20
MAWAR 4 33
MAWAR 5 35
MAWAR 6 32
KAMBOJA 1 26
KAMBOJA 2 12
KAMBOJA 3 20
KAMBOJA 4 46
KAMBOJA 5 5
</t>
  </si>
  <si>
    <t xml:space="preserve">Pondok panjang </t>
  </si>
  <si>
    <t>SPPG pondok panjang 2</t>
  </si>
  <si>
    <t>OWTTU4IB</t>
  </si>
  <si>
    <t>Yayasan Al-Miftah malingping</t>
  </si>
  <si>
    <t>Kp suka hujan, desa pondokpanjang, kec Cihara</t>
  </si>
  <si>
    <t>ERIKA IQBAL</t>
  </si>
  <si>
    <t>Ciherang</t>
  </si>
  <si>
    <t>SPPG Lebak Cibeber Ciherang</t>
  </si>
  <si>
    <t>ERO4PONW</t>
  </si>
  <si>
    <t>Deraton Makmur Sejahtera</t>
  </si>
  <si>
    <t>KP. Nagrak RT/RW 001/006 Ds. Ciherang Kec. Nagrak Lebak, Banten</t>
  </si>
  <si>
    <t>Robbi Shiddiq</t>
  </si>
  <si>
    <t>1. KB GEMA MADANI : 20 
2. KB INSAN AMANAH :18
3. KB HIDAYATULLAH : 14</t>
  </si>
  <si>
    <t>TK Pelita : 34 
TK AISYIAH : 44
TK GEMA MADANI : 18</t>
  </si>
  <si>
    <t>-RA ALFALAH : 20</t>
  </si>
  <si>
    <t>PAUD DAAR EL TAUFIQ : 32
PAUD AL BANTENI : 18
PAUD CEMPAKA PUTIH : 16</t>
  </si>
  <si>
    <t>1. SDN 1 CIKOTOK : 154
2. SDN 2 CIKOTOK : 121
3. SDN 3 CIKOTOK : 101
4. SDN 1 NEGLASARI : 138
5. SDN 2 NEGLASARI : 291</t>
  </si>
  <si>
    <t>SMAN 1 CIBEBER 754
SKH ADI SETIA 44</t>
  </si>
  <si>
    <t>SEROJA : 16
WIJAYA KUSUMA: 30
KACA PIRING : 28 
BUNGA MAYANG : 27 
KENANGA 4 : 25
KENANGA 5 : 62
KENANGA 6 : 23</t>
  </si>
  <si>
    <t>SEROJA : 7
WIJAYA KUSUMA: 4
KACA PIRING : 10
BUNGA MAYANG : 4 
KENANGA 4 : 9
KENANGA 5 : 20
KENANGA 6 : 16</t>
  </si>
  <si>
    <t>SEROJA : 0
WIJAYA KUSUMA: 3
KACA PIRING : 6
BUNGA MAYANG : 4 
KENANGA 4 : 5
KENANGA 5 : 12
KENANGA 6 : 10</t>
  </si>
  <si>
    <t>Kujangjaya</t>
  </si>
  <si>
    <t>SPPG Lebak Cibeber Kujangjaya</t>
  </si>
  <si>
    <t>IA61OGSS</t>
  </si>
  <si>
    <t>Lumbung Ilmu Nusantara</t>
  </si>
  <si>
    <t>Kp. pasir kuray RT/RW 001/002 
Ds. Kujangjaya Kec. Cibeber 
Lebak, Banten</t>
  </si>
  <si>
    <t>Mukhamad Taufwan Ansyory</t>
  </si>
  <si>
    <t>*085220457143</t>
  </si>
  <si>
    <t xml:space="preserve">KB Nurul Qalbu Hansa 2 : 29
KB Al-Ikhsan : 37
KB Bunda Cantika : 32
</t>
  </si>
  <si>
    <t>RA AL FALAH : 19 Siswa/i</t>
  </si>
  <si>
    <t>1. PAUD KASIH BUNDA : 40 
2. PAUD Al-Hidayah : 19
3. KB Nurul Qalbu Hansa 2 : 29
4. Qalbu Hansa 4 : 33</t>
  </si>
  <si>
    <t xml:space="preserve">SDN 1 Wanasari : 115
SDN 2 Wanasari : 102
SDN 2 Mekarsari: 69
SDN 3 Mekarsari : 68
SDN 1 Cikadu : 159
SDN 2 Cikadu : 55
SDN 1 Cisungsang : 113
SDN 2 Cisungsang : 112
SDN 2 Kujangjaya : 117
SDN 1 Kujangjaya : 222
SDN 1 Mekarsari : 76
MI Asy-Syahadatain : 71
SDN 1 Gunung wangun : 157
</t>
  </si>
  <si>
    <t xml:space="preserve">SMPN 8 Satu Atap Cibeber : 95
SMPN 10 Cibeber : 107
SMPN 2 Cibeber : 224
SMPN 4 Cibeber : 220
MTs Asy Syahadatain : 50
</t>
  </si>
  <si>
    <t xml:space="preserve">SMAN 3 Cibeber : 425
MA Asy Syahadatain : 39
</t>
  </si>
  <si>
    <t xml:space="preserve">Sejahtera 1 : 4
Sejahtera 2 : 9
Sejahtera 3 : 8
Sejahtera 4 : 1
Sejahtera 5 : 6
Sejahtera 6 : 1
</t>
  </si>
  <si>
    <t xml:space="preserve">Sejahtera 1 : 16
Sejahtera 2 : 11
Sejahtera 3 : 14
Sejahtera 4 : 13
Sejahtera 5 : 10
Sejahtera 6 : 17
</t>
  </si>
  <si>
    <t xml:space="preserve">Sejahtera 1 : 29
Sejahtera 2 : 38
Sejahtera 3 : 41
Sejahtera 4 : 32
Sejahtera 5 : 18
Sejahtera 6 : 37
</t>
  </si>
  <si>
    <t>Neglasari</t>
  </si>
  <si>
    <t>SPPG Lebak Cibeber Neglasari</t>
  </si>
  <si>
    <t>WZJLE5GK</t>
  </si>
  <si>
    <t>Kp. Ciawi Ds. Neglasari, Kec. cibeber, Kab. Lebak, Prov. Banten</t>
  </si>
  <si>
    <t>Mirdali Aswinda</t>
  </si>
  <si>
    <t>085373525735</t>
  </si>
  <si>
    <t>KB AL MANAH : 34 KB BUNDA SEJATI : 26</t>
  </si>
  <si>
    <t>SD N1 HEGARMANAH : 91 SD N2 NEGLASARI : 288</t>
  </si>
  <si>
    <t>Citorek Kidul</t>
  </si>
  <si>
    <t>SPPG Lebak Cibeber Citorek Kidul</t>
  </si>
  <si>
    <t>XYVM7R4Z</t>
  </si>
  <si>
    <t>Yayasan Sukma Karya Pratama</t>
  </si>
  <si>
    <t>kp. Lebak Sembada Rt 003 Rw 003. Citorek Kidul.Kecamatan Cibeber, Kabupaten Lebak</t>
  </si>
  <si>
    <t>02 Maret 2026</t>
  </si>
  <si>
    <t>Fatur Rahman</t>
  </si>
  <si>
    <t xml:space="preserve">KB NURUL QALBU HANSA 3 : 54
KB NURUL INSAN : 57
</t>
  </si>
  <si>
    <t>1. PAUD HARAPAN BUNDA : 29</t>
  </si>
  <si>
    <t xml:space="preserve">MI MATHLA'UL ANWAR CIAYUNAN : 60
SDN 1 SUKAMULYA  : 157
SDN 2 CIHAMBALI : 37
SDN 2 SUKAMULYA : 76
SDN 1 CITOREK KIDUL : 165
SDN 3 CITOREK TENGAH : 192
</t>
  </si>
  <si>
    <t>1. SMP NEGERI 6 SATU ATAP CIBEBER : 108</t>
  </si>
  <si>
    <t xml:space="preserve">DAHLIA 1 : 7
DAHLIA 2 : 5
DAHLIA 3 : 4
DAHLIA 4 : 4
DAHLIA 5 : 1
CENDRAWASIH 1 : 5
CENDRAWASIH 2 : 10
CAMAR 1 : 5
CAMAR 2 : 11
TUNAS HARAPAN :  0
</t>
  </si>
  <si>
    <t xml:space="preserve">DAHLIA 1 : 20
DAHLIA 2 : 37
DAHLIA 3 : 11
DAHLIA 4 : 17
DAHLIA 5 : 11
CENDRAWASIH 1 : 16
CENDRAWASIH 2 : 13
CAMAR 1 : 25
CAMAR 2 : 19
TUNAS HARAPAN : 11
</t>
  </si>
  <si>
    <t xml:space="preserve">DAHLIA 1 : 41
DAHLIA 2 : 37
DAHLIA 3 : 27
DAHLIA 4 : 26
DAHLIA 5 : 30
CENDRAWASIH 1 : 50
CENDRAWASIH 2 : 38
CAMAR 1 : 48
CAMAR 2 : 42
TUNAS HARAPAN : 22
</t>
  </si>
  <si>
    <t>CIHERANG</t>
  </si>
  <si>
    <t>SPPG Lebak Cibeber Cikotok 2</t>
  </si>
  <si>
    <t>L2SGH5SB</t>
  </si>
  <si>
    <t>Cikotok, Kecamatan Cibeber, Kabupaten Lebak, Banten</t>
  </si>
  <si>
    <t>Muhamad Rifaldi</t>
  </si>
  <si>
    <t>085242442900</t>
  </si>
  <si>
    <t>1.        KB MENTARI : 24
2.        KB NUR ILMI : 28
3.        KB WIJAYA KUSUMA II : 38
4.        KB AL MANSURIYAH : 18</t>
  </si>
  <si>
    <t xml:space="preserve">1.	RA AL AZHAR : 21
2.	RA NURUL IMAN : 30
3.	RA ALMANHURIYAH : 28
</t>
  </si>
  <si>
    <t>1.	PAUD MUTIARA HATI : 12</t>
  </si>
  <si>
    <t xml:space="preserve">1.        SDN 1 CIBEBER : 122
2.        SDN 2 CIBEBER : 99
3.        SDIT SCIENTIST : 58
4.        SDN 1 WARUNGBANTEN : 149
5.        SDN 2 WARUNGBANTEN : 192
6.        MIS MATHLA'UL ANWAR : 132
</t>
  </si>
  <si>
    <t xml:space="preserve">1.	MTS MATHLA’UL ANWAR CIKOTOK : 81
2.	SMP 5 CIBEBER : 289
</t>
  </si>
  <si>
    <t>1.        SMKS MUHAMADIYAH CIKOTOK : 41
2.        SMKN 1 CIBEBER : 493</t>
  </si>
  <si>
    <t xml:space="preserve">1.        POSYANDU MAWAR I  : 7
2.        POSYANDU MAWAR II : 5
3.        POSYANDU MAWAR III : -
4.        POSYANDU MAWAR IV : 2
5.        POSYNDU MAWAR V : 3
6.        POSYANDU MAWAR IV : -
7.        POSYANDU TERATAI 2 : 1
8.        POSYANDU TERATAI 3 : 5
</t>
  </si>
  <si>
    <t xml:space="preserve">1.     POSYANDU MAWAR I  : 14
2.        POSYANDU MAWAR II : 10
3.        POSYANDU MAWAR III : 11
4.        POSYANDU MAWAR IV : 10
5.        POSYNDU MAWAR V : 16
6.        POSYANDU MAWAR IV : 4
7.        POSYANDU TERATAI 2 : 3
8.        POSYANDU TERATAI 3 : 16
</t>
  </si>
  <si>
    <t xml:space="preserve">1.     POSYANDU MAWAR I  : 50
2.        POSYANDU MAWAR II : 35
3.        POSYANDU MAWAR III : 14
4.        POSYANDU MAWAR IV : 36
5.        POSYNDU MAWAR V : 33
6.        POSYANDU MAWAR IV : 17
7.        POSYANDU TERATAI 2 : 16
8.        POSYANDU TERATAI 3 : 32
</t>
  </si>
  <si>
    <t>SPPG LEBAK CIBEBER CIHERANG 2</t>
  </si>
  <si>
    <t>5WAQ1I81</t>
  </si>
  <si>
    <t>Kp.Nagrak desa ciherang kecamatan cibeber kabupaten lebak</t>
  </si>
  <si>
    <t>ASRAN  WARUWU</t>
  </si>
  <si>
    <t xml:space="preserve">
KB DAAR EL-NAJAH :28
KB NURUL QALBU HANSA 01 :32
KB MUTIARA BANGSA :34
KB HIKMATUSALLAM : 15
KB PERMATA  BUNDA :28
</t>
  </si>
  <si>
    <t xml:space="preserve">TK BUNDA MULIA : 37
TK SEJAHTERA 02 :14
TK AL-HIKMAH :21
</t>
  </si>
  <si>
    <t>RA NURUL FALAH :39</t>
  </si>
  <si>
    <t xml:space="preserve">SDN 01 CIHERANG : 222
SDN 03 CIBEBER : 97
MI MA CIHERANG : 205
</t>
  </si>
  <si>
    <t xml:space="preserve">SMPN 01 CIBEBER : 523
</t>
  </si>
  <si>
    <t xml:space="preserve">1. Posyandu teratai I : 5
2. Posyandu teratai IV : 5
3. Posyandu terai V : 10
4. Posyandu Teratai VI : 1
5. Posyandu Anggrek : 2
6. Posyandu teratai : 5
7. Posyandu mawar : 4
8. Posyandu Melati : 4
9. Posyandu sakura : 5
10.Posyandu kenanga : 1
</t>
  </si>
  <si>
    <t xml:space="preserve">1. Posyandu teratai I : 16
2. Posyandu teratai IV : 15
3. Posyandu terai V : 20
4. Posyandu Teratai VI : 17
5. Posyandu Anggrek : 16
6. Posyandu teratai : 18
7. Posyandu mawar : 19
8. Posyandu Melati : 13
9. Posyandu sakura : 13
10.Posyandu kenanga : 7
</t>
  </si>
  <si>
    <t xml:space="preserve">1. Posyandu teratai I : 52
2. Posyandu teratai IV : 65
3. Posyandu terai V : 95
4. Posyandu Teratai VI : 28
5. Posyandu Anggrek : 29
6. Posyandu teratai : 49
7. Posyandu mawar : 61
8. Posyandu Melati : 38
9. Posyandu sakura : 41
10.Posyandu kenanga : 26
</t>
  </si>
  <si>
    <t>Citorek Barat</t>
  </si>
  <si>
    <t>SPPG CITOREK BARAT</t>
  </si>
  <si>
    <t>MWUZ7KSN</t>
  </si>
  <si>
    <t>YAYASAN SAHABAT BUMI LESTARI</t>
  </si>
  <si>
    <t xml:space="preserve">Kp. Neglasari Rt. 001 Rw. 001 Ds. Citorek Barat Kec. Cibeber Kab. Lebak </t>
  </si>
  <si>
    <t xml:space="preserve">TITUS GLENDYNO PUTRA ANUGRAH RIA </t>
  </si>
  <si>
    <t>PAUD ANUFUS : 27</t>
  </si>
  <si>
    <t>TK ANUFUS : 24</t>
  </si>
  <si>
    <t>SDN 1 CITOREK BARAT : 181</t>
  </si>
  <si>
    <t>SMPN 3 CIBEBER : 437</t>
  </si>
  <si>
    <t>ANGGREK : 3</t>
  </si>
  <si>
    <t>ANGGREK : 14</t>
  </si>
  <si>
    <t>ANGGREK : 34</t>
  </si>
  <si>
    <t>SDN 3 CITOREK BARAT : 45</t>
  </si>
  <si>
    <t>MTS RAUDHATUL HIKMAH CIBEDUG : 20</t>
  </si>
  <si>
    <t>MELATI : 5</t>
  </si>
  <si>
    <t>MELATI : 21</t>
  </si>
  <si>
    <t>MELATI : 53</t>
  </si>
  <si>
    <t>TULIP : 6</t>
  </si>
  <si>
    <t>TULIP : 22</t>
  </si>
  <si>
    <t>TULIP : 39</t>
  </si>
  <si>
    <t>MAWAR : 2</t>
  </si>
  <si>
    <t>MAWAR : 13</t>
  </si>
  <si>
    <t>MAWAR : 42</t>
  </si>
  <si>
    <t>Citorek Tengah</t>
  </si>
  <si>
    <t>SSPG Citorek Tengah</t>
  </si>
  <si>
    <t>W7VMWTPS</t>
  </si>
  <si>
    <t>Yayasan Gadjah Mada Banten</t>
  </si>
  <si>
    <t>Kp. Lebak Situ, Desa Citorek Tengah,Kecamatan Cibeber, Kabupaten Lebak</t>
  </si>
  <si>
    <t>Arditus Baros</t>
  </si>
  <si>
    <t>Tk. Subulusalam: 128</t>
  </si>
  <si>
    <t>1. SDN 1 CITOREK TENGAH : 191, SDN 2 CITOREK TENGAH : 170</t>
  </si>
  <si>
    <t>SMAN 2 CIBEBER : 379</t>
  </si>
  <si>
    <t>1. ANGGREK : 12, MELATI : 13, MAWAR : 10, DAHLIA : 3</t>
  </si>
  <si>
    <t>ANGGREK : 26, MELATI : 35, MAWAR : 39, DAHLIA : 10</t>
  </si>
  <si>
    <t>ANGGREK : 78, MELATI : 98, MAWAR : 93, DAHLIA : 20</t>
  </si>
  <si>
    <t>SPPG Lebek Cibeber Kujangjaya</t>
  </si>
  <si>
    <t>VR1HVAGZ</t>
  </si>
  <si>
    <t>Kp.Babakan Sari,Cibeber,Lebak,Banten.</t>
  </si>
  <si>
    <t>Alnismanso Waruwu</t>
  </si>
  <si>
    <t>KB AL-DAROZAH :35
KB AL-INSAN :18
KB BAHRUL ULUM :29
KB DARUSSALAM :25
KB AL-HASANAH :32
KB KASIH BUNDA :40</t>
  </si>
  <si>
    <t>RA BAHRUL ULUM : 69</t>
  </si>
  <si>
    <t xml:space="preserve">SDN 1 KUJANGSARI  : 110
SDN 2 KUJANGSARI: 105
SDN 1 SITUMULYA : 194
SDN 2 SITUMULYA : 108
</t>
  </si>
  <si>
    <t>SMP 7 CIBEBER :193</t>
  </si>
  <si>
    <t>CEMPAKA 1 :8
CEMPAKA 2 :9
CEMPAKA 3 :7
TERATAI 1 :2
TERATAI 2 :3
TERATAI 3 :1
TERATAI 4 :6
TERATAI 5 :2
TERATAI 6 :6
NUSA INDAH 1 :13
NUSA INDAH 2 :5
NIUSA INDAH 3 :3</t>
  </si>
  <si>
    <t>CEMPAKA 1 :17
CEMPAKA 2 :20
CEMPAKA 3 :7
TERATAI 1 :28
TERATAI 2 :9
TERATAI 3 :4
TERATAI 4 :12
TERATAI 5 :7
TERATAI 6 :17
NUSA INDAH 1 :20
NUSA INDAH 2 :10
NIUSA INDAH 3 :14</t>
  </si>
  <si>
    <t>CEMPAKA 1 :40
CEMPAKA 2 :50
CEMPAKA 3 :25
TERATAI 1 :40
TERATAI 2 :17
TERATAI 3 :11
TERATAI 4 :15
TERATAI 5 :24
TERATAI 6 :37
NUSA INDAH 1 :41
NUSA INDAH 2 :42
NIUSA INDAH 3 :43</t>
  </si>
  <si>
    <t>CITOREK TIMUR</t>
  </si>
  <si>
    <t>SPPG CITOREK TIMUR</t>
  </si>
  <si>
    <t xml:space="preserve">Desa Citorek Timur, Cibeber, Lebak, Banten. </t>
  </si>
  <si>
    <t>AMSAL ZAMILI</t>
  </si>
  <si>
    <t>Warung Banten</t>
  </si>
  <si>
    <t>SPPG LEBAK CIBEBER WARUNGBANTEN</t>
  </si>
  <si>
    <t>ACTKFHBP</t>
  </si>
  <si>
    <t>Yayasan Al- Miftah Malingping</t>
  </si>
  <si>
    <t>Kp. warung Banten, RT 001 RW 001, Desa Warung Banten, Kecamatan Cibeber, Kabupaten Lebak</t>
  </si>
  <si>
    <t>Diantri Hana Ata Dewa</t>
  </si>
  <si>
    <t>KB INSAN AMANAH : 20                                    ,                 KOBER GEMA MADANI : 21</t>
  </si>
  <si>
    <t>TK GEMA MADANI : 18</t>
  </si>
  <si>
    <t>SDN 1 CIHAMBALI : 212                        SDN 1 NEGLASARI : 138                                MI MATAUL ANWAR CIBADAK :  132              SDN 1 WARUNG BANTEN : 147                SDN 2 WARUNG BANTEN : 191</t>
  </si>
  <si>
    <t>SMPN 9 SATAP CIBEBER : 120                                             SMPN 5 CIBEBER : 287</t>
  </si>
  <si>
    <t xml:space="preserve">Posyandu desa  Geharmanah : 43                                                                                    Posyandu Desa Cihambali : 60    </t>
  </si>
  <si>
    <t>Posyandu Desa Hegarmanah : 45                                                                                  Posyandu Desa Cihambali : 80</t>
  </si>
  <si>
    <t>Posyandu Desa Hegarmanah : 60                                                                                                 Posyandu Desa Cihambali : 90</t>
  </si>
  <si>
    <t>Lebaktipar</t>
  </si>
  <si>
    <t>SPPG Lebak Cilograng Lebaktipar</t>
  </si>
  <si>
    <t>NQQKLX96</t>
  </si>
  <si>
    <t xml:space="preserve">Yayasan Hamim Center Founder </t>
  </si>
  <si>
    <t>Jl. Simpang Ciawi-Sawarna, Kp. Citapen, Kel. Lebaktipar, Kec. Cilograng, Kab. Lebak, Prov. Banten</t>
  </si>
  <si>
    <t>18-12-2025</t>
  </si>
  <si>
    <t>Fajar Maulana Alwih</t>
  </si>
  <si>
    <t>081295083910</t>
  </si>
  <si>
    <t xml:space="preserve">KB Arrasyid (Siswa L:10 P:25, Guru P:4 Jumlah=39)
 KB al-Fatih (Siswa L:19 P:28, Guru P:5 Jumlah=52)
 KB Hikmatul Mufhida (Siswa L:13 P:14, Guru P 3 Jumlah = 30).
TOTAL = 121 
</t>
  </si>
  <si>
    <t>TK PGRI Cilograng (Siswa L:15 P:17, Guru P:5 jumlah=37)
TK Tunas Muda (Siswa L:12 P:13, Guru P:4 Jumlah= 29).
TOTAL = 66</t>
  </si>
  <si>
    <t>RA Darul Qur'an Cicantra (Siswa L: 6 P:8, Guru P: 2 L:2 Jumlah= 18)
TOTAL = 18</t>
  </si>
  <si>
    <t>SDN 1 LEBAKTIPAR (Siswa L:44 P:46, Guru L:2 P:6, Tendik L:2 P:3 Jumlah= 103)
 SDN 2 LEBAKTIPAR (Siswa L:56 P:58, Guru L:7 P:2, Tendik L:1 P:1 Jumlah= 125)
SDN 3 LEBAKTIPAR (Siswa L: 26 P:32, Guru L:6 P:3, Tendik L:2 P:2 Jumlah= 71)
 SDN 1 CILOGRANG (Siswa L:95 P:89, Guru L:1 P:6, Tendik P:2 Jumlah= 193)
 MI DAYASARI (Siswa L:46 P:46, Guru L:3 P:4, Tendik P:1 Jumlah=100). 
TOTAL = 592</t>
  </si>
  <si>
    <t>SMP N 1 CILOGRANG (Siswa L:156 P:161, Guru L:12 P:11, Tendik L:6 P:1, Jumlah= 347)
 SMP N 6 CILOGRANG (Siswa L:33 P:37, Guru L:9 P:2, Tendik L:1 P:1, Jumlah= 83). 
TOTAL = 430</t>
  </si>
  <si>
    <t>SMK MIFTAHUL IHSAN (Siswa L:271 P:151, Guru L:17 P:11, Tendik L:6 P:1,Jumlah= 457)
TOTAL= 457</t>
  </si>
  <si>
    <t>Matahari 1(7)
 Matahari 2 (4)
Cempaka 1 (2)
 Cempaka 2 (4)
 Cempaka 3 (1)
 Cempaka 4 (3)
 Cempaka 5 (5)
 Cempaka 6 (2)
 Cempaka 7 (1).
 TOTAL = 29</t>
  </si>
  <si>
    <t>Matahari 1(32)
 Matahari 2 (26)
Cempaka 1 (25)
 Cempaka 2 (17)
 Cempaka 3 (4)
 Cempaka 4 (13)
 Cempaka 5 (12)
 Cempaka 6 (22)
 Cempaka 7 (7) 
TOTAL = 158</t>
  </si>
  <si>
    <t>Matahari 1(47)
 Matahari 2 (59)
 Cempaka 1 (54)
 Cempaka 2 (49)
 Cempaka 3 (16)
 Cempaka 4 (30)
Cempaka 5 (51)
 Cempaka 6 (36)
 Cempaka 7 (33)
 TOTAL = 375</t>
  </si>
  <si>
    <t>DATA TERBARU SEBELUM LIBUR SEKOLAH</t>
  </si>
  <si>
    <t>Gunungbatu</t>
  </si>
  <si>
    <t>SPPG Lebak Cilograng Gunungbatu 1</t>
  </si>
  <si>
    <t>FBAMLZTC</t>
  </si>
  <si>
    <t>Yayasan Nun Walqolam</t>
  </si>
  <si>
    <t>l. Nasional III, Gunungbatu, Kec. Cilograng, Lebak</t>
  </si>
  <si>
    <t>29-01-2026</t>
  </si>
  <si>
    <t>Husna Dzakya Azzahra</t>
  </si>
  <si>
    <t>085881311628</t>
  </si>
  <si>
    <t>RA Al-Ihsan Cilograng (Siswa L:5 P:10, Guru L: 0, P: 4, Tendik L:2, P:1) Jumlah= 22).</t>
  </si>
  <si>
    <t>SDN 1 GUNUNGBATU (Siswa L:157 P:129, Guru L: 3 P: 8, Tendik L: 1, P: 0 Jumlah= 298).</t>
  </si>
  <si>
    <t>MTS Miftahul Ihsan Cilograng (Siswa L:117 P:125, Guru L: 12 P: 12, Tendik L: 1, P: 1 Jumlah= 268).</t>
  </si>
  <si>
    <t>SMAN 1 Cilograng (Siswa L:371 P:440, Guru L: 28 P: 13, Tendik L: 14, P: 3 Jumlah= 869).</t>
  </si>
  <si>
    <t>POSYANDU PELANGI 1 (13), POSYANDU PELANGI 3 (7), POSYANDU SEROJA 1 (7), POSYANDU SEROJA 2 (3), POSYANDU SEROJA 3 (3), POSYANDU SEROJA 4 (5), POSYANDU SEROJA 6 (3), POSYANDU SEROJA 7 (9)= JUMLAH (50).</t>
  </si>
  <si>
    <t>POSYANDU PELANGI 1 (29), POSYANDU PELANGI 3 (15), POSYANDU SEROJA 1 (12), POSYANDU SEROJA 2 (18), POSYANDU SEROJA 3 (1), POSYANDU SEROJA 4 (13), POSYANDU SEROJA 6 (8), POSYANDU SEROJA 7 (12)= JUMLAH (108).</t>
  </si>
  <si>
    <t>POSYANDU PELANGI 1 (105), POSYANDU PELANGI 3 (43), POSYANDU SEROJA 1 (45), POSYANDU SEROJA 2 (29), POSYANDU SEROJA 3 (11), POSYANDU SEROJA 4 (34), POSYANDU SEROJA 6 (18), POSYANDU SEROJA 7 (25)= JUMLAH (310).</t>
  </si>
  <si>
    <t xml:space="preserve">Belum Ada Ahli Gizi </t>
  </si>
  <si>
    <t>Pasirbungur</t>
  </si>
  <si>
    <t>SPPG Lebak Cilograng Gunungbatu 3</t>
  </si>
  <si>
    <t>5J2NMNOZ</t>
  </si>
  <si>
    <t>Nama SPPG : SPPG Lebak Cilograng Gunungbatu 1</t>
  </si>
  <si>
    <t>TRIISNO UTOMO NAIBAHO</t>
  </si>
  <si>
    <t>0823-2371-0690</t>
  </si>
  <si>
    <t xml:space="preserve"> KB MENTARI SABILILAH (35), KB NURUSHIBYAN (20), KB FLAMBOYAN CERIA (37) = 92</t>
  </si>
  <si>
    <t xml:space="preserve">TK AL RAHMAN (33), TK AL IKHSAN NUR (54), TK DAHLIA CERIA (44), TK AL HAYATI (48) = 179 </t>
  </si>
  <si>
    <t>SD NEGERI 1 CIREUNDEU (196), SD NEGERI 3 PASIRBUNGUR (80), SD NEGERI 5 PASIRBUNGUR (94), SD NEGERI 1 CIBARENO (131), MIS Mathlaul Anwar Lebak Koneng (100), MIS Mathlaul Anwar Panarauan (117), MIS MA Bantarkalapa (126) - TOTAL = 844</t>
  </si>
  <si>
    <t>SMPN 5 SATU ATAP CILOGRANG (93), MTsS Terpadu Sabilillah (105), MTsS Terpadu Yapisa (211) - TOTAL = 409</t>
  </si>
  <si>
    <t xml:space="preserve">MAS ANDALUSIA (105) </t>
  </si>
  <si>
    <t>3B CIBARENO (24) + 3B CIREUNDEU (19) - TOTAL = 43</t>
  </si>
  <si>
    <t>3B CIBARENO (32) + 3B CIREUNDEU (46) - TOTAL = 78</t>
  </si>
  <si>
    <t>3B CIBARENO (240) +3B CIREUNDEU (193) - TOTAL = 433</t>
  </si>
  <si>
    <t>Pondok Pesantren Darunnidhom (18)  + Pondok Pesantren Sabilillah (7) - TOTAL = 25</t>
  </si>
  <si>
    <t>PENGGANTIAN KEPALA SPPG, DAN PENYESUAIAN PENERIMA MANFAAT TERBARU</t>
  </si>
  <si>
    <t>SPPG Lebak Cilograng Pasirbungur</t>
  </si>
  <si>
    <t>YQ5TPVZN</t>
  </si>
  <si>
    <t>Yayasan Eka Bangsa labdaya</t>
  </si>
  <si>
    <t>Kp. Cijambe, Rt. 002 Rw. 008 Des. Pasirbungur Kec. Cilograng</t>
  </si>
  <si>
    <t>Imam Mua'zim Affan</t>
  </si>
  <si>
    <t>085359084216</t>
  </si>
  <si>
    <t>KB MENTARI BAHARI (29), KB MENTARI SABILILAH (36), TOTAL = 65</t>
  </si>
  <si>
    <t>TK RA EL MUNIR (28) TOTAL =28</t>
  </si>
  <si>
    <t>SDN 1 PASIRBUNGUR (113), SDN 2 PASIRBUNGUR (155), SDN 4 PASIRBUNGUR (138), MI LEBAK PENDEY, PASIRBUNGUR (158), MI CITARATE, GUNUNGBATU (Kp. Citarate) (120),  TOTAL = 684</t>
  </si>
  <si>
    <t>MTS YASMI 2 CILOGRANG (Kp. Jamidah) (129), MTS CENDIKIA PASIRBUNGUR (Lebak Peundey) (79), TOTAL = 208</t>
  </si>
  <si>
    <t>MA SABILILAH PASIRBUNGUR (Kp. Panaruan) (36) TOTAL = 36</t>
  </si>
  <si>
    <t>POSYANDU ANGGREK BUNGUR 1 (Kp. Cijambe) (8), POSYANDU ANGGREK BUNGUR 1 (Kp. Gunung Batu Pasar, Kp. Pasir) (4), POSYANDU ANGGREK BUNGUR 3 (Kp. Bantarawi) (9), POSYANDU ANGGREK BUNGUR 4 (Kp. Cigondok) (14), POSYANDU ANGGREK BUNGUR 5 (Kp. Lebak Peundey) (7), POSYANDU ANGGREK BUNGUR 6 (Kp. Jamidah) (5), POSYANDU ANGGREK BUNGUR 6 (Kp. Paris) (4), POSYANDU ANGGREK BUNGUR 7 (Kp. Cikaret, KP Datar Lame) (4), POSYANDU ANGGREK BUNGUR 8 (Kp. Panaruan 2) (4), TOTAL = 59</t>
  </si>
  <si>
    <t>POSYANDU ANGGREK BUNGUR 1 (Kp. Cijambe) (15), POSYANDU ANGGREK BUNGUR 1 (Kp. Gunung Batu Pasar, Kp. Pasir) (12), POSYANDU ANGGREK BUNGUR 2 (Kp. Panaruan 1) (9) POSYANDU ANGGREK BUNGUR 3 (Kp. Bantarawi) (12), POSYANDU ANGGREK BUNGUR 4 (Kp. Cigondok) (28), POSYANDU ANGGREK BUNGUR 5 (Kp. Lebak Peundey) (30), POSYANDU ANGGREK BUNGUR 6 (Kp. Jamidah) (8), POSYANDU ANGGREK BUNGUR 6 (Kp. Paris) (15), POSYANDU ANGGREK BUNGUR 7 (Kp. Cikaret, KP Datar Lame) (14), POSYANDU ANGGREK BUNGUR 8 (Kp. Panaruan 2) (19), TOTAL = 162</t>
  </si>
  <si>
    <t>POSYANDU ANGGREK BUNGUR 1 (Kp. Cijambe) (39), POSYANDU ANGGREK BUNGUR 1 (Kp. Gunung Batu Pasar, Kp. Pasir) (65), POSYANDU ANGGREK BUNGUR 2 (Kp. Panaruan 1) (33) POSYANDU ANGGREK BUNGUR 3 (Kp. Bantarawi) (41), POSYANDU ANGGREK BUNGUR 4 (Kp. Cigondok) (128), POSYANDU ANGGREK BUNGUR 5 (Kp. Lebak Peundey) (75), POSYANDU ANGGREK BUNGUR 6 (Kp. Jamidah) (26), POSYANDU ANGGREK BUNGUR 6 (Kp. Paris) (39), POSYANDU ANGGREK BUNGUR 7 (Kp. Cikaret, KP Datar Lame) (51), POSYANDU ANGGREK BUNGUR 8 (Kp. Panaruan 2) (41), TOTAL = 538</t>
  </si>
  <si>
    <t>PONDOK PESANTREN SIROJUL FALAH (23), PONDOK PESANTREN AL ISTIQOMAH (21), PONDOK PESANTREN NURUL JAMAN (15), PESANTREN SABILILAH (Kp. Panarauan) (22), TOTAL = 81</t>
  </si>
  <si>
    <t>SUSPEND</t>
  </si>
  <si>
    <t>Cikatomas</t>
  </si>
  <si>
    <t>SPPG Lebak Cilograng Cijengkol</t>
  </si>
  <si>
    <t>TNPT4XI1</t>
  </si>
  <si>
    <t>Yayasan Ahsanu' Amalaa</t>
  </si>
  <si>
    <t>Jl. Raya Bayah-Cibareno Km. 21 Kp. Tapos, Cijengkol, Kec. Cilograng, Kab. Lebak-Banten</t>
  </si>
  <si>
    <t>Muhammad Zulfikar Mubar</t>
  </si>
  <si>
    <t>0895344239994</t>
  </si>
  <si>
    <t>KB MANBAUL ULUM (58), KB NURUL ILMI (39)</t>
  </si>
  <si>
    <t>TK NURUL ILMI (41)</t>
  </si>
  <si>
    <t>RA NURUL ILMI (43)</t>
  </si>
  <si>
    <t>SDN 01 CIKATOMAS (125), SDN 02 CIKATOMAS (145), SDN 03 CIKATOMAS (127), SDN 05 CIJENGKOL (72), MI MATHLAUL ANWAR (176)</t>
  </si>
  <si>
    <t>SMPN 02 CILOGRANG (255), MTS AL FATAH CIJENGKOL (44), MTS AL FALAH CIBEBER (110)</t>
  </si>
  <si>
    <t>SMK AL FALAH (61)</t>
  </si>
  <si>
    <t>POS SEROJA 8 (11, POS ANGGREK BULAN 1 (8, POS ANGGREK BULAN 2 (3), POS ANGGREK BULAN 4 (4), POS ANGGREK BULAN 5 (4), pos anggrek 3 (1)</t>
  </si>
  <si>
    <t>POS SEROJA 8 (15) POS ANGGREK BULAN 1 (16), POS ANGGREK BULAN 2 (13), POS ANGGREK BULAN 3 (2), POS ANGGREK BULAN 4 (4), POS ANGGREK BULAN 5 (13)</t>
  </si>
  <si>
    <t>POS SEROJA 8 (46), POS ANGGREK BULAN 1 (83), POS ANGGREK BULAN 2 (36), POS ANGGREK BULAN 3 (19), POS ANGGREK BULAN 4 (37), POS ANGGREK BULAN 5 (80)</t>
  </si>
  <si>
    <t xml:space="preserve"> Gunung Batu </t>
  </si>
  <si>
    <t>SPPG Gunung Batu II</t>
  </si>
  <si>
    <t xml:space="preserve"> W4ABVTX9</t>
  </si>
  <si>
    <t>Yayasan Darul Quran Mulia</t>
  </si>
  <si>
    <t>Jl. Cikamunding Gunungbatu Rt 01/Rw01, Gunungbatu, Kec. Cilograng, Kab. Lebak, Banten</t>
  </si>
  <si>
    <t>19 Februari 2026</t>
  </si>
  <si>
    <t>Alvi Julkarneini</t>
  </si>
  <si>
    <t>KB Pelita Bangsa Harapan 2 : 39</t>
  </si>
  <si>
    <t xml:space="preserve">TK Mandala Cendikia: 45, </t>
  </si>
  <si>
    <t>MI Ma Nanggewer</t>
  </si>
  <si>
    <t>Operasional</t>
  </si>
  <si>
    <t>KB Pelita Bangsa : 23</t>
  </si>
  <si>
    <t>TK AL Ikhsan Nur :25</t>
  </si>
  <si>
    <t>SD Negeri 2 Cijengkol : 130</t>
  </si>
  <si>
    <t>SMPN 3 Cilograng : 144</t>
  </si>
  <si>
    <t>Posyandu 4 Pelangi :66</t>
  </si>
  <si>
    <t>Pondok Pesantren Nurul Huda : 30</t>
  </si>
  <si>
    <t>KB EL Arif : 27</t>
  </si>
  <si>
    <t>TK Gerbang Madani : 25</t>
  </si>
  <si>
    <t>SDN 2 CIjengkol : 41</t>
  </si>
  <si>
    <t>SMPN 4 Cilograng : 86</t>
  </si>
  <si>
    <t>Posyandu 5 Melati :41</t>
  </si>
  <si>
    <t>Pondok Pesantren An-Nidzom : 16</t>
  </si>
  <si>
    <t>KB Pelita Bangsa Harapan 2 : 42</t>
  </si>
  <si>
    <t>SDN  3 Cijengkol : 111</t>
  </si>
  <si>
    <t>Posyandu 4 Melari : 44</t>
  </si>
  <si>
    <t>Pondok Pesantren Nurul Bayan Assalafi : 25</t>
  </si>
  <si>
    <t>KB Gerbang Madani : 25</t>
  </si>
  <si>
    <t>SDN 3 CIkamunding : 168</t>
  </si>
  <si>
    <t>Posyandu 2 Melati : 26</t>
  </si>
  <si>
    <t>SDN 1 Cikamunding : 157</t>
  </si>
  <si>
    <t>Posyandu 1 Melati : 111</t>
  </si>
  <si>
    <t>SDN 2 Girimurti : 131</t>
  </si>
  <si>
    <t xml:space="preserve">SPPG Berhenti Operasional Sementara </t>
  </si>
  <si>
    <t>DAFTAR SATUAN PELAYANA PEMENUHAN GIZI 3T</t>
  </si>
  <si>
    <t>SPPG Cikatomas</t>
  </si>
  <si>
    <t>Belum operasional</t>
  </si>
  <si>
    <t>Penunjukan KASPPG</t>
  </si>
  <si>
    <t>Cilograng</t>
  </si>
  <si>
    <t>SPPG Cilograng</t>
  </si>
  <si>
    <t>Cikamunding</t>
  </si>
  <si>
    <t>SPPG Cikamunding</t>
  </si>
  <si>
    <t>SPPG Pasirbungur</t>
  </si>
  <si>
    <t>Girimukti</t>
  </si>
  <si>
    <t>SPPG Girimukti</t>
  </si>
  <si>
    <t>KUJANGSARI</t>
  </si>
  <si>
    <t>SPPG KUJANGSATI CILELES</t>
  </si>
  <si>
    <t>RFKIWHSQ</t>
  </si>
  <si>
    <t>HAHIM CENTER FOUNDER</t>
  </si>
  <si>
    <t xml:space="preserve">kampung Tugu rt. 001/Rw.03, Desa Kujangsati, kecamatan Cileles Lebak banten </t>
  </si>
  <si>
    <t>MULYONO</t>
  </si>
  <si>
    <t>085728280837</t>
  </si>
  <si>
    <t>TK KUJANGSARI INSANI : 30
TK TUNAS KARYA : 20
TK DAHLIA : 58</t>
  </si>
  <si>
    <t>PAUD QU AL - HIDAYAH</t>
  </si>
  <si>
    <t>1. SDN 1 MARGAMULYA : 255
2. SDN 1 CIKAREO : 305
3. SDN 3 CIKAREO : 128
4. MI ALHIDAYAH : 212
5. MI NURUL FALAH : 40
6. MI SUKAMULYA : 121</t>
  </si>
  <si>
    <t>1. MTs NURUL FALAH  : 36
2. MTs AL-HIDAYAH : 106
3. SMP 05 CILELES : 152</t>
  </si>
  <si>
    <t>1. SMK LENTERA BANGSA : 54
2. SMK AL-HIDAYAH : 57
3. MA QOTROTUL HUDA : 45</t>
  </si>
  <si>
    <t>1.ROS 1: 8 ROS 2: 11 ROS 3: 3 ROS 4: 0 ROS 5: 5 ROS 6: 6</t>
  </si>
  <si>
    <t>ROS 1: 23 ROS 2: 16 ROS 3: 5 ROS 4:15 ROS 5: 19 ROS 6: 17</t>
  </si>
  <si>
    <t>ROS 1: 83 ROS 2: 77 ROS 3: 24 ROS 4: 37 RIS 5: 70 ROS 6: 70</t>
  </si>
  <si>
    <t>CIKAREO</t>
  </si>
  <si>
    <t>SPPPG Lebak Cileles Cikareo</t>
  </si>
  <si>
    <t>KQDC6QRH</t>
  </si>
  <si>
    <t>Kp. Cikareo Timur, RT 01, RW 03, Desa Cikareo, Kecamatan Cileles, Kab. Lebak, Prov Banten</t>
  </si>
  <si>
    <t>30 Januari 2026</t>
  </si>
  <si>
    <t>JODY SETIAWAN</t>
  </si>
  <si>
    <t>085366708490</t>
  </si>
  <si>
    <t>1. KB Diva Taruna  : 29
2. KB Al Mujaddid : 20
Total = 49</t>
  </si>
  <si>
    <t>1. TK Al Uswah     : 30
2. TK Al Barakah   : 18
3. TK Diva Taruna : 31
4. TK Lestari          : 39
Total = 118</t>
  </si>
  <si>
    <t>1. RA Sabilillah : 18
Total = 18</t>
  </si>
  <si>
    <t>1. SDN 01 Kujangsari : 132
2. SDN 02 Cikareo      : 183
3. SDN 02 Cipadang   : 78
4. SDN 01 Cileles        : 255</t>
  </si>
  <si>
    <t>1. MTS Guppi                : 111
2. MTS Darus Syafaah : 26
3. MTS Fatahillah         : 60
4. SMPN 01 Cileles      : 287</t>
  </si>
  <si>
    <t>1. SMK Darus Syafaah : 54
2. SMKN 01 Cileles      : 399
3. MA Fatahillah           : 60</t>
  </si>
  <si>
    <t>1. Posyandu Mawar 1: 10
2. Posyandu Mawar 2: 1
3. Posyandu Mawar 3: 2
4. Posyandu Mawar 4: -
5. Posyandu Mawar 5: 5
6. Posyandu Mawar 6: 7
7. Posyandu Mawar 7: 6
8. Posyandu Mawar 8: 5</t>
  </si>
  <si>
    <t>1. Posyandu Mawar 1: 12
2. Posyandu Mawar 2: 16
3. Posyandu Mawar 3: 11
4. Posyandu Mawar 4: 6
5. Posyandu Mawar 5: 19
6. Posyandu Mawar 6: 9
7. Posyandu Mawar 7: 29
8. Posyandu Mawar 8: 21</t>
  </si>
  <si>
    <t>1. Posyandu Mawar 1: 24
2. Posyandu Mawar 2: 36
3. Posyandu Mawar 3: 27
4. Posyandu Mawar 4: 7
5. Posyandu Mawar 5: 59
6. Posyandu Mawar 6: 32
7. Posyandu Mawar 7: 47
8. Posyandu Mawar 8: 42</t>
  </si>
  <si>
    <t>SPPG Lebak Cileles Kujangsari 2</t>
  </si>
  <si>
    <t>4DIKQZEP</t>
  </si>
  <si>
    <t>YAYASAN DARUL KIROM</t>
  </si>
  <si>
    <t>Kp. buyut Desa Kujangsari Kecamatan Cileles, Kabupaten Lebak, banten.</t>
  </si>
  <si>
    <t>AZLAN HUSYAIN ODE</t>
  </si>
  <si>
    <t>081236662266</t>
  </si>
  <si>
    <t>KB Mutiara Qothotul Huda : 32</t>
  </si>
  <si>
    <t>TK Al-Ihram : 24</t>
  </si>
  <si>
    <t>1. RA Qotrotul Huda : 15
2. RA Almuawanah : 29</t>
  </si>
  <si>
    <t>1. SDN 4 CIKAREO : 136
2. SDN 2 PASINDANGAN : 213
3. MIS MA CANGKETEK REBAH :171
4. MIS MA PASIRBINGLU : 87
5. MI BUYUT : 112
6. SDN 1 CIPADANG : 286</t>
  </si>
  <si>
    <t>1. MTs QOTHOTUL HUDA : 132
2. MTs ALMUAWANAH : 117
3. MTs MA CANGKETEK REBAH : 78
4. MTs AL-HIJAIYAH : 66</t>
  </si>
  <si>
    <t xml:space="preserve">1. SMK MAULANA HASANUDIN : 113
2. MA ALMUAWANAH : 133
 </t>
  </si>
  <si>
    <t>POSYANDU DAHLIA 1 :  7
POSYANDU DAHLIA 3 : 3
POSYANDU DAHLIA 4 : 4Posiandu nusa indah 1:5
Posiandu nusa indah 2:7
Posinadu nusa indah 3:10</t>
  </si>
  <si>
    <t>POSYANDU DAHLIA 1 :  20
POSYANDU DAHLIA 3 : 13
POSYANDU DAHLIA 4 : 13Posiandu nusa indah 1:18
Posiandu nusa indah 2 :20
Posinadu nusa indah 3:6</t>
  </si>
  <si>
    <t>POSYANDU DAHLIA 1 :  106
POSYANDU DAHLIA 3 : 42
POSYANDU DAHLIA 4 : 25Posiandu nusa indah 1:37
Posiandu nusa indah 2:43
Posianadu nusa indah 3:58</t>
  </si>
  <si>
    <t>GUMURUH</t>
  </si>
  <si>
    <t>SPPG Lebak Cileles Gumuruh</t>
  </si>
  <si>
    <t>9191F9JY</t>
  </si>
  <si>
    <t>YAYASAN MITRALEBAK MANDIRI</t>
  </si>
  <si>
    <t>Kp. Gumurh Des. Gumuruh Kec. Cileles</t>
  </si>
  <si>
    <t>MEIZATULO ZEBUA</t>
  </si>
  <si>
    <t>081370590351</t>
  </si>
  <si>
    <t>1. TK TALAGA MULYA : 49
2. TK FATHUL ULUM : 25
3. TK NURUL ULUM : 64
4. TK MAWAR : 16
5. TK RIYADUL AWAMIL : 18
6. TK ARROHMAH : 22
7. TK NURUL SYAFFANA : 31
8. TK TUNAS MULIA : 19
9. TK AS SYAPIQ : 18</t>
  </si>
  <si>
    <t xml:space="preserve">1. SDN 1 DAROYON : 91
2. SDN 2 DAROYON : 136
3. SDN 1 GUMURUH : 141
4. SDN 2 GUMURUH : 190
5. SDN 3 GUMURUH : 262
6. SDN 2 PRABUGANTUNGAN : 341
7. MI MA UMBUL : 105
</t>
  </si>
  <si>
    <t>1. MTs IBNU HAJI ABDULLAH : 79
2. MTs AL-MUAWANAH UMBUL : 55
3. MTs ANWARUZHULAM : 126
4. SMP PGRI CILELES : 117</t>
  </si>
  <si>
    <t>1. SMAN 1 CILELES : 327
2. SMK PGRI CILELES : 69
3. MA IBNU HAJI ABDULLAH : 195</t>
  </si>
  <si>
    <t>posyandu teratai 1 = 5
posyandu teratai 2 = 4
posyandu teratai 3 = 11
posyandu teratai 4 = 4
posyandu teratai 5 = 9
posyandu teratai 6 = 1
posyandu teratai 7 = 3</t>
  </si>
  <si>
    <t>posyandu teratai 1 = 11
posyandu teratai 2 = 16
posyandu teratai 3 = 12
posyandu teratai 4 = 9
posyandu teratai 5 = 11
posyandu teratai 6 = 12
posyandu teratai 7 = 16</t>
  </si>
  <si>
    <t>posyandu teratai 1 = 28
posyandu teratai 2 = 35
posyandu teratai 3 = 24
posyandu teratai 4 = 33
posyandu teratai 5 = 21
posyandu teratai 6 = 22
posyandu teratai 7 = 31</t>
  </si>
  <si>
    <t>PAINDANGAN</t>
  </si>
  <si>
    <t>SPPPG Lebak Cileles Pasindangan 1</t>
  </si>
  <si>
    <t>F9DEFTWV</t>
  </si>
  <si>
    <t>Kp. Cisampih, Ds. Pasindangan, Kec. Cileles, Kab. Lebak, Banten</t>
  </si>
  <si>
    <t>Proses menunggu pembayaran</t>
  </si>
  <si>
    <t>MUHAMMAD REVANDRI</t>
  </si>
  <si>
    <t>082371997992</t>
  </si>
  <si>
    <t>KB Al-Irsyadiyah: 23
KB Raudhah Mekarjaya: 50</t>
  </si>
  <si>
    <t>TK PGRI 03 Cileles: 32
TK Raudhah: 40</t>
  </si>
  <si>
    <t>SDN 1 Mekarjaya : 150
SDN 1 Pasindangan : 241
SDN 2 Mekarjaya : 79
SDN 3 Pasindangan : 76
MI MA Calemboh : 81
MIS MA Waluku : 70
MIS Al-Irsyadiyah : 88
SDLB Bhineka : 3</t>
  </si>
  <si>
    <t>SMPN Satu Atap 06 Cileles : 73
MTS Irsyadul Mubtadi'in Waluku : 26
MTS Wasilatul Falah Pasindangan : 202
SMPLB Bhineka : 3</t>
  </si>
  <si>
    <t>MAS Wasilatul Falah Pasindangan : 124
SMALB Bhineka : 4</t>
  </si>
  <si>
    <t>Posyandu Anggrek 1: 7
Posyandu Anggrek 2: 5
Posyandu Anggrek 3: 3
Posyandu Anggrek 4: 4
Posyandu Anggrek 5: 2
Posyandu Anggrek 6: 1</t>
  </si>
  <si>
    <t>Posyandu Anggrek 1: 14
Posyandu Anggrek 2: 18
Posyandu Anggrek 3: 11
Posyandu Anggrek 4: 7
Posyandu Anggrek 5: 8
Posyandu Anggrek 6: 6</t>
  </si>
  <si>
    <t>Posyandu Anggrek 1: 28
Posyandu Anggrek 2: 40
Posyandu Anggrek 3: 22
Posyandu Anggrek 4: 30
Posyandu Anggrek 5: 19
Posyandu Anggrek 6: 5</t>
  </si>
  <si>
    <t>Tidak Ada</t>
  </si>
  <si>
    <r>
      <rPr>
        <rFont val="Calibri"/>
        <color rgb="FF000000"/>
        <sz val="11.0"/>
      </rPr>
      <t xml:space="preserve">Data perlu di-update berkala, mengingat sedang pendataan ulang </t>
    </r>
    <r>
      <rPr>
        <rFont val="Calibri"/>
        <i/>
        <color rgb="FF000000"/>
        <sz val="11.0"/>
      </rPr>
      <t>by name by address</t>
    </r>
  </si>
  <si>
    <t>PARUNGKUJANG</t>
  </si>
  <si>
    <t>SPPG Lebak Cileles Parungkujang</t>
  </si>
  <si>
    <t>EMXGQEYG</t>
  </si>
  <si>
    <t>YAYASAN INSPIRASI NAGARI</t>
  </si>
  <si>
    <t>Kp. Dukuh Des. Parungkujang Kec. Cileles Kab. Lebak</t>
  </si>
  <si>
    <t>SAEPUL MUBAROK</t>
  </si>
  <si>
    <t>085711455797</t>
  </si>
  <si>
    <t xml:space="preserve">
</t>
  </si>
  <si>
    <t>TK Az Zahra : 72</t>
  </si>
  <si>
    <t xml:space="preserve">SDN 1 PARUNGKUJANG : 215
SDN 2 CILELES : 168
</t>
  </si>
  <si>
    <t>SMPN 3 CILELES : 147</t>
  </si>
  <si>
    <t xml:space="preserve">POSYANDU MELATI 1 : 4
POSYANDU MELATI 2 : 6
POSYANDU MELATI 3 : 3
PASYANDO MELATI 4 : 3
POSYANDU MELATI 5 : 6
POSYANDU MELATI 6 : 2
POSYANDU KENANGA 1 : 4
POSYANDU KENAGAN 5 : 9
POSYANDU KENANGA 6 : 5
POSYANDU KENANGA 7 : 2
POSYANDU KENANGA 8 : 0
 </t>
  </si>
  <si>
    <t>POSYANDU MELATI 1 : 5
POSYANDU MELATI 2 : 13
POSYANDU MELATI 3 : 8
POSYANDU MELATI 4 : 7
POSYANDU MELATI 5: 17
POSYANDU MELATI 6 : 20
POSYANDU KENANGA 1 : 12
POSYANDU KENAGAN 5 : 19
POSYANDU KENANGA 6 : 22
POSYANDU KENANGA 7 : 5
POSYANDU KENANGA 8 : 3</t>
  </si>
  <si>
    <t>MELATI 1 : 30
MELATI 2 : 51
MELATI 3 : 30
MELATI 4 : 40
MELATI 5: 47
MELATI 6 : 44
KENANGA 1 : 34
KENAGAN 5 : 71
kENANGA 6 : 28
KENANGA 7 : 20
KENANGA 8 : 18</t>
  </si>
  <si>
    <t>SPPG Lebak Cileles Cikareo 2</t>
  </si>
  <si>
    <t>VDIJ9JIA</t>
  </si>
  <si>
    <t>IMADUL MANARUS SYUUB</t>
  </si>
  <si>
    <t>Kp. Sajir Des. Cikareo Kec. Cileles</t>
  </si>
  <si>
    <t>PASINDANGAN</t>
  </si>
  <si>
    <t>SPPPG Lebak Cileles Pasindangan 2</t>
  </si>
  <si>
    <t>XDHJUSC6</t>
  </si>
  <si>
    <t>YAYASAN GELORA ASA HIKMAH</t>
  </si>
  <si>
    <t>Kp. Kadubana Des. Pasindangan Kec. Cileles</t>
  </si>
  <si>
    <t>SPPG Lebak Cileles Pasindangan 3</t>
  </si>
  <si>
    <t>2WTTJSAE</t>
  </si>
  <si>
    <t>YAYASAN JELITA PUTIH BERGIZI</t>
  </si>
  <si>
    <t>FIKTIF</t>
  </si>
  <si>
    <t xml:space="preserve">SPPG Proses persiapan </t>
  </si>
  <si>
    <t>SPPG Fiktif</t>
  </si>
  <si>
    <t>Muaradua</t>
  </si>
  <si>
    <t>SPPG LEBAK CIKULUR MUARADUA</t>
  </si>
  <si>
    <t>DMOJLZPG</t>
  </si>
  <si>
    <t>YAYASAN BINA PRESTASI</t>
  </si>
  <si>
    <t>Desa Muaradua, Cikulur, Lebak, Muaradua, Cikulur, Kab. Lebak, Banten</t>
  </si>
  <si>
    <t>APIN HAERANI</t>
  </si>
  <si>
    <t>0881024382327</t>
  </si>
  <si>
    <t>1. KB KARYA MULYA 2 = 15</t>
  </si>
  <si>
    <t>1. TK DARUSSALAM = 47
2. TK AL-AGHINIYAH = 53
3. TK PGRI CIKULUR = 22
JUMLAH = 122</t>
  </si>
  <si>
    <t>1. RA DARUL JALAL = 35</t>
  </si>
  <si>
    <t>1. PAUD FAKHRUL ISLAM = 28
2. PAUD NURUSSADAH = 36
3. PAUD HIJAIYAH = 35
JUMLAH = 99</t>
  </si>
  <si>
    <t>1. SDN 1 MUARADUA = 258
2. SDN 2 MUARADUA = 162
3. SDN 3 MUARADUA = 183
4. SDN PASIR GINTUNG = 199
5. SDN ANGGALAN = 310
6. SDN 1 TAMANJAYA = 152
7. MIS DARUSSALAM = 101
8. MIS RIYADUL FATONAH CIKULUR = 142
JUMLAH = 1507</t>
  </si>
  <si>
    <t>1. SMP NEGERI 2 CIKULUR = 345
2. SMPN 6 CIKULUR = 154
3. SMP RIYADUL FATONAH CIKULUR = 70
4. SMP DARUSSALAM = 45
5. MTs AL-KHOIRIYAH = 87
6. MTs ALFIN MUBAROK = 66
7. MTs NURUL ARFAH = 9
8. MTs DARUL JALAL = 116
JUMLAH = 892</t>
  </si>
  <si>
    <t>1. SMAN 1 CIKULUR = 533
2. SMK BINA BANGSA CIKULUR = 294
3. MA NURUL ARFAH = 9
4. MA AL-KHOIRIYAH = 64
JUMLAH = 900</t>
  </si>
  <si>
    <t>Sukadaya</t>
  </si>
  <si>
    <t>SPPG LEBAK CIKULUR CIKULUR</t>
  </si>
  <si>
    <t>UVVTOAJP</t>
  </si>
  <si>
    <t>YAYASAN HIDAYATUL MUBTADIIN ANNURZAENI</t>
  </si>
  <si>
    <t>Jl. Raya Sampay Cileles, Kec. Cikulur Kab. Lebak-Banten</t>
  </si>
  <si>
    <t>SOLIHIN</t>
  </si>
  <si>
    <t>083813582741</t>
  </si>
  <si>
    <r>
      <rPr>
        <rFont val="Calibri"/>
        <b val="0"/>
        <color rgb="FF000000"/>
        <sz val="11.0"/>
      </rPr>
      <t xml:space="preserve">1. RA MIFTAHUL FALAH AR ROISI </t>
    </r>
    <r>
      <rPr>
        <rFont val="Calibri"/>
        <b/>
        <color rgb="FF000000"/>
        <sz val="11.0"/>
      </rPr>
      <t>JUMLAH = 36</t>
    </r>
  </si>
  <si>
    <r>
      <rPr>
        <rFont val="Calibri"/>
        <color rgb="FF000000"/>
        <sz val="11.0"/>
      </rPr>
      <t xml:space="preserve">1. PAUD PERTIWI 1 = 48
2. PAUD PERTIWI 2 = 30
3. PAUD KB DAARUL HUSNA = 48
4. PAUD ROUDHOTUL ILMI = 35
</t>
    </r>
    <r>
      <rPr>
        <rFont val="Calibri"/>
        <b/>
        <color rgb="FF000000"/>
        <sz val="11.0"/>
      </rPr>
      <t>JUMLAH = 161</t>
    </r>
    <r>
      <rPr>
        <rFont val="Calibri"/>
        <color rgb="FF000000"/>
        <sz val="11.0"/>
      </rPr>
      <t xml:space="preserve">
</t>
    </r>
  </si>
  <si>
    <r>
      <rPr>
        <rFont val="Calibri"/>
        <color rgb="FF000000"/>
        <sz val="11.0"/>
      </rPr>
      <t xml:space="preserve">1.      SDN 2 MUNCANGKOPONG = 323
2.      SDN 3 MUNCANGKOPONG = 215
3.      SDN 1 CURUGPANJANG = 222
4.      SDN 2 CURUGPANJANG = 172
5.      SDN 1 SUKADAYA = 131
6.      SDN 3 SUKADAYA = 228
7.      SDN 1 SUMURBANDUNG = 518
8.      SDN 2 SUMURBANDUNNG = 183
9.      MI NURUL FALAH = 126
</t>
    </r>
    <r>
      <rPr>
        <rFont val="Calibri"/>
        <b/>
        <color rgb="FF000000"/>
        <sz val="11.0"/>
      </rPr>
      <t>JUMLAH = 2.118</t>
    </r>
    <r>
      <rPr>
        <rFont val="Calibri"/>
        <color rgb="FF000000"/>
        <sz val="11.0"/>
      </rPr>
      <t xml:space="preserve">
</t>
    </r>
  </si>
  <si>
    <r>
      <rPr>
        <rFont val="Calibri"/>
        <color rgb="FF000000"/>
        <sz val="11.0"/>
      </rPr>
      <t xml:space="preserve">1. SMPN 1 CIKULUR = 465
2. SMPN 5 CIKULUR = 185
3. MTS AR RIBATHIYAH = 327
4. MTS NURUL FALAH = 48
</t>
    </r>
    <r>
      <rPr>
        <rFont val="Calibri"/>
        <b/>
        <color rgb="FF000000"/>
        <sz val="11.0"/>
      </rPr>
      <t xml:space="preserve">JUMLAH = 1.025
</t>
    </r>
  </si>
  <si>
    <r>
      <rPr>
        <rFont val="Calibri"/>
        <color rgb="FF000000"/>
        <sz val="11.0"/>
      </rPr>
      <t xml:space="preserve">1. MA AR RIBATHIYAH = 26
</t>
    </r>
    <r>
      <rPr>
        <rFont val="Calibri"/>
        <b/>
        <color rgb="FF000000"/>
        <sz val="11.0"/>
      </rPr>
      <t xml:space="preserve">JUMLAH = 26
</t>
    </r>
  </si>
  <si>
    <t>Cikulur</t>
  </si>
  <si>
    <t>SPPG Lebak Cikulur Cikulur 2</t>
  </si>
  <si>
    <t>COPBBVT4</t>
  </si>
  <si>
    <t>Kp. Bahbul pasir RT 013/RW 004, Desa Cikulur, Kecamatan Cikulur, Kabupaten Lebak, Provinsi Banten</t>
  </si>
  <si>
    <t>UJANG AHMADUDIN</t>
  </si>
  <si>
    <t>0881024312317</t>
  </si>
  <si>
    <t>1. KB KARYA MULYA  = 73</t>
  </si>
  <si>
    <t>1. TK BANTEN RAYA CIKULUR = 29</t>
  </si>
  <si>
    <t xml:space="preserve">1. SMP BANTEN RAYA CIKULUR  = 163
2. MTS KARYA MULYA = 23
3. SMPN 4 CIKULUR = 336
4. SMP RIYADHUL MUSLIMIN = 151
JUMLAH = 673
</t>
  </si>
  <si>
    <t xml:space="preserve">1. SMK BANTEN RAYA CIKULUR = 237
2. SMKN 1 CIKULUR = 645
JUMLAH = 882
</t>
  </si>
  <si>
    <t>Curugpanjang</t>
  </si>
  <si>
    <t>SPPG Lebak Cikulur Curugpanjang</t>
  </si>
  <si>
    <t>KPHNDNSC</t>
  </si>
  <si>
    <t>RIHAL UNGGUL MADANI</t>
  </si>
  <si>
    <t>Kampung Situjaya Timur RT/RW 011 / 003, Kelurahan Curugpanjang, Kecamatan Cikulur, Kabupaten Lebak - Banten</t>
  </si>
  <si>
    <t>SARIP</t>
  </si>
  <si>
    <t>1. TKN HARAPAN MULYA = 66</t>
  </si>
  <si>
    <r>
      <rPr>
        <rFont val="Calibri"/>
        <color rgb="FF000000"/>
        <sz val="11.0"/>
      </rPr>
      <t xml:space="preserve">1. RA NURUL ATHFAL = 33      2. RA INSANUL KAMIL = 26         3. RA AL - KANAWIAH = 41       4. RA MIFTAHUL FALAH = 26  </t>
    </r>
    <r>
      <rPr>
        <rFont val="Calibri"/>
        <b/>
        <color rgb="FF000000"/>
        <sz val="11.0"/>
      </rPr>
      <t>JUMLAH = 126</t>
    </r>
  </si>
  <si>
    <t xml:space="preserve">  1. PAUD IBNU LATIF = 14  </t>
  </si>
  <si>
    <t>2. SDN 3 MUNCANGKOPONG = 215</t>
  </si>
  <si>
    <r>
      <rPr>
        <rFont val="Calibri"/>
        <color rgb="FF000000"/>
        <sz val="11.0"/>
      </rPr>
      <t xml:space="preserve">1. MTS NURUL ATHFAL = 156   2. MTS AL-KANAWIAH = 103    3. MTS QOTHROTUL ULUM = 27                                     </t>
    </r>
    <r>
      <rPr>
        <rFont val="Calibri"/>
        <b/>
        <color rgb="FF000000"/>
        <sz val="11.0"/>
      </rPr>
      <t>JUMLAH = 286</t>
    </r>
  </si>
  <si>
    <r>
      <rPr>
        <rFont val="Calibri"/>
        <color rgb="FF000000"/>
        <sz val="11.0"/>
      </rPr>
      <t xml:space="preserve">1. MA AL - KANAWIAH = 115     2. MA QOTHROTUL ULUM = 21                                                            </t>
    </r>
    <r>
      <rPr>
        <rFont val="Calibri"/>
        <b/>
        <color rgb="FF000000"/>
        <sz val="11.0"/>
      </rPr>
      <t xml:space="preserve">JUMLAH = 136 </t>
    </r>
  </si>
  <si>
    <t>SPPG Cikulur Cikulur 3</t>
  </si>
  <si>
    <t>ZUATRGAR</t>
  </si>
  <si>
    <t>YAYASAN MUTIARA BUNDA MAULANA WIJAYA</t>
  </si>
  <si>
    <t xml:space="preserve">Kampung Mandeg, RT.07/RW.03, Kel. Cikulur, Kec. Cikulur, Kab. Lebak, Banten </t>
  </si>
  <si>
    <t>KHAIRUL SALEH</t>
  </si>
  <si>
    <r>
      <rPr>
        <rFont val="Calibri"/>
        <color rgb="FF000000"/>
        <sz val="11.0"/>
      </rPr>
      <t xml:space="preserve">1. KB BANI TAHAL: 34
2. KB AL MUGIS: 67
3. KB AR RIDHA: 63
4. KB RIYADUL IKHTIFA : 54
5. KB AUFAR: 52
6. KB MUTIARA KALAM: 36
7. KB AI AGHINIYAH : 51
</t>
    </r>
    <r>
      <rPr>
        <rFont val="Calibri"/>
        <b/>
        <color rgb="FF000000"/>
        <sz val="11.0"/>
      </rPr>
      <t>JUMLAH: 357</t>
    </r>
  </si>
  <si>
    <t>1. TK TADIKA PUTRA PRATAMA: 27</t>
  </si>
  <si>
    <r>
      <rPr>
        <rFont val="Calibri"/>
        <color rgb="FF000000"/>
        <sz val="11.0"/>
      </rPr>
      <t xml:space="preserve">1. SDN 01 CIGOONG UTARA: 421
2. SDN 02 CIGOONG SELATAN: 153
</t>
    </r>
    <r>
      <rPr>
        <rFont val="Calibri"/>
        <b/>
        <color rgb="FF000000"/>
        <sz val="11.0"/>
      </rPr>
      <t>JUMLAH: 574</t>
    </r>
  </si>
  <si>
    <t>MTs DARUL HIKAM: 38</t>
  </si>
  <si>
    <r>
      <rPr>
        <rFont val="Calibri"/>
        <color rgb="FF000000"/>
        <sz val="11.0"/>
      </rPr>
      <t xml:space="preserve">IBU HAMIL 
1. POSYANDU MARKISA :10
2. POSYANDU DELIMA :5
3. POSYANDU FLAMBOYAN :4
4. POSYANDU DURIAN :3
5. POSYANDU SIRSAK: 19
6. POSYANDU NARETEL : 8
7. POSYANDU BALUK: 15
8. POSYANDU BALAI DESA: 10
</t>
    </r>
    <r>
      <rPr>
        <rFont val="Calibri"/>
        <b/>
        <color rgb="FF000000"/>
        <sz val="11.0"/>
      </rPr>
      <t>JUMLAH: 75</t>
    </r>
  </si>
  <si>
    <r>
      <rPr>
        <rFont val="Calibri"/>
        <color rgb="FF000000"/>
        <sz val="11.0"/>
      </rPr>
      <t xml:space="preserve">IBU MENYUSUI 
1. POSYANDU MARKISA : 10
2. POSYANDU DELIMA : 8
3. POSYANDU FLAMBOYAN : 11
4. POSYANDU DURIAN : 8
5. POSYANDU SIRSAK: 21
6. POSYANDU NARETEL : 21
7. POSYANDU BALUK: 37
8. POSYANDU BALAI DESA: 16 
</t>
    </r>
    <r>
      <rPr>
        <rFont val="Calibri"/>
        <b/>
        <color rgb="FF000000"/>
        <sz val="11.0"/>
      </rPr>
      <t>JUMLAH: 132</t>
    </r>
  </si>
  <si>
    <r>
      <rPr>
        <rFont val="Calibri"/>
        <color rgb="FF000000"/>
        <sz val="11.0"/>
      </rPr>
      <t xml:space="preserve">BALITA 
1. POSYANDU MARKISA : 37
2. POSYANDU DELIMA :44
3. POSYANDU FLAMBOYAN :53
4. POSYANDU DURIAN : 47
5. POSYANDU SIRSAK: 85
6. POSYANDU NARETEL : 51
7. POSYANDU BALUK: 92
8. POSYANDU BALAI DESA: 104
</t>
    </r>
    <r>
      <rPr>
        <rFont val="Calibri"/>
        <b/>
        <color rgb="FF000000"/>
        <sz val="11.0"/>
      </rPr>
      <t>JUMLAH: 513</t>
    </r>
  </si>
  <si>
    <t xml:space="preserve">ARDIANSYAH (PENGUNDURAN DIRI) </t>
  </si>
  <si>
    <t>3. SDN 1 CURUGPANJANG = 222</t>
  </si>
  <si>
    <t>4. SDN 2 CURUGPANJANG = 172</t>
  </si>
  <si>
    <t>5. SDN 1 SUKADAYA = 131</t>
  </si>
  <si>
    <t>6. SDN 3 SUKADAYA = 228</t>
  </si>
  <si>
    <t>7. SDN 1 SUMURBANDUNG = 518</t>
  </si>
  <si>
    <t>8. SDN 2 SUMURBANDUNNG = 183</t>
  </si>
  <si>
    <t>9. MI NURUL FALAH = 126</t>
  </si>
  <si>
    <t>JUMLAH = 2.115</t>
  </si>
  <si>
    <t>SUDAMANIK</t>
  </si>
  <si>
    <t>SPPG Lebak Cimarga Sudamanik</t>
  </si>
  <si>
    <t>PTJKLS1W</t>
  </si>
  <si>
    <t>Yayasan Buana Pangan Sejahteta</t>
  </si>
  <si>
    <t>Jalan Raya Leuwidamar KM 15, Kampung Sudamanik, RT 001 RW 002, Desa Sudamanik, Kecamatan Cimarga, Kabupaten Lebak, Provinsi Banten</t>
  </si>
  <si>
    <t>M. Mujiburohman, S.E</t>
  </si>
  <si>
    <t>085711993231</t>
  </si>
  <si>
    <t>GUNUNGANTEN</t>
  </si>
  <si>
    <t>SPPG Lebak Cimarga Gununganten 2</t>
  </si>
  <si>
    <t>JEIQF6T5</t>
  </si>
  <si>
    <t>YAYASAN MANDIRI BANTEN SEJAHTERA</t>
  </si>
  <si>
    <t>Kampung Cikeuyeup Rt 008 Rw 004, Gununganten, Cimarga, Kab. Lebak, Banten</t>
  </si>
  <si>
    <t>Lilis Suryaningsih</t>
  </si>
  <si>
    <t>085881790031</t>
  </si>
  <si>
    <t xml:space="preserve">PAUD WIYATA GUNA : 53 (TENDIK 6)
PAUD GUNABAKTI INTENJAYA : 31 (TENDIK 5)
PAUD AL IKHLAS : 46 (TENDIK 4)
PAUD AL FATIN : 30 (TENDIK 5)
PAUD NADIA : 24 (TENDIK 5)
PAUD ATTAUFIKYAH : 44 (TENDIK 5)
PAUD AL AZKIYA : 11 (TENDIK 4)
PAUD KARYA MULYA : 17 (TENDIK 2)
PAUD GUNABAKTI SAMPANG : 15 (TENDIK 3)
</t>
  </si>
  <si>
    <t xml:space="preserve">SDN 2 GUNUNGANTEN : 195 (TENDIK 10)
SDN 1 INTENJAYA : 253 (TENDIK 10)
SDN 2 INTENJAYA : 242  (TENDIK 10)
SDN 3 INTENJAYA :  140 (TENDIK 10)
SDN 1 MARGATIRTA : 123 (TENDIK 10)
MI AL KHOIRIYAH : 222 (TENDIK 10)
</t>
  </si>
  <si>
    <r>
      <rPr>
        <rFont val="Calibri"/>
        <color rgb="FF000000"/>
        <sz val="11.0"/>
      </rPr>
      <t xml:space="preserve">
⁠MTS AL MAS INTEN JAYA: 40 (TENDIK 6) 
</t>
    </r>
    <r>
      <rPr>
        <rFont val="Calibri"/>
        <b/>
        <color rgb="FF000000"/>
        <sz val="11.0"/>
      </rPr>
      <t xml:space="preserve">
</t>
    </r>
  </si>
  <si>
    <t xml:space="preserve">POSYANDU DAHLIA CIKEYEUP 1 :  17
POSYANDU TULIP CIKEYEUP 2 : 0
POSYANDU KEJORA NARONTONG : 7
POSYANDU MELATI 2 PASIR JENGKOL : 10
POSYANDU MAWAR PASIR EURIH : 11
POSYANDU MATAHARI KAMPUNG SAWAH : 4
POSYANDU MELATI 1 KEBON KOPI : 7
POSYANDU MELATI KAMPUNG PARUNG : 1
POSYANDU MAWAR PASIR LAMA : 10
POSYANDU BALITA SEHAT : 3
POSYANDU SAUYUNAN : 5
POSYANDU SABILULUNGAN : 4
POSYANDU ANGGREK : 9
</t>
  </si>
  <si>
    <t xml:space="preserve">POSYANDU DAHLIA CIKEYEUP 1 : 36
POSYANDU TULIP CIKEYEUP 2 : 46
POSYANDU KEJORA NARONTONG : 6
POSYANDU MELATI 2 PASIR JENGKOL : 15
POSYANDU MAWAR PASIR EURIH : 11
POSYANDU MATAHARI KAMPUNG SAWAH : 14
POSYANDU MELATI 1 KEBON KOPI : 5
POSYANDU MELATI KAMPUNG PARUNG : 27
POSYANDU MAWAR PASIR LAMA : 18
POSYANDU BALITA SEHAT : 21
POSYANDU SAUYUNAN : 15
POSYANDU SABILULUNGAN : 15
POSYANDU ANGGREK : 17
</t>
  </si>
  <si>
    <t xml:space="preserve">POSYANDU DAHLIA CIKEYEUP 1 : 59
POSYANDU TULIP CIKEYEUP 2 : 54
POSYANDU KEJORA NARONTONG : 40
POSYANDU MELATI 2 PASIR JENGKOL : 86
POSYANDU MAWAR PASIR EURIH : 30
POSYANDU MATAHARI KAMPUNG SAWAH : 40
POSYANDU MELATI 1 KEBON KOPI : 31
POSYANDU MELATI KAMPUNG PARUNG : 71
POSYANDU MAWAR PASIR LAMA : 50
POSYANDU BALITA SEHAT : 59
POSYANDU SAUYUNAN : 34
POSYANDU SABILULUNGAN : 54
POSYANDU ANGGREK : 39
</t>
  </si>
  <si>
    <t>MARGAJAYA</t>
  </si>
  <si>
    <t>SPPG Lebak Cimarga Margajaya 1</t>
  </si>
  <si>
    <t>RJTZ7RYE</t>
  </si>
  <si>
    <t xml:space="preserve">           Yayasan Daarusaadah Lebak</t>
  </si>
  <si>
    <t>Jln Raya Leuwidamar KM 8 Kp. Cimarga Rt.001/Rw.003</t>
  </si>
  <si>
    <t>Fatwa Maulana</t>
  </si>
  <si>
    <t>*082122062806</t>
  </si>
  <si>
    <t>1. TK PGRI 1 CIMARGA : 45</t>
  </si>
  <si>
    <t>1. PAUD GEMILANG : 33</t>
  </si>
  <si>
    <t>1. SDN 1 MARGAJAYA : 479
2. SDN 2 MARGAJAYA : 195
3. SDN 3 CIMARGA     : 161</t>
  </si>
  <si>
    <t>1. SMPN 1 CIMARGA : 532</t>
  </si>
  <si>
    <t>1. SMAN 1 CIMARGA : 672</t>
  </si>
  <si>
    <t xml:space="preserve">Posyandu mekar wangi cimarga
Bumil : 14
Posyandu tunas mekar cilaki
bumil : 21
Posyandu Indah Jaya Jahe
Bumil : 9
</t>
  </si>
  <si>
    <t xml:space="preserve">Posyandu mekar wangi cimarga
Busui : 9
Posyandu tunas mekar cilaki
Busui : 7
Posyandu Indah Jaya Jahe
Busui : 13
</t>
  </si>
  <si>
    <t xml:space="preserve">Posyandu mekar wangi cimarga
Balita : 68
Posyandu tunas mekar cilaki
Balita : 148
Posyandu Indah Jaya Jahe
Balita : 104
</t>
  </si>
  <si>
    <t>CIMARGA</t>
  </si>
  <si>
    <t>SPPG Lebak Cimarga Cimarga 2</t>
  </si>
  <si>
    <t>U4NBHBYV</t>
  </si>
  <si>
    <t>Kp Jampang Desa Cimarga, Kec. Cimarga, Kabupaten Lebak, Banten</t>
  </si>
  <si>
    <t>Nuur Cakra Kusuma Wardana</t>
  </si>
  <si>
    <t>081314450850</t>
  </si>
  <si>
    <t xml:space="preserve">CIMARGA </t>
  </si>
  <si>
    <t>SPPG Lebak Cimarga Cimarga  1</t>
  </si>
  <si>
    <t>LG8NVIMJ</t>
  </si>
  <si>
    <t>Yayasan Azzalea Rachman Insani</t>
  </si>
  <si>
    <t>Jl. Raya Leuwidamar, Cimarga, Kec. Cimarga, Kabupaten Lebak, Banten 42361</t>
  </si>
  <si>
    <t xml:space="preserve">Eris Pratama </t>
  </si>
  <si>
    <t>*081295932450</t>
  </si>
  <si>
    <t xml:space="preserve">1. SDN 1 CIMARGA : 364
2. SDN 2 CIMARGA : 242
3. SDN 2 GIRIMUKTI:167             </t>
  </si>
  <si>
    <t xml:space="preserve">Posyandu Cendana
Bumil : 6
Postandu Melati
Bumil : 4
Posyandu Andalas
Bumil : 13
Posyandu Jatayu
Bumil : 4
Posyandu Simpati
Bumil : 5
Mekarsari
Bumil : 15
Mawar
Bumil : 5
Candrakirana
Bumil : 4
Melati
Bumil : 13
Anggrek
Bumil : 6
</t>
  </si>
  <si>
    <t xml:space="preserve">Posyandu Cendana
Busui : 8
Postandu Melati
Busui : 13
Posyandu Andalas
Busui : 10
Posyandu Jatayu
Busui: 1
Posyandu Simpati
Busui : 5
Mekarsari
Busui : 15
Mawar
Busui : 16
Candrakirana
Busui : 26
Melati
Busui : 20
Anggrek
Busui : 14
</t>
  </si>
  <si>
    <t xml:space="preserve">Posyandu Cendana
Balita : 96
Postandu Melati
Balita : 50
Posyandu Andalas
Balita: 91
Posyandu Jatayu
Balita: 40
Posyandu Simpati
Balita : 41
Mekarsari
Balita : 56
Mawar
Balita : 25
Candrakirana
Balita : 68
Melati
Balita : 76
Anggrek
Balita : 26
</t>
  </si>
  <si>
    <t>TAMBAK</t>
  </si>
  <si>
    <t>SPPG Lebak Cimarga Tambak 2</t>
  </si>
  <si>
    <t>RYC0NSCS</t>
  </si>
  <si>
    <t>YAYASAN AMAL RAKYAT BANTEN BERSATU</t>
  </si>
  <si>
    <t>Kp. Sempur 2 rt. 03/01 desa tambak kec. Cimarga</t>
  </si>
  <si>
    <t>23/02/2026</t>
  </si>
  <si>
    <t>Mahmut Jaelani</t>
  </si>
  <si>
    <t>085273461251</t>
  </si>
  <si>
    <r>
      <rPr>
        <rFont val="Calibri"/>
        <color rgb="FF000000"/>
        <sz val="11.0"/>
      </rPr>
      <t xml:space="preserve">1. KB. Nadhifa Maharani Sajira : 25
2. KB. Darul Ulum : 122                     
</t>
    </r>
    <r>
      <rPr>
        <rFont val="Calibri"/>
        <b/>
        <color rgb="FF000000"/>
        <sz val="11.0"/>
      </rPr>
      <t xml:space="preserve">Total Siswa : 147 
Total Guru : 10 
Tenaga Pendidik : 1     </t>
    </r>
    <r>
      <rPr>
        <rFont val="Calibri"/>
        <color rgb="FF000000"/>
        <sz val="11.0"/>
      </rPr>
      <t xml:space="preserve"> </t>
    </r>
  </si>
  <si>
    <r>
      <rPr>
        <rFont val="Calibri"/>
        <color rgb="FF000000"/>
        <sz val="11.0"/>
      </rPr>
      <t xml:space="preserve">TK Al-Fiah : 105
</t>
    </r>
    <r>
      <rPr>
        <rFont val="Calibri"/>
        <b/>
        <color rgb="FF000000"/>
        <sz val="11.0"/>
      </rPr>
      <t>Total Siswa : 101
Total Guru : 3
Tenaga Pendidik : 1</t>
    </r>
  </si>
  <si>
    <r>
      <rPr>
        <rFont val="Calibri"/>
        <color rgb="FF000000"/>
        <sz val="11.0"/>
      </rPr>
      <t xml:space="preserve">RA Riadul Falah : 42
</t>
    </r>
    <r>
      <rPr>
        <rFont val="Calibri"/>
        <b/>
        <color rgb="FF000000"/>
        <sz val="11.0"/>
      </rPr>
      <t>Total Siswa : 37
Total Guru : 4
Total Tenaga Pendidik : 1</t>
    </r>
  </si>
  <si>
    <r>
      <rPr>
        <rFont val="Calibri"/>
        <color rgb="FF000000"/>
        <sz val="11.0"/>
      </rPr>
      <t xml:space="preserve">Paud Wangun Jaya/Al-Husna : 40
</t>
    </r>
    <r>
      <rPr>
        <rFont val="Calibri"/>
        <b/>
        <color rgb="FF000000"/>
        <sz val="11.0"/>
      </rPr>
      <t>Total Siswa : 36
Total Guru : 3
Tenaga Pendidik : 1</t>
    </r>
  </si>
  <si>
    <r>
      <rPr>
        <rFont val="Calibri"/>
        <color rgb="FF000000"/>
        <sz val="11.0"/>
      </rPr>
      <t xml:space="preserve">1. MI Mathlaul Anwar : 432
2. SDN 1 Tambak : 243
3. SDN 2 Tambak : 143
4. SDN 1 Sangiangjaya : 302
5. SDN 2 Sangiangjaya : 138
6. SDN 3 Sangiangjaya : 82
7. SDN 1 Margaluyu : 120
</t>
    </r>
    <r>
      <rPr>
        <rFont val="Calibri"/>
        <b/>
        <color rgb="FF000000"/>
        <sz val="11.0"/>
      </rPr>
      <t>Total Siswa : 1.175
Total Guru : 69
Total Tenaga Pendidik : 9</t>
    </r>
    <r>
      <rPr>
        <rFont val="Calibri"/>
        <color rgb="FF000000"/>
        <sz val="11.0"/>
      </rPr>
      <t xml:space="preserve">
</t>
    </r>
  </si>
  <si>
    <r>
      <rPr>
        <rFont val="Calibri"/>
        <color rgb="FF000000"/>
        <sz val="11.0"/>
      </rPr>
      <t xml:space="preserve">1. SMPN 06 Cimarga 1 : 96
2. SMPN 06 Cimarga 2 : 96
</t>
    </r>
    <r>
      <rPr>
        <rFont val="Calibri"/>
        <b/>
        <color rgb="FF000000"/>
        <sz val="11.0"/>
      </rPr>
      <t>Total Siswa : 192
Total Guru : 20</t>
    </r>
  </si>
  <si>
    <r>
      <rPr>
        <rFont val="Calibri"/>
        <color rgb="FF000000"/>
        <sz val="11.0"/>
      </rPr>
      <t xml:space="preserve">1. Ibu Hamil Desa Tambak : 51
2. Ibu Hamil Desa Calungbungur : 7
3. Ibu Hamil Desa Sangiangjaya : 44
4. Ibu Hamil Desa Sindangsari : 15
5. Ibu Hamil Desa Margaluyu : 7
</t>
    </r>
    <r>
      <rPr>
        <rFont val="Calibri"/>
        <b/>
        <color rgb="FF000000"/>
        <sz val="11.0"/>
      </rPr>
      <t>Total Ibu Hamil : 124</t>
    </r>
  </si>
  <si>
    <r>
      <rPr>
        <rFont val="Calibri"/>
        <color rgb="FF000000"/>
        <sz val="11.0"/>
      </rPr>
      <t xml:space="preserve">1. Ibu Menyusui Desa Tambak : 96
2. Ibu Menyusui Desa Calungbungur : 28
3. Ibu Menyusui Desa Sangiangjaya : 109
4. Ibu Menyusui Desa Sindangsari : 37
5. Ibu Menyusui Desa Margaluyu : 15
</t>
    </r>
    <r>
      <rPr>
        <rFont val="Calibri"/>
        <b/>
        <color rgb="FF000000"/>
        <sz val="11.0"/>
      </rPr>
      <t>Total Ibu Menyusui : 285</t>
    </r>
  </si>
  <si>
    <r>
      <rPr>
        <rFont val="Calibri"/>
        <color rgb="FF000000"/>
        <sz val="11.0"/>
      </rPr>
      <t xml:space="preserve">1. Balita Desa Tambak : 317
2. Balita Desa Calungbungur : 84
3. Balita Desa Sangiangjaya : 259
4. Balita Desa Sindangsari : 112
5. Balita Desa Margaluyu : 90
</t>
    </r>
    <r>
      <rPr>
        <rFont val="Calibri"/>
        <b/>
        <color rgb="FF000000"/>
        <sz val="11.0"/>
      </rPr>
      <t>Total Balita : 862</t>
    </r>
  </si>
  <si>
    <r>
      <rPr>
        <rFont val="Calibri"/>
        <color rgb="FF000000"/>
        <sz val="11.0"/>
      </rPr>
      <t xml:space="preserve">1. Ponpes Tahfidz : 57
2. Ponpes Riadul Mutakfirin : 4
3. Ponpes Al-Hasanah : 16
4. Ponpes Al-Inaytul Falah : 16
5. Ponpes Nurul Fatih : 24
</t>
    </r>
    <r>
      <rPr>
        <rFont val="Calibri"/>
        <b/>
        <color rgb="FF000000"/>
        <sz val="11.0"/>
      </rPr>
      <t>Total Santri : 117
Total Guru : 15</t>
    </r>
  </si>
  <si>
    <r>
      <rPr>
        <rFont val="Calibri"/>
        <color rgb="FF000000"/>
        <sz val="11.0"/>
      </rPr>
      <t xml:space="preserve">1. ATS Desa Sangiangjaya : 47
2. ATS Desa Sindangsari : 29
3. ATS Desa Margaluyu : 51
</t>
    </r>
    <r>
      <rPr>
        <rFont val="Calibri"/>
        <b/>
        <color rgb="FF000000"/>
        <sz val="11.0"/>
      </rPr>
      <t>Total ATS : 127</t>
    </r>
  </si>
  <si>
    <t>MEKARMULYA</t>
  </si>
  <si>
    <t>SPPG Lebak Cimarga Mekarmulya</t>
  </si>
  <si>
    <t>HJVGETAJ</t>
  </si>
  <si>
    <t>Yayasan Cipta Bangsa Sejahtera</t>
  </si>
  <si>
    <t>Kampung Kaduguling Desa Mekarmulya, Kecamatan Cimarga, Kabupaten Lebak, Banten</t>
  </si>
  <si>
    <t>Senin, 26 Januari 2026</t>
  </si>
  <si>
    <t>Wiliiam Sahata Gokmauli Pasaribu</t>
  </si>
  <si>
    <t>TK Raudhatul Falah: 27</t>
  </si>
  <si>
    <t>1. RA Al Farizi Jahe: 29
2. RA Mathla’ul Anwar: 27
3. RA Al Farizi Nagrog: 15
4. RA Mursyidatul Jannah: 24</t>
  </si>
  <si>
    <t>Paud Bagas Mandiri: 43</t>
  </si>
  <si>
    <t>1. SDN 2 Margaluyu: 163
2. SDN 1 Mekarmulya: 304 
3. SDN 2 Mekarmulya: 303
4. SDN 3 Margajaya: 111</t>
  </si>
  <si>
    <t>SMPN 7 Atap Cimarga: 164</t>
  </si>
  <si>
    <t>SMK Raudhatul Falah: 43</t>
  </si>
  <si>
    <t>1. Posyandu Anggrek (Margamulya): 13
2. Posyandu Mekar Maju: 8
3. Posyandu Mawar putih: 7
4. Posyandu Aster: 4
5. Posyandu Bunga Mekar: 1
6. Posyandu Anggrek (Jampang): 6
7. Posyandu Tunas Mekar: 5
8. Posyandu Rimba Jaya: 17
9. Posyandu Melati Mekar: 23
10 Posyandu Mawar: 6
11.Posyandu Mawar Merah: 1</t>
  </si>
  <si>
    <t>1. Posyandu Anggrek (Margamulya): 4
2. Posyandu Mekar Maju: 8
3. Posyandu Mawar Putih: 8
4. Posyandu Aster: 3
5. Posyandu Bunga Mekar: 1
6. Posyandu Anggrek (Jampang): 4
7. Posyandu Tunas Mekar: 6
8. Posyandu Rimba Jaya: 11
9. Posyandu Melati Mekar: 13
10 Posyandu Mawar: 5
11.Posyandu Mawar Merah: 7</t>
  </si>
  <si>
    <t xml:space="preserve">1. Posyandu Anggrek (Margamulya): 69 
2. Posyandu Mekar Maju: 112
3. Posyandu Mawar Putih: 95 
4. Posyandu Aster: 70
5. Posyandu Bunga Mekar: 39 
6. Posyandu Anggrek (Jampang): 60 
7. Posyandu Tunas Mekar: 52
8. Posyandu Rimba Jaya: 141
9. Posyandu Melati Mekar: 209 
10 Posyandu Mawar: 66
11.Posyandu Mawar Merah: 68
</t>
  </si>
  <si>
    <t>SPPG LEBAK CIMARGA MARGAJAYA 2</t>
  </si>
  <si>
    <t>ZCFNCPYV</t>
  </si>
  <si>
    <t>Jln Raya Leuwidamar KM 8 Kp. Cimarga Rt.001/Rw.003 Desa Margajaya Kec. Cimarga. Lebak - Banten</t>
  </si>
  <si>
    <t>Kamis, 22 Januari 2026</t>
  </si>
  <si>
    <t xml:space="preserve">ABDUL KHAIRI </t>
  </si>
  <si>
    <t>1. TK PGRI 2 CIMARGA : 45</t>
  </si>
  <si>
    <t xml:space="preserve">1. RA Darussalam :21  </t>
  </si>
  <si>
    <t>1. SDN 2 KARYAJAYA : 329 
2. SDN 1 MEKARJAYA : 585
3. SDI DARUSAADAH : 21
4. MI DARUL FALAH : 173</t>
  </si>
  <si>
    <t>1. SMPS BINA BHAKTI CIMARGA : 142
2. MTs DARUSAADAH : 136
3. MTs NURUL ISLAM : 188
4. MTs DARUL MU'MININ : 44
5. MTs DARUL FALAH : 42</t>
  </si>
  <si>
    <t>1. MA DARUSAADAH : 58
2. SMA DARUSAADAH : 59
3. MA DARUL MU'MININ : 32</t>
  </si>
  <si>
    <t>1. DAHLIA : 2  
2. MELATI : 11
3. MAWAR : 3 
4. NANAS : 11
5. DUKUH : 9</t>
  </si>
  <si>
    <t xml:space="preserve">1. DAHLIA : 6
2. MELATI : 6
3. MAWAR : 11
4. NANAS : 16
5. DUKUH : 11
</t>
  </si>
  <si>
    <t>1. DAHLIA : 32
2. MELATI : 44
3. MAWAR : 40
4. NANAS : 75
5. DUKUH : 126</t>
  </si>
  <si>
    <t>JAYASARI</t>
  </si>
  <si>
    <t>SPPG Lebak Cimarga Jayasari</t>
  </si>
  <si>
    <t>XJTTUL3C</t>
  </si>
  <si>
    <t>Kampung Rancagede Rt. 002 Rw. 009 Desa Jayasari, Kec. Cimarga, Kab. Lebak, Banten</t>
  </si>
  <si>
    <t>BAGIA WICAKSANA</t>
  </si>
  <si>
    <t xml:space="preserve">1. Ra Khoirul Anam : 38
2. Paud Daarul Azhar : 25
</t>
  </si>
  <si>
    <t>1. SDN  1 JAYASARI INDUK : 163
2. SDN JAYASARI FILIAL : 96
3. MIS DARUL HIKAM : 68
4. SDN SARAGENI: 316
5. MIS MIFTAHUL ULUM: 91</t>
  </si>
  <si>
    <t xml:space="preserve">1. MTS Darul Hikam : 29 
2. SMPN 3 CIMARGA: 262
</t>
  </si>
  <si>
    <t>1. SMK ANWARUL ULUM : 44</t>
  </si>
  <si>
    <t xml:space="preserve">3. Posyandu Mawar putih: 7 </t>
  </si>
  <si>
    <t>SPPG Lebak Cimarga Gununganten 3</t>
  </si>
  <si>
    <t>JXCYNGWU</t>
  </si>
  <si>
    <t>Kampung Baru Padasuka Rt 16 Rw 04 Desa Gununganten, Kec. Cimarga, Kab Lebak, Banten</t>
  </si>
  <si>
    <t>Yolantus Junedi Nompa</t>
  </si>
  <si>
    <t>1. KB. Guna Bakti : 45</t>
  </si>
  <si>
    <t>RA Al Hijaz : 35</t>
  </si>
  <si>
    <t>1. PAUD DAARUL AZHAR : 55</t>
  </si>
  <si>
    <t>1. SDN 1 GUNUNGANTEN : 278                    2.SDN 2 MARGATIRTA  :  232                                3.SDN 1 KARYAJAYA : 246</t>
  </si>
  <si>
    <t>1. MTS Anwarul Ulum : 67
2. SMPN 4 Cimarga : 289.                                 3. MTS AL HIJAZ : 91</t>
  </si>
  <si>
    <t>1.SMK ANWARUL ULUM : 44 2.SMK AL HIJAZ : 18</t>
  </si>
  <si>
    <t>1. POSYANDU JAMBU : 6.               2.POSYANDU BELIMBING : 8                             3. POSYANDU  MANGGIS : 5.                             4.POSYANDU  MELATI : 13                                  5. POSYANDU KEJORA : 7                                    6.POSYANDU MAWAR : 11.                                7. POSYANDU MELATI 2 : 8.                               8..POSYANDU MATAHARI : 4.                             9.POSYANDU MELATI 1 : 4</t>
  </si>
  <si>
    <t>1. POSYANDU JAMBU : 1                                         2. POSYANDU BELIMBING : 7.                               3.  POSYANDU MANGGIS : 2.                                 4.POSYANDU MELATI :16.                                  5.POSYANDU KEJORA : 6                                            6.POSYANDU MAWAR : 11                                      7.POSYANDU MELATI 2 : 23.                                   8.POSYANDU MATAHARI : 13.                                  9.POSYANDU MELATI 1 : 6</t>
  </si>
  <si>
    <t>1.POSYANDU JAMBU :63.                                     2. POSYANDU BELIMBING : 66                              3. POSYANDU MANGGIS : 58.                             4. POSYANDU MELATI : 120                                 5. POSYANDU KEJORA : 41.                                     6. POSYANDU MAWAR : 29                                 7. POSYANDU MELATII 2: 78                                8. POSYANDU MATAHARI : 41                              9. POSYANDU MELATI 1 : 32</t>
  </si>
  <si>
    <t>SPPG Lebak Cimarga Sudamanik 2</t>
  </si>
  <si>
    <t>JMXGDSJE</t>
  </si>
  <si>
    <t>Kampung Bojong Barang RT 002/ RW 001, Desa Sudamanik, Kec. Cimarga, Kab. Lebak, Banten</t>
  </si>
  <si>
    <t>DELSIANA MALO</t>
  </si>
  <si>
    <t>081243525396</t>
  </si>
  <si>
    <t>5. Posyandu Bunga Mekar: 1</t>
  </si>
  <si>
    <t>6. Posyandu Anggrek (Jampang): 5</t>
  </si>
  <si>
    <t>7. Posyandu Tunas Mekar: 6</t>
  </si>
  <si>
    <t>8. Posyandu Rimba Jaya: 13</t>
  </si>
  <si>
    <t>9. Posyandu Melati Mekar: 19</t>
  </si>
  <si>
    <t>10 Posyandu Mawar: 5</t>
  </si>
  <si>
    <t>11.Posyandu Mawar Merah: 4</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</si>
</sst>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m yyyy"/>
    <numFmt numFmtId="165" formatCode="d mmmm yyyy"/>
    <numFmt numFmtId="166" formatCode="dd mmmm yyyy"/>
    <numFmt numFmtId="167" formatCode="081350004042"/>
    <numFmt numFmtId="168" formatCode="dd-mm-yyyy"/>
    <numFmt numFmtId="169" formatCode="[$Rp-421]#,##0.00"/>
    <numFmt numFmtId="170" formatCode="mm/dd/yyyy"/>
    <numFmt numFmtId="171" formatCode="d/m/yyyy"/>
    <numFmt numFmtId="172" formatCode="dd/mm/yyyy"/>
  </numFmts>
  <fonts count="33">
    <font>
      <sz val="11.0"/>
      <color rgb="FF000000"/>
      <name val="Calibri"/>
      <scheme val="minor"/>
    </font>
    <font>
      <sz val="9.0"/>
      <color rgb="FF000000"/>
      <name val="Calibri"/>
    </font>
    <font>
      <sz val="11.0"/>
      <color rgb="FF000000"/>
      <name val="Calibri"/>
    </font>
    <font>
      <b/>
      <sz val="12.0"/>
      <color rgb="FF000000"/>
      <name val="Calibri"/>
    </font>
    <font>
      <sz val="11.0"/>
      <color rgb="FFFFFFFF"/>
      <name val="Calibri"/>
    </font>
    <font>
      <b/>
      <sz val="11.0"/>
      <color rgb="FF000000"/>
      <name val="Calibri"/>
    </font>
    <font>
      <sz val="10.0"/>
      <color rgb="FF000000"/>
      <name val="Calibri"/>
    </font>
    <font>
      <sz val="8.0"/>
      <color rgb="FF000000"/>
      <name val="Calibri"/>
    </font>
    <font>
      <sz val="10.0"/>
      <color rgb="FF071437"/>
      <name val="Arial"/>
    </font>
    <font>
      <sz val="9.0"/>
      <color rgb="FF000000"/>
      <name val="Inter"/>
    </font>
    <font>
      <color theme="1"/>
      <name val="Calibri"/>
      <scheme val="minor"/>
    </font>
    <font>
      <b/>
      <strike/>
      <sz val="11.0"/>
      <color rgb="FF000000"/>
      <name val="Calibri"/>
    </font>
    <font>
      <sz val="11.0"/>
      <color rgb="FF071437"/>
      <name val="Inter"/>
    </font>
    <font>
      <sz val="11.0"/>
      <color rgb="FF071437"/>
      <name val="Cambria"/>
    </font>
    <font>
      <sz val="11.0"/>
      <color rgb="FF52525B"/>
      <name val="Inter"/>
    </font>
    <font>
      <sz val="11.0"/>
      <color rgb="FF141414"/>
      <name val="Inter"/>
    </font>
    <font>
      <sz val="12.0"/>
      <color rgb="FF000000"/>
      <name val="Calibri"/>
    </font>
    <font/>
    <font>
      <sz val="14.0"/>
      <color rgb="FF141414"/>
      <name val="Inter"/>
    </font>
    <font>
      <sz val="11.0"/>
      <color rgb="FF000000"/>
      <name val="Arial"/>
    </font>
    <font>
      <sz val="11.0"/>
      <color rgb="FF000000"/>
      <name val="&quot;Aptos Narrow&quot;"/>
    </font>
    <font>
      <b/>
      <sz val="13.0"/>
      <color rgb="FF697A8D"/>
      <name val="Public Sans"/>
    </font>
    <font>
      <sz val="11.0"/>
      <color rgb="FF000000"/>
      <name val="Times New Roman"/>
    </font>
    <font>
      <sz val="9.0"/>
      <color rgb="FF071437"/>
      <name val="Inter"/>
    </font>
    <font>
      <sz val="12.0"/>
      <color rgb="FF000000"/>
      <name val="Times New Roman"/>
    </font>
    <font>
      <color rgb="FF071437"/>
      <name val="Inter"/>
    </font>
    <font>
      <i/>
      <sz val="10.0"/>
      <color rgb="FF000000"/>
      <name val="Times New Roman"/>
    </font>
    <font>
      <i/>
      <sz val="9.0"/>
      <color rgb="FF000000"/>
      <name val="Times New Roman"/>
    </font>
    <font>
      <i/>
      <sz val="11.0"/>
      <color rgb="FF000000"/>
      <name val="Times New Roman"/>
    </font>
    <font>
      <sz val="11.0"/>
      <color rgb="FF697A8D"/>
      <name val="Public Sans"/>
    </font>
    <font>
      <sz val="13.0"/>
      <color rgb="FF697A8D"/>
      <name val="Public Sans"/>
    </font>
    <font>
      <sz val="11.0"/>
      <color theme="1"/>
      <name val="Calibri"/>
    </font>
    <font>
      <sz val="11.0"/>
      <color rgb="FF000000"/>
      <name val="Public Sans"/>
    </font>
  </fonts>
  <fills count="9">
    <fill>
      <patternFill patternType="none"/>
    </fill>
    <fill>
      <patternFill patternType="lightGray"/>
    </fill>
    <fill>
      <patternFill patternType="solid">
        <fgColor rgb="FF4472C4"/>
        <bgColor rgb="FF4472C4"/>
      </patternFill>
    </fill>
    <fill>
      <patternFill patternType="solid">
        <fgColor rgb="FFB7E1CD"/>
        <bgColor rgb="FFB7E1CD"/>
      </patternFill>
    </fill>
    <fill>
      <patternFill patternType="solid">
        <fgColor rgb="FFD9E2F3"/>
        <bgColor rgb="FFD9E2F3"/>
      </patternFill>
    </fill>
    <fill>
      <patternFill patternType="solid">
        <fgColor rgb="FFFFFFFF"/>
        <bgColor rgb="FFFFFFFF"/>
      </patternFill>
    </fill>
    <fill>
      <patternFill patternType="solid">
        <fgColor rgb="FFF6F8F9"/>
        <bgColor rgb="FFF6F8F9"/>
      </patternFill>
    </fill>
    <fill>
      <patternFill patternType="solid">
        <fgColor rgb="FFCFE2F3"/>
        <bgColor rgb="FFCFE2F3"/>
      </patternFill>
    </fill>
    <fill>
      <patternFill patternType="solid">
        <fgColor rgb="FF00FF00"/>
        <bgColor rgb="FF00FF00"/>
      </patternFill>
    </fill>
  </fills>
  <borders count="15">
    <border/>
    <border>
      <left/>
      <right/>
      <top/>
      <bottom/>
    </border>
    <border>
      <left style="thin">
        <color rgb="FF000000"/>
      </left>
      <right style="thin">
        <color rgb="FF000000"/>
      </right>
      <top style="thin">
        <color rgb="FF000000"/>
      </top>
      <bottom style="thin">
        <color rgb="FF000000"/>
      </bottom>
    </border>
    <border>
      <left/>
      <right/>
      <top/>
    </border>
    <border>
      <left/>
      <right/>
    </border>
    <border>
      <left/>
      <right/>
      <bottom/>
    </border>
    <border>
      <left/>
      <top/>
    </border>
    <border>
      <right/>
      <top/>
    </border>
    <border>
      <left/>
    </border>
    <border>
      <right/>
    </border>
    <border>
      <left/>
      <bottom/>
    </border>
    <border>
      <right/>
      <bottom/>
    </border>
    <border>
      <left style="thin">
        <color rgb="FF505050"/>
      </left>
      <right style="thin">
        <color rgb="FF505050"/>
      </right>
      <top style="thin">
        <color rgb="FF505050"/>
      </top>
      <bottom style="thin">
        <color rgb="FF50505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s>
  <cellStyleXfs count="1">
    <xf borderId="0" fillId="0" fontId="0" numFmtId="0" applyAlignment="1" applyFont="1"/>
  </cellStyleXfs>
  <cellXfs count="275">
    <xf borderId="0" fillId="0" fontId="0" numFmtId="0" xfId="0" applyAlignment="1" applyFont="1">
      <alignment readingOrder="0" shrinkToFit="0" vertical="center" wrapText="0"/>
    </xf>
    <xf borderId="0" fillId="0" fontId="1" numFmtId="0" xfId="0" applyAlignment="1" applyFont="1">
      <alignment readingOrder="0" vertical="bottom"/>
    </xf>
    <xf borderId="0" fillId="0" fontId="2" numFmtId="0" xfId="0" applyAlignment="1" applyFont="1">
      <alignment horizontal="left" vertical="bottom"/>
    </xf>
    <xf borderId="0" fillId="0" fontId="2" numFmtId="0" xfId="0" applyAlignment="1" applyFont="1">
      <alignment horizontal="center" vertical="bottom"/>
    </xf>
    <xf borderId="0" fillId="0" fontId="3" numFmtId="0" xfId="0" applyAlignment="1" applyFont="1">
      <alignment horizontal="left" vertical="top"/>
    </xf>
    <xf borderId="0" fillId="0" fontId="3" numFmtId="0" xfId="0" applyAlignment="1" applyFont="1">
      <alignment horizontal="left" vertical="center"/>
    </xf>
    <xf borderId="1" fillId="2" fontId="4" numFmtId="0" xfId="0" applyAlignment="1" applyBorder="1" applyFill="1" applyFont="1">
      <alignment horizontal="center" shrinkToFit="0" vertical="center" wrapText="1"/>
    </xf>
    <xf borderId="1" fillId="2" fontId="4" numFmtId="0" xfId="0" applyAlignment="1" applyBorder="1" applyFont="1">
      <alignment horizontal="left" shrinkToFit="0" vertical="center" wrapText="1"/>
    </xf>
    <xf borderId="2" fillId="3" fontId="5" numFmtId="0" xfId="0" applyAlignment="1" applyBorder="1" applyFill="1" applyFont="1">
      <alignment horizontal="center" shrinkToFit="0" vertical="bottom" wrapText="1"/>
    </xf>
    <xf borderId="1" fillId="4" fontId="2" numFmtId="0" xfId="0" applyAlignment="1" applyBorder="1" applyFill="1" applyFont="1">
      <alignment horizontal="left" shrinkToFit="0" vertical="center" wrapText="1"/>
    </xf>
    <xf borderId="1" fillId="4" fontId="2" numFmtId="0" xfId="0" applyAlignment="1" applyBorder="1" applyFont="1">
      <alignment vertical="center"/>
    </xf>
    <xf borderId="1" fillId="4" fontId="2" numFmtId="0" xfId="0" applyAlignment="1" applyBorder="1" applyFont="1">
      <alignment horizontal="center" shrinkToFit="0" vertical="center" wrapText="1"/>
    </xf>
    <xf borderId="1" fillId="4" fontId="2" numFmtId="164" xfId="0" applyAlignment="1" applyBorder="1" applyFont="1" applyNumberFormat="1">
      <alignment horizontal="center" shrinkToFit="0" vertical="center" wrapText="1"/>
    </xf>
    <xf borderId="1" fillId="5" fontId="2" numFmtId="0" xfId="0" applyAlignment="1" applyBorder="1" applyFill="1" applyFont="1">
      <alignment horizontal="left" shrinkToFit="0" vertical="center" wrapText="1"/>
    </xf>
    <xf borderId="1" fillId="5" fontId="2" numFmtId="0" xfId="0" applyAlignment="1" applyBorder="1" applyFont="1">
      <alignment horizontal="center" shrinkToFit="0" vertical="center" wrapText="1"/>
    </xf>
    <xf borderId="1" fillId="5" fontId="2" numFmtId="0" xfId="0" applyAlignment="1" applyBorder="1" applyFont="1">
      <alignment horizontal="left" vertical="center"/>
    </xf>
    <xf borderId="1" fillId="5" fontId="2" numFmtId="164" xfId="0" applyAlignment="1" applyBorder="1" applyFont="1" applyNumberFormat="1">
      <alignment horizontal="center" shrinkToFit="0" vertical="center" wrapText="1"/>
    </xf>
    <xf borderId="1" fillId="5" fontId="2" numFmtId="3" xfId="0" applyAlignment="1" applyBorder="1" applyFont="1" applyNumberFormat="1">
      <alignment horizontal="left" shrinkToFit="0" vertical="center" wrapText="1"/>
    </xf>
    <xf quotePrefix="1" borderId="1" fillId="4" fontId="2" numFmtId="0" xfId="0" applyAlignment="1" applyBorder="1" applyFont="1">
      <alignment horizontal="center" vertical="center"/>
    </xf>
    <xf quotePrefix="1" borderId="1" fillId="4" fontId="2" numFmtId="0" xfId="0" applyAlignment="1" applyBorder="1" applyFont="1">
      <alignment horizontal="center" shrinkToFit="0" vertical="center" wrapText="1"/>
    </xf>
    <xf borderId="1" fillId="4" fontId="6" numFmtId="0" xfId="0" applyAlignment="1" applyBorder="1" applyFont="1">
      <alignment horizontal="left" shrinkToFit="0" vertical="center" wrapText="1"/>
    </xf>
    <xf borderId="1" fillId="4" fontId="7" numFmtId="0" xfId="0" applyAlignment="1" applyBorder="1" applyFont="1">
      <alignment horizontal="left" shrinkToFit="0" vertical="center" wrapText="1"/>
    </xf>
    <xf borderId="1" fillId="4" fontId="2" numFmtId="3" xfId="0" applyAlignment="1" applyBorder="1" applyFont="1" applyNumberFormat="1">
      <alignment horizontal="left" shrinkToFit="0" vertical="center" wrapText="1"/>
    </xf>
    <xf borderId="1" fillId="4" fontId="2" numFmtId="0" xfId="0" applyAlignment="1" applyBorder="1" applyFont="1">
      <alignment horizontal="center" vertical="center"/>
    </xf>
    <xf borderId="1" fillId="4" fontId="2" numFmtId="0" xfId="0" applyAlignment="1" applyBorder="1" applyFont="1">
      <alignment horizontal="left" vertical="center"/>
    </xf>
    <xf borderId="1" fillId="4" fontId="2" numFmtId="0" xfId="0" applyAlignment="1" applyBorder="1" applyFont="1">
      <alignment vertical="bottom"/>
    </xf>
    <xf borderId="1" fillId="5" fontId="2" numFmtId="0" xfId="0" applyAlignment="1" applyBorder="1" applyFont="1">
      <alignment vertical="bottom"/>
    </xf>
    <xf borderId="1" fillId="4" fontId="8" numFmtId="3" xfId="0" applyAlignment="1" applyBorder="1" applyFont="1" applyNumberFormat="1">
      <alignment horizontal="left" vertical="bottom"/>
    </xf>
    <xf borderId="1" fillId="4" fontId="2" numFmtId="165" xfId="0" applyAlignment="1" applyBorder="1" applyFont="1" applyNumberFormat="1">
      <alignment horizontal="center" vertical="center"/>
    </xf>
    <xf borderId="1" fillId="4" fontId="8" numFmtId="0" xfId="0" applyAlignment="1" applyBorder="1" applyFont="1">
      <alignment horizontal="left" vertical="bottom"/>
    </xf>
    <xf borderId="1" fillId="5" fontId="2" numFmtId="0" xfId="0" applyAlignment="1" applyBorder="1" applyFont="1">
      <alignment horizontal="center" vertical="center"/>
    </xf>
    <xf borderId="1" fillId="5" fontId="2" numFmtId="0" xfId="0" applyAlignment="1" applyBorder="1" applyFont="1">
      <alignment horizontal="center" vertical="bottom"/>
    </xf>
    <xf borderId="1" fillId="5" fontId="2" numFmtId="0" xfId="0" applyAlignment="1" applyBorder="1" applyFont="1">
      <alignment horizontal="left" vertical="bottom"/>
    </xf>
    <xf borderId="1" fillId="5" fontId="8" numFmtId="0" xfId="0" applyAlignment="1" applyBorder="1" applyFont="1">
      <alignment horizontal="left" vertical="bottom"/>
    </xf>
    <xf borderId="1" fillId="4" fontId="2" numFmtId="0" xfId="0" applyAlignment="1" applyBorder="1" applyFont="1">
      <alignment horizontal="center" vertical="bottom"/>
    </xf>
    <xf quotePrefix="1" borderId="1" fillId="4" fontId="2" numFmtId="0" xfId="0" applyAlignment="1" applyBorder="1" applyFont="1">
      <alignment vertical="bottom"/>
    </xf>
    <xf borderId="1" fillId="5" fontId="2" numFmtId="0" xfId="0" applyAlignment="1" applyBorder="1" applyFont="1">
      <alignment vertical="center"/>
    </xf>
    <xf borderId="1" fillId="6" fontId="2" numFmtId="0" xfId="0" applyAlignment="1" applyBorder="1" applyFill="1" applyFont="1">
      <alignment vertical="bottom"/>
    </xf>
    <xf borderId="1" fillId="6" fontId="8" numFmtId="0" xfId="0" applyAlignment="1" applyBorder="1" applyFont="1">
      <alignment horizontal="left" vertical="bottom"/>
    </xf>
    <xf borderId="1" fillId="6" fontId="2" numFmtId="0" xfId="0" applyAlignment="1" applyBorder="1" applyFont="1">
      <alignment horizontal="left" shrinkToFit="0" vertical="center" wrapText="1"/>
    </xf>
    <xf borderId="1" fillId="6" fontId="2" numFmtId="0" xfId="0" applyAlignment="1" applyBorder="1" applyFont="1">
      <alignment horizontal="center" shrinkToFit="0" vertical="center" wrapText="1"/>
    </xf>
    <xf borderId="1" fillId="7" fontId="2" numFmtId="0" xfId="0" applyAlignment="1" applyBorder="1" applyFill="1" applyFont="1">
      <alignment horizontal="center" vertical="bottom"/>
    </xf>
    <xf borderId="1" fillId="7" fontId="2" numFmtId="0" xfId="0" applyAlignment="1" applyBorder="1" applyFont="1">
      <alignment horizontal="left" readingOrder="0" vertical="bottom"/>
    </xf>
    <xf borderId="1" fillId="7" fontId="2" numFmtId="0" xfId="0" applyAlignment="1" applyBorder="1" applyFont="1">
      <alignment readingOrder="0" vertical="bottom"/>
    </xf>
    <xf borderId="1" fillId="7" fontId="2" numFmtId="0" xfId="0" applyAlignment="1" applyBorder="1" applyFont="1">
      <alignment horizontal="center" readingOrder="0" vertical="bottom"/>
    </xf>
    <xf borderId="0" fillId="0" fontId="2" numFmtId="0" xfId="0" applyAlignment="1" applyFont="1">
      <alignment readingOrder="0" vertical="bottom"/>
    </xf>
    <xf borderId="1" fillId="7" fontId="2" numFmtId="0" xfId="0" applyAlignment="1" applyBorder="1" applyFont="1">
      <alignment horizontal="left" readingOrder="0" vertical="center"/>
    </xf>
    <xf borderId="1" fillId="4" fontId="2" numFmtId="0" xfId="0" applyAlignment="1" applyBorder="1" applyFont="1">
      <alignment horizontal="left" readingOrder="0" shrinkToFit="0" vertical="center" wrapText="1"/>
    </xf>
    <xf borderId="1" fillId="7" fontId="2" numFmtId="0" xfId="0" applyAlignment="1" applyBorder="1" applyFont="1">
      <alignment horizontal="center" readingOrder="0" vertical="center"/>
    </xf>
    <xf borderId="1" fillId="7" fontId="2" numFmtId="0" xfId="0" applyAlignment="1" applyBorder="1" applyFont="1">
      <alignment readingOrder="0" vertical="center"/>
    </xf>
    <xf borderId="1" fillId="4" fontId="2" numFmtId="0" xfId="0" applyAlignment="1" applyBorder="1" applyFont="1">
      <alignment readingOrder="0" vertical="bottom"/>
    </xf>
    <xf borderId="1" fillId="4" fontId="2" numFmtId="0" xfId="0" applyAlignment="1" applyBorder="1" applyFont="1">
      <alignment horizontal="left" readingOrder="0" vertical="bottom"/>
    </xf>
    <xf borderId="1" fillId="4" fontId="2" numFmtId="4" xfId="0" applyAlignment="1" applyBorder="1" applyFont="1" applyNumberFormat="1">
      <alignment horizontal="left" readingOrder="0" vertical="bottom"/>
    </xf>
    <xf borderId="1" fillId="7" fontId="2" numFmtId="0" xfId="0" applyAlignment="1" applyBorder="1" applyFont="1">
      <alignment horizontal="left" vertical="bottom"/>
    </xf>
    <xf borderId="1" fillId="4" fontId="2" numFmtId="0" xfId="0" applyAlignment="1" applyBorder="1" applyFont="1">
      <alignment horizontal="center" shrinkToFit="0" vertical="bottom" wrapText="1"/>
    </xf>
    <xf borderId="1" fillId="4" fontId="2" numFmtId="0" xfId="0" applyAlignment="1" applyBorder="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5" numFmtId="0" xfId="0" applyAlignment="1" applyFont="1">
      <alignment horizontal="left" vertical="bottom"/>
    </xf>
    <xf borderId="1" fillId="4" fontId="2" numFmtId="0" xfId="0" applyAlignment="1" applyBorder="1" applyFont="1">
      <alignment horizontal="left" vertical="bottom"/>
    </xf>
    <xf borderId="1" fillId="7" fontId="2" numFmtId="0" xfId="0" applyAlignment="1" applyBorder="1" applyFont="1">
      <alignment vertical="bottom"/>
    </xf>
    <xf borderId="1" fillId="4" fontId="2" numFmtId="0" xfId="0" applyAlignment="1" applyBorder="1" applyFont="1">
      <alignment horizontal="center" readingOrder="0" shrinkToFit="0" vertical="bottom" wrapText="1"/>
    </xf>
    <xf borderId="0" fillId="0" fontId="2" numFmtId="0" xfId="0" applyAlignment="1" applyFont="1">
      <alignment vertical="bottom"/>
    </xf>
    <xf borderId="0" fillId="0" fontId="3" numFmtId="0" xfId="0" applyAlignment="1" applyFont="1">
      <alignment horizontal="center" vertical="top"/>
    </xf>
    <xf borderId="0" fillId="0" fontId="3" numFmtId="0" xfId="0" applyAlignment="1" applyFont="1">
      <alignment horizontal="center" vertical="center"/>
    </xf>
    <xf borderId="0" fillId="0" fontId="4" numFmtId="0" xfId="0" applyAlignment="1" applyFont="1">
      <alignment horizontal="center" shrinkToFit="0" vertical="center" wrapText="1"/>
    </xf>
    <xf borderId="2" fillId="3" fontId="5" numFmtId="0" xfId="0" applyAlignment="1" applyBorder="1" applyFont="1">
      <alignment horizontal="center" shrinkToFit="0" vertical="bottom" wrapText="1"/>
    </xf>
    <xf borderId="0" fillId="0" fontId="2" numFmtId="0" xfId="0" applyAlignment="1" applyFont="1">
      <alignment horizontal="left" shrinkToFit="0" vertical="center" wrapText="1"/>
    </xf>
    <xf borderId="0" fillId="0" fontId="2" numFmtId="0" xfId="0" applyAlignment="1" applyFont="1">
      <alignment horizontal="center" shrinkToFit="0" vertical="center" wrapText="1"/>
    </xf>
    <xf borderId="0" fillId="0" fontId="2" numFmtId="0" xfId="0" applyAlignment="1" applyFont="1">
      <alignment horizontal="left" vertical="bottom"/>
    </xf>
    <xf borderId="0" fillId="0" fontId="2" numFmtId="0" xfId="0" applyAlignment="1" applyFont="1">
      <alignment vertical="center"/>
    </xf>
    <xf borderId="2" fillId="5" fontId="2" numFmtId="0" xfId="0" applyAlignment="1" applyBorder="1" applyFont="1">
      <alignment horizontal="left" shrinkToFit="0" vertical="center" wrapText="1"/>
    </xf>
    <xf quotePrefix="1" borderId="2" fillId="5" fontId="2" numFmtId="0" xfId="0" applyAlignment="1" applyBorder="1" applyFont="1">
      <alignment horizontal="left" vertical="center"/>
    </xf>
    <xf borderId="0" fillId="0" fontId="2" numFmtId="0" xfId="0" applyAlignment="1" applyFont="1">
      <alignment vertical="bottom"/>
    </xf>
    <xf borderId="0" fillId="0" fontId="5" numFmtId="0" xfId="0" applyAlignment="1" applyFont="1">
      <alignment horizontal="center" shrinkToFit="0" vertical="center" wrapText="1"/>
    </xf>
    <xf borderId="0" fillId="0" fontId="2" numFmtId="166"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1" fillId="5" fontId="9" numFmtId="0" xfId="0" applyAlignment="1" applyBorder="1" applyFont="1">
      <alignment horizontal="left" vertical="bottom"/>
    </xf>
    <xf borderId="0" fillId="0" fontId="2" numFmtId="166" xfId="0" applyAlignment="1" applyFont="1" applyNumberFormat="1">
      <alignment horizontal="center" shrinkToFit="0" vertical="center" wrapText="1"/>
    </xf>
    <xf borderId="0" fillId="0" fontId="2" numFmtId="165" xfId="0" applyAlignment="1" applyFont="1" applyNumberFormat="1">
      <alignment horizontal="left" shrinkToFit="0" vertical="center" wrapText="1"/>
    </xf>
    <xf quotePrefix="1" borderId="0" fillId="0" fontId="2" numFmtId="0" xfId="0" applyAlignment="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horizontal="left" vertical="center"/>
    </xf>
    <xf borderId="0" fillId="0" fontId="10" numFmtId="0" xfId="0" applyAlignment="1" applyFont="1">
      <alignment vertical="center"/>
    </xf>
    <xf borderId="2" fillId="5" fontId="2" numFmtId="0" xfId="0" applyAlignment="1" applyBorder="1" applyFont="1">
      <alignment horizontal="left" vertical="center"/>
    </xf>
    <xf borderId="0" fillId="0" fontId="2" numFmtId="3" xfId="0" applyAlignment="1" applyFont="1" applyNumberFormat="1">
      <alignment horizontal="center" shrinkToFit="0" vertical="center" wrapText="1"/>
    </xf>
    <xf borderId="0" fillId="0" fontId="2" numFmtId="165" xfId="0" applyAlignment="1" applyFont="1" applyNumberFormat="1">
      <alignment horizontal="center" shrinkToFit="0" vertical="center" wrapText="1"/>
    </xf>
    <xf borderId="0" fillId="0" fontId="2" numFmtId="0" xfId="0" applyAlignment="1" applyFont="1">
      <alignment horizontal="center" vertical="bottom"/>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0" fillId="0" fontId="2" numFmtId="0" xfId="0" applyAlignment="1" applyFont="1">
      <alignment horizontal="left" readingOrder="0" shrinkToFit="0" vertical="center" wrapText="1"/>
    </xf>
    <xf borderId="2" fillId="5" fontId="2" numFmtId="0" xfId="0" applyAlignment="1" applyBorder="1" applyFont="1">
      <alignment horizontal="center" shrinkToFit="0" vertical="center" wrapText="1"/>
    </xf>
    <xf borderId="0" fillId="0" fontId="2" numFmtId="167" xfId="0" applyAlignment="1" applyFont="1" applyNumberFormat="1">
      <alignment horizontal="center" shrinkToFit="0" vertical="center" wrapText="1"/>
    </xf>
    <xf borderId="0" fillId="0" fontId="2" numFmtId="168" xfId="0" applyAlignment="1" applyFont="1" applyNumberFormat="1">
      <alignment horizontal="center" shrinkToFit="0" vertical="center" wrapText="1"/>
    </xf>
    <xf borderId="1" fillId="5" fontId="12" numFmtId="0" xfId="0" applyAlignment="1" applyBorder="1" applyFont="1">
      <alignment vertical="bottom"/>
    </xf>
    <xf borderId="1" fillId="5" fontId="2" numFmtId="0" xfId="0" applyAlignment="1" applyBorder="1" applyFont="1">
      <alignment horizontal="left" shrinkToFit="0" vertical="center" wrapText="1"/>
    </xf>
    <xf quotePrefix="1" borderId="1" fillId="5" fontId="2" numFmtId="0" xfId="0" applyAlignment="1" applyBorder="1" applyFont="1">
      <alignment horizontal="left" vertical="center"/>
    </xf>
    <xf borderId="0" fillId="0" fontId="6" numFmtId="0" xfId="0" applyAlignment="1" applyFont="1">
      <alignment horizontal="left" shrinkToFit="0" vertical="center" wrapText="1"/>
    </xf>
    <xf borderId="2" fillId="5" fontId="13" numFmtId="0" xfId="0" applyAlignment="1" applyBorder="1" applyFont="1">
      <alignment horizontal="center" vertical="center"/>
    </xf>
    <xf quotePrefix="1" borderId="0" fillId="0" fontId="2" numFmtId="0" xfId="0" applyAlignment="1" applyFont="1">
      <alignment horizontal="center" readingOrder="0" shrinkToFit="0" vertical="center" wrapText="1"/>
    </xf>
    <xf borderId="0" fillId="0" fontId="2" numFmtId="3" xfId="0" applyAlignment="1" applyFont="1" applyNumberFormat="1">
      <alignment horizontal="center" readingOrder="0" shrinkToFit="0" vertical="center" wrapText="1"/>
    </xf>
    <xf borderId="0" fillId="0" fontId="2" numFmtId="0" xfId="0" applyAlignment="1" applyFont="1">
      <alignment horizontal="left" vertical="top"/>
    </xf>
    <xf borderId="0" fillId="0" fontId="2" numFmtId="0" xfId="0" applyAlignment="1" applyFont="1">
      <alignment horizontal="left" shrinkToFit="0" vertical="top" wrapText="1"/>
    </xf>
    <xf borderId="1" fillId="5" fontId="14" numFmtId="0" xfId="0" applyAlignment="1" applyBorder="1" applyFont="1">
      <alignment horizontal="center" vertical="center"/>
    </xf>
    <xf borderId="0" fillId="0" fontId="2" numFmtId="0" xfId="0" applyAlignment="1" applyFont="1">
      <alignment horizontal="center" readingOrder="0" vertical="center"/>
    </xf>
    <xf quotePrefix="1" borderId="1" fillId="5" fontId="2" numFmtId="0" xfId="0" applyAlignment="1" applyBorder="1" applyFont="1">
      <alignment horizontal="center" vertical="center"/>
    </xf>
    <xf borderId="1" fillId="5" fontId="2" numFmtId="0" xfId="0" applyAlignment="1" applyBorder="1" applyFont="1">
      <alignment horizontal="center" shrinkToFit="0" vertical="center" wrapText="1"/>
    </xf>
    <xf borderId="0" fillId="0" fontId="2" numFmtId="0" xfId="0" applyAlignment="1" applyFont="1">
      <alignment horizontal="center" shrinkToFit="0" vertical="top" wrapText="1"/>
    </xf>
    <xf borderId="0" fillId="0" fontId="2" numFmtId="169" xfId="0" applyAlignment="1" applyFont="1" applyNumberFormat="1">
      <alignment horizontal="center" shrinkToFit="0" vertical="center" wrapText="1"/>
    </xf>
    <xf borderId="0" fillId="0" fontId="10" numFmtId="0" xfId="0" applyAlignment="1" applyFont="1">
      <alignment horizontal="left" vertical="center"/>
    </xf>
    <xf borderId="0" fillId="0" fontId="4" numFmtId="0" xfId="0" applyAlignment="1" applyFont="1">
      <alignment horizontal="left" shrinkToFit="0" vertical="center" wrapText="1"/>
    </xf>
    <xf borderId="0" fillId="0" fontId="2" numFmtId="170" xfId="0" applyAlignment="1" applyFont="1" applyNumberFormat="1">
      <alignment horizontal="center" shrinkToFit="0" vertical="center" wrapText="1"/>
    </xf>
    <xf borderId="0" fillId="0" fontId="2" numFmtId="171" xfId="0" applyAlignment="1" applyFont="1" applyNumberFormat="1">
      <alignment horizontal="left" shrinkToFit="0" vertical="center" wrapText="1"/>
    </xf>
    <xf borderId="0" fillId="0" fontId="2" numFmtId="172" xfId="0" applyAlignment="1" applyFont="1" applyNumberFormat="1">
      <alignment horizontal="center" shrinkToFit="0" vertical="center" wrapText="1"/>
    </xf>
    <xf borderId="1" fillId="5" fontId="12" numFmtId="0" xfId="0" applyAlignment="1" applyBorder="1" applyFont="1">
      <alignment horizontal="center" vertical="bottom"/>
    </xf>
    <xf borderId="0" fillId="0" fontId="2" numFmtId="166" xfId="0" applyAlignment="1" applyFont="1" applyNumberFormat="1">
      <alignment horizontal="left" shrinkToFit="0" vertical="center" wrapText="1"/>
    </xf>
    <xf borderId="2" fillId="5" fontId="2" numFmtId="0" xfId="0" applyAlignment="1" applyBorder="1" applyFont="1">
      <alignment horizontal="center" vertical="center"/>
    </xf>
    <xf borderId="0" fillId="0" fontId="2" numFmtId="49" xfId="0" applyAlignment="1" applyFont="1" applyNumberFormat="1">
      <alignment horizontal="center" shrinkToFit="0" vertical="center" wrapText="1"/>
    </xf>
    <xf borderId="2" fillId="3" fontId="5" numFmtId="0" xfId="0" applyAlignment="1" applyBorder="1" applyFont="1">
      <alignment horizontal="center" shrinkToFit="0" vertical="center" wrapText="1"/>
    </xf>
    <xf borderId="2" fillId="0" fontId="2" numFmtId="0" xfId="0" applyAlignment="1" applyBorder="1" applyFont="1">
      <alignment horizontal="left" shrinkToFit="0" vertical="center" wrapText="1"/>
    </xf>
    <xf quotePrefix="1" borderId="2" fillId="0" fontId="2" numFmtId="0" xfId="0" applyAlignment="1" applyBorder="1" applyFont="1">
      <alignment horizontal="left" shrinkToFit="0" vertical="center" wrapText="1"/>
    </xf>
    <xf borderId="2" fillId="0" fontId="2" numFmtId="0" xfId="0" applyAlignment="1" applyBorder="1" applyFont="1">
      <alignment horizontal="center" shrinkToFit="0" vertical="center" wrapText="1"/>
    </xf>
    <xf borderId="2" fillId="5" fontId="9" numFmtId="0" xfId="0" applyAlignment="1" applyBorder="1" applyFont="1">
      <alignment vertical="center"/>
    </xf>
    <xf quotePrefix="1" borderId="2" fillId="0" fontId="2" numFmtId="0" xfId="0" applyAlignment="1" applyBorder="1" applyFont="1">
      <alignment horizontal="center" shrinkToFit="0" vertical="center" wrapText="1"/>
    </xf>
    <xf borderId="2" fillId="0" fontId="2" numFmtId="0" xfId="0" applyAlignment="1" applyBorder="1" applyFont="1">
      <alignment horizontal="center" readingOrder="0" shrinkToFit="0" vertical="center" wrapText="1"/>
    </xf>
    <xf borderId="2" fillId="0" fontId="2" numFmtId="0" xfId="0" applyAlignment="1" applyBorder="1" applyFont="1">
      <alignment horizontal="center" shrinkToFit="0" vertical="bottom" wrapText="1"/>
    </xf>
    <xf borderId="2" fillId="0" fontId="2" numFmtId="166" xfId="0" applyAlignment="1" applyBorder="1" applyFont="1" applyNumberFormat="1">
      <alignment horizontal="center" shrinkToFit="0" vertical="center" wrapText="1"/>
    </xf>
    <xf borderId="2" fillId="0" fontId="2" numFmtId="0" xfId="0" applyAlignment="1" applyBorder="1" applyFont="1">
      <alignment horizontal="center" readingOrder="0" shrinkToFit="0" vertical="bottom" wrapText="1"/>
    </xf>
    <xf borderId="1" fillId="5" fontId="15" numFmtId="0" xfId="0" applyAlignment="1" applyBorder="1" applyFont="1">
      <alignment vertical="center"/>
    </xf>
    <xf borderId="2" fillId="0" fontId="10" numFmtId="0" xfId="0" applyAlignment="1" applyBorder="1" applyFont="1">
      <alignment readingOrder="0" vertical="center"/>
    </xf>
    <xf borderId="1" fillId="4" fontId="2" numFmtId="0" xfId="0" applyAlignment="1" applyBorder="1" applyFont="1">
      <alignment vertical="bottom"/>
    </xf>
    <xf borderId="1" fillId="5" fontId="2" numFmtId="0" xfId="0" applyAlignment="1" applyBorder="1" applyFont="1">
      <alignment vertical="bottom"/>
    </xf>
    <xf borderId="0" fillId="0" fontId="16" numFmtId="0" xfId="0" applyAlignment="1" applyFont="1">
      <alignment horizontal="center" shrinkToFit="0" vertical="center" wrapText="1"/>
    </xf>
    <xf borderId="1" fillId="7" fontId="2" numFmtId="0" xfId="0" applyAlignment="1" applyBorder="1" applyFont="1">
      <alignment horizontal="left" vertical="bottom"/>
    </xf>
    <xf borderId="1" fillId="7" fontId="2" numFmtId="0" xfId="0" applyAlignment="1" applyBorder="1" applyFont="1">
      <alignment vertical="bottom"/>
    </xf>
    <xf borderId="1" fillId="4" fontId="2" numFmtId="0" xfId="0" applyAlignment="1" applyBorder="1" applyFont="1">
      <alignment horizontal="left" shrinkToFit="0" vertical="center" wrapText="1"/>
    </xf>
    <xf borderId="1" fillId="4" fontId="2" numFmtId="0" xfId="0" applyAlignment="1" applyBorder="1" applyFont="1">
      <alignment horizontal="left" vertical="bottom"/>
    </xf>
    <xf borderId="0" fillId="0" fontId="3" numFmtId="0" xfId="0" applyAlignment="1" applyFont="1">
      <alignment horizontal="center" vertical="bottom"/>
    </xf>
    <xf borderId="1" fillId="5" fontId="2" numFmtId="0" xfId="0" applyAlignment="1" applyBorder="1" applyFont="1">
      <alignment readingOrder="0" vertical="bottom"/>
    </xf>
    <xf borderId="1" fillId="4" fontId="2" numFmtId="0" xfId="0" applyAlignment="1" applyBorder="1" applyFont="1">
      <alignment readingOrder="0" vertical="bottom"/>
    </xf>
    <xf borderId="0" fillId="0" fontId="2" numFmtId="165" xfId="0" applyAlignment="1" applyFont="1" applyNumberFormat="1">
      <alignment horizontal="center" readingOrder="0" shrinkToFit="0" vertical="center" wrapText="1"/>
    </xf>
    <xf borderId="0" fillId="0" fontId="2" numFmtId="166" xfId="0" applyAlignment="1" applyFont="1" applyNumberFormat="1">
      <alignment horizontal="left" readingOrder="0" shrinkToFit="0" vertical="center" wrapText="1"/>
    </xf>
    <xf borderId="0" fillId="0" fontId="2" numFmtId="3" xfId="0" applyAlignment="1" applyFont="1" applyNumberFormat="1">
      <alignment horizontal="left" shrinkToFit="0" vertical="center" wrapText="1"/>
    </xf>
    <xf borderId="0" fillId="0" fontId="2" numFmtId="4" xfId="0" applyAlignment="1" applyFont="1" applyNumberFormat="1">
      <alignment horizontal="left" shrinkToFit="0" vertical="center" wrapText="1"/>
    </xf>
    <xf borderId="0" fillId="0" fontId="2" numFmtId="0" xfId="0" applyAlignment="1" applyFont="1">
      <alignment vertical="top"/>
    </xf>
    <xf borderId="2" fillId="2" fontId="5" numFmtId="0" xfId="0" applyAlignment="1" applyBorder="1" applyFont="1">
      <alignment horizontal="center" shrinkToFit="0" vertical="bottom" wrapText="1"/>
    </xf>
    <xf borderId="3" fillId="4" fontId="2" numFmtId="0" xfId="0" applyAlignment="1" applyBorder="1" applyFont="1">
      <alignment horizontal="left" shrinkToFit="0" vertical="center" wrapText="1"/>
    </xf>
    <xf borderId="3" fillId="4" fontId="2" numFmtId="0" xfId="0" applyAlignment="1" applyBorder="1" applyFont="1">
      <alignment horizontal="center" shrinkToFit="0" vertical="center" wrapText="1"/>
    </xf>
    <xf quotePrefix="1" borderId="3" fillId="4" fontId="2" numFmtId="0" xfId="0" applyAlignment="1" applyBorder="1" applyFont="1">
      <alignment horizontal="center" shrinkToFit="0" vertical="center" wrapText="1"/>
    </xf>
    <xf borderId="1" fillId="4" fontId="2" numFmtId="0" xfId="0" applyAlignment="1" applyBorder="1" applyFont="1">
      <alignment horizontal="center" shrinkToFit="0" vertical="bottom" wrapText="1"/>
    </xf>
    <xf borderId="4" fillId="0" fontId="17" numFmtId="0" xfId="0" applyAlignment="1" applyBorder="1" applyFont="1">
      <alignment vertical="center"/>
    </xf>
    <xf borderId="5" fillId="0" fontId="17" numFmtId="0" xfId="0" applyAlignment="1" applyBorder="1" applyFont="1">
      <alignment vertical="center"/>
    </xf>
    <xf borderId="1" fillId="5" fontId="18" numFmtId="0" xfId="0" applyAlignment="1" applyBorder="1" applyFont="1">
      <alignment vertical="bottom"/>
    </xf>
    <xf borderId="3" fillId="5" fontId="2" numFmtId="0" xfId="0" applyAlignment="1" applyBorder="1" applyFont="1">
      <alignment horizontal="left" shrinkToFit="0" vertical="center" wrapText="1"/>
    </xf>
    <xf borderId="2" fillId="0" fontId="2" numFmtId="0" xfId="0" applyAlignment="1" applyBorder="1" applyFont="1">
      <alignment horizontal="left" vertical="bottom"/>
    </xf>
    <xf borderId="0" fillId="0" fontId="2" numFmtId="168" xfId="0" applyAlignment="1" applyFont="1" applyNumberFormat="1">
      <alignment horizontal="left" readingOrder="0" shrinkToFit="0" vertical="center" wrapText="1"/>
    </xf>
    <xf borderId="0" fillId="0" fontId="19" numFmtId="0" xfId="0" applyAlignment="1" applyFont="1">
      <alignment vertical="bottom"/>
    </xf>
    <xf borderId="0" fillId="0" fontId="3" numFmtId="0" xfId="0" applyAlignment="1" applyFont="1">
      <alignment horizontal="center" readingOrder="0" vertical="top"/>
    </xf>
    <xf quotePrefix="1" borderId="1" fillId="4" fontId="2" numFmtId="0" xfId="0" applyAlignment="1" applyBorder="1" applyFont="1">
      <alignment horizontal="left" shrinkToFit="0" vertical="center" wrapText="1"/>
    </xf>
    <xf quotePrefix="1" borderId="2" fillId="5" fontId="2" numFmtId="0" xfId="0" applyAlignment="1" applyBorder="1" applyFont="1">
      <alignment horizontal="center" vertical="center"/>
    </xf>
    <xf borderId="1" fillId="4" fontId="2" numFmtId="0" xfId="0" applyAlignment="1" applyBorder="1" applyFont="1">
      <alignment horizontal="left" shrinkToFit="0" vertical="top" wrapText="1"/>
    </xf>
    <xf borderId="1" fillId="4" fontId="2" numFmtId="0" xfId="0" applyAlignment="1" applyBorder="1" applyFont="1">
      <alignment horizontal="left" vertical="top"/>
    </xf>
    <xf borderId="1" fillId="4" fontId="2" numFmtId="0" xfId="0" applyAlignment="1" applyBorder="1" applyFont="1">
      <alignment horizontal="center" readingOrder="0" shrinkToFit="0" vertical="center" wrapText="1"/>
    </xf>
    <xf borderId="1" fillId="4" fontId="2" numFmtId="0" xfId="0" applyAlignment="1" applyBorder="1" applyFont="1">
      <alignment readingOrder="0" vertical="center"/>
    </xf>
    <xf borderId="1" fillId="4" fontId="2" numFmtId="0" xfId="0" applyAlignment="1" applyBorder="1" applyFont="1">
      <alignment horizontal="center" readingOrder="0" vertical="center"/>
    </xf>
    <xf borderId="1" fillId="4" fontId="2" numFmtId="0" xfId="0" applyAlignment="1" applyBorder="1" applyFont="1">
      <alignment horizontal="left" shrinkToFit="0" vertical="bottom" wrapText="1"/>
    </xf>
    <xf borderId="1" fillId="4" fontId="2" numFmtId="168" xfId="0" applyAlignment="1" applyBorder="1" applyFont="1" applyNumberFormat="1">
      <alignment horizontal="center" shrinkToFit="0" vertical="center" wrapText="1"/>
    </xf>
    <xf borderId="1" fillId="5" fontId="12" numFmtId="0" xfId="0" applyAlignment="1" applyBorder="1" applyFont="1">
      <alignment horizontal="center" vertical="center"/>
    </xf>
    <xf borderId="1" fillId="5" fontId="2" numFmtId="172" xfId="0" applyAlignment="1" applyBorder="1" applyFont="1" applyNumberFormat="1">
      <alignment horizontal="center" shrinkToFit="0" vertical="center" wrapText="1"/>
    </xf>
    <xf borderId="1" fillId="5" fontId="2" numFmtId="0" xfId="0" applyAlignment="1" applyBorder="1" applyFont="1">
      <alignment horizontal="center" shrinkToFit="0" vertical="top" wrapText="1"/>
    </xf>
    <xf borderId="1" fillId="5" fontId="2" numFmtId="0" xfId="0" applyAlignment="1" applyBorder="1" applyFont="1">
      <alignment vertical="top"/>
    </xf>
    <xf borderId="6" fillId="4" fontId="2" numFmtId="0" xfId="0" applyAlignment="1" applyBorder="1" applyFont="1">
      <alignment vertical="bottom"/>
    </xf>
    <xf borderId="7" fillId="0" fontId="17" numFmtId="0" xfId="0" applyAlignment="1" applyBorder="1" applyFont="1">
      <alignment vertical="center"/>
    </xf>
    <xf borderId="3" fillId="4" fontId="2" numFmtId="0" xfId="0" applyAlignment="1" applyBorder="1" applyFont="1">
      <alignment horizontal="left" vertical="bottom"/>
    </xf>
    <xf borderId="3" fillId="4" fontId="2" numFmtId="0" xfId="0" applyAlignment="1" applyBorder="1" applyFont="1">
      <alignment horizontal="center" vertical="center"/>
    </xf>
    <xf borderId="8" fillId="0" fontId="17" numFmtId="0" xfId="0" applyAlignment="1" applyBorder="1" applyFont="1">
      <alignment vertical="center"/>
    </xf>
    <xf borderId="9" fillId="0" fontId="17" numFmtId="0" xfId="0" applyAlignment="1" applyBorder="1" applyFont="1">
      <alignment vertical="center"/>
    </xf>
    <xf borderId="1" fillId="7" fontId="2" numFmtId="0" xfId="0" applyAlignment="1" applyBorder="1" applyFont="1">
      <alignment horizontal="left" vertical="center"/>
    </xf>
    <xf borderId="1" fillId="7" fontId="2" numFmtId="0" xfId="0" applyAlignment="1" applyBorder="1" applyFont="1">
      <alignment horizontal="center" vertical="center"/>
    </xf>
    <xf borderId="1" fillId="7" fontId="2" numFmtId="0" xfId="0" applyAlignment="1" applyBorder="1" applyFont="1">
      <alignment vertical="center"/>
    </xf>
    <xf borderId="10" fillId="0" fontId="17" numFmtId="0" xfId="0" applyAlignment="1" applyBorder="1" applyFont="1">
      <alignment vertical="center"/>
    </xf>
    <xf borderId="11" fillId="0" fontId="17" numFmtId="0" xfId="0" applyAlignment="1" applyBorder="1" applyFont="1">
      <alignment vertical="center"/>
    </xf>
    <xf borderId="0" fillId="0" fontId="2" numFmtId="0" xfId="0" applyAlignment="1" applyFont="1">
      <alignment horizontal="center" vertical="top"/>
    </xf>
    <xf borderId="1" fillId="8" fontId="2" numFmtId="0" xfId="0" applyAlignment="1" applyBorder="1" applyFill="1" applyFont="1">
      <alignment horizontal="left" shrinkToFit="0" vertical="center" wrapText="1"/>
    </xf>
    <xf borderId="1" fillId="8" fontId="2" numFmtId="0" xfId="0" applyAlignment="1" applyBorder="1" applyFont="1">
      <alignment horizontal="center" shrinkToFit="0" vertical="center" wrapText="1"/>
    </xf>
    <xf borderId="1" fillId="8" fontId="2" numFmtId="3" xfId="0" applyAlignment="1" applyBorder="1" applyFont="1" applyNumberFormat="1">
      <alignment horizontal="center" shrinkToFit="0" vertical="center" wrapText="1"/>
    </xf>
    <xf borderId="2" fillId="8" fontId="2" numFmtId="0" xfId="0" applyAlignment="1" applyBorder="1" applyFont="1">
      <alignment horizontal="center" shrinkToFit="0" vertical="center" wrapText="1"/>
    </xf>
    <xf quotePrefix="1" borderId="2" fillId="8" fontId="2" numFmtId="0" xfId="0" applyAlignment="1" applyBorder="1" applyFont="1">
      <alignment horizontal="center" vertical="center"/>
    </xf>
    <xf borderId="1" fillId="8" fontId="2" numFmtId="0" xfId="0" applyAlignment="1" applyBorder="1" applyFont="1">
      <alignment horizontal="center" readingOrder="0" shrinkToFit="0" vertical="center" wrapText="1"/>
    </xf>
    <xf borderId="1" fillId="8" fontId="2" numFmtId="0" xfId="0" applyAlignment="1" applyBorder="1" applyFont="1">
      <alignment horizontal="left" readingOrder="0" shrinkToFit="0" vertical="center" wrapText="1"/>
    </xf>
    <xf borderId="1" fillId="5" fontId="2" numFmtId="0" xfId="0" applyAlignment="1" applyBorder="1" applyFont="1">
      <alignment vertical="center"/>
    </xf>
    <xf quotePrefix="1" borderId="1" fillId="8" fontId="2" numFmtId="0" xfId="0" applyAlignment="1" applyBorder="1" applyFont="1">
      <alignment horizontal="center" shrinkToFit="0" vertical="center" wrapText="1"/>
    </xf>
    <xf borderId="1" fillId="8" fontId="19" numFmtId="0" xfId="0" applyAlignment="1" applyBorder="1" applyFont="1">
      <alignment horizontal="center" vertical="center"/>
    </xf>
    <xf borderId="1" fillId="8" fontId="20" numFmtId="0" xfId="0" applyAlignment="1" applyBorder="1" applyFont="1">
      <alignment horizontal="left" vertical="center"/>
    </xf>
    <xf borderId="1" fillId="8" fontId="20" numFmtId="0" xfId="0" applyAlignment="1" applyBorder="1" applyFont="1">
      <alignment vertical="bottom"/>
    </xf>
    <xf borderId="1" fillId="5" fontId="21" numFmtId="0" xfId="0" applyAlignment="1" applyBorder="1" applyFont="1">
      <alignment vertical="bottom"/>
    </xf>
    <xf borderId="0" fillId="0" fontId="22" numFmtId="0" xfId="0" applyAlignment="1" applyFont="1">
      <alignment horizontal="center" vertical="center"/>
    </xf>
    <xf borderId="12" fillId="0" fontId="22" numFmtId="0" xfId="0" applyAlignment="1" applyBorder="1" applyFont="1">
      <alignment horizontal="center" vertical="center"/>
    </xf>
    <xf borderId="1" fillId="5" fontId="23" numFmtId="0" xfId="0" applyAlignment="1" applyBorder="1" applyFont="1">
      <alignment horizontal="center" vertical="bottom"/>
    </xf>
    <xf borderId="1" fillId="5" fontId="23" numFmtId="0" xfId="0" applyAlignment="1" applyBorder="1" applyFont="1">
      <alignment horizontal="center" vertical="center"/>
    </xf>
    <xf borderId="2" fillId="0" fontId="24" numFmtId="0" xfId="0" applyAlignment="1" applyBorder="1" applyFont="1">
      <alignment horizontal="center" vertical="center"/>
    </xf>
    <xf borderId="0" fillId="0" fontId="10" numFmtId="0" xfId="0" applyAlignment="1" applyFont="1">
      <alignment horizontal="center" vertical="center"/>
    </xf>
    <xf borderId="0" fillId="0" fontId="2" numFmtId="0" xfId="0" applyAlignment="1" applyFont="1">
      <alignment horizontal="center" vertical="center"/>
    </xf>
    <xf borderId="0" fillId="0" fontId="10" numFmtId="0" xfId="0" applyAlignment="1" applyFont="1">
      <alignment horizontal="center" readingOrder="0" vertical="center"/>
    </xf>
    <xf borderId="0" fillId="0" fontId="2" numFmtId="0" xfId="0" applyAlignment="1" applyFont="1">
      <alignment horizontal="center" readingOrder="0" vertical="center"/>
    </xf>
    <xf borderId="0" fillId="0" fontId="10" numFmtId="0" xfId="0" applyAlignment="1" applyFont="1">
      <alignment readingOrder="0" vertical="center"/>
    </xf>
    <xf borderId="0" fillId="0" fontId="10" numFmtId="0" xfId="0" applyAlignment="1" applyFont="1">
      <alignment horizontal="center" readingOrder="0" vertical="center"/>
    </xf>
    <xf borderId="0" fillId="5" fontId="25" numFmtId="0" xfId="0" applyAlignment="1" applyFont="1">
      <alignment horizontal="center" readingOrder="0" vertical="center"/>
    </xf>
    <xf borderId="0" fillId="0" fontId="10" numFmtId="0" xfId="0" applyAlignment="1" applyFont="1">
      <alignment horizontal="center" vertical="center"/>
    </xf>
    <xf borderId="1" fillId="5" fontId="2" numFmtId="0" xfId="0" applyAlignment="1" applyBorder="1" applyFont="1">
      <alignment horizontal="center" vertical="bottom"/>
    </xf>
    <xf borderId="0" fillId="0" fontId="2" numFmtId="1" xfId="0" applyAlignment="1" applyFont="1" applyNumberFormat="1">
      <alignment horizontal="center" shrinkToFit="0" vertical="center" wrapText="1"/>
    </xf>
    <xf borderId="13" fillId="0" fontId="26" numFmtId="0" xfId="0" applyAlignment="1" applyBorder="1" applyFont="1">
      <alignment horizontal="left" vertical="bottom"/>
    </xf>
    <xf borderId="13" fillId="0" fontId="27" numFmtId="0" xfId="0" applyAlignment="1" applyBorder="1" applyFont="1">
      <alignment horizontal="left" vertical="bottom"/>
    </xf>
    <xf borderId="0" fillId="0" fontId="26" numFmtId="0" xfId="0" applyAlignment="1" applyFont="1">
      <alignment horizontal="left" shrinkToFit="0" vertical="center" wrapText="1"/>
    </xf>
    <xf borderId="0" fillId="0" fontId="22" numFmtId="0" xfId="0" applyAlignment="1" applyFont="1">
      <alignment horizontal="center" shrinkToFit="0" vertical="center" wrapText="1"/>
    </xf>
    <xf borderId="0" fillId="0" fontId="28" numFmtId="0" xfId="0" applyAlignment="1" applyFont="1">
      <alignment horizontal="center" readingOrder="0" vertical="bottom"/>
    </xf>
    <xf borderId="0" fillId="0" fontId="28" numFmtId="0" xfId="0" applyAlignment="1" applyFont="1">
      <alignment horizontal="center" vertical="bottom"/>
    </xf>
    <xf borderId="0" fillId="0" fontId="27" numFmtId="0" xfId="0" applyAlignment="1" applyFont="1">
      <alignment horizontal="center" vertical="bottom"/>
    </xf>
    <xf borderId="1" fillId="5" fontId="29" numFmtId="0" xfId="0" applyAlignment="1" applyBorder="1" applyFont="1">
      <alignment vertical="bottom"/>
    </xf>
    <xf borderId="0" fillId="0" fontId="28" numFmtId="0" xfId="0" applyAlignment="1" applyFont="1">
      <alignment vertical="bottom"/>
    </xf>
    <xf borderId="0" fillId="0" fontId="27" numFmtId="0" xfId="0" applyAlignment="1" applyFont="1">
      <alignment horizontal="left" vertical="bottom"/>
    </xf>
    <xf borderId="14" fillId="5" fontId="2" numFmtId="0" xfId="0" applyAlignment="1" applyBorder="1" applyFont="1">
      <alignment horizontal="left" shrinkToFit="0" vertical="center" wrapText="1"/>
    </xf>
    <xf borderId="2" fillId="5" fontId="2" numFmtId="0" xfId="0" applyAlignment="1" applyBorder="1" applyFont="1">
      <alignment horizontal="left" vertical="center"/>
    </xf>
    <xf borderId="1" fillId="5" fontId="22" numFmtId="0" xfId="0" applyAlignment="1" applyBorder="1" applyFont="1">
      <alignment vertical="bottom"/>
    </xf>
    <xf borderId="1" fillId="5" fontId="12" numFmtId="0" xfId="0" applyAlignment="1" applyBorder="1" applyFont="1">
      <alignment vertical="bottom"/>
    </xf>
    <xf borderId="1" fillId="4" fontId="22" numFmtId="0" xfId="0" applyAlignment="1" applyBorder="1" applyFont="1">
      <alignment vertical="bottom"/>
    </xf>
    <xf borderId="1" fillId="5" fontId="14" numFmtId="0" xfId="0" applyAlignment="1" applyBorder="1" applyFont="1">
      <alignment horizontal="left" vertical="center"/>
    </xf>
    <xf borderId="1" fillId="5" fontId="2" numFmtId="165" xfId="0" applyAlignment="1" applyBorder="1" applyFont="1" applyNumberFormat="1">
      <alignment horizontal="left" shrinkToFit="0" vertical="center" wrapText="1"/>
    </xf>
    <xf borderId="1" fillId="5" fontId="8" numFmtId="0" xfId="0" applyAlignment="1" applyBorder="1" applyFont="1">
      <alignment horizontal="center" vertical="center"/>
    </xf>
    <xf borderId="3" fillId="4" fontId="2" numFmtId="0" xfId="0" applyAlignment="1" applyBorder="1" applyFont="1">
      <alignment horizontal="center" readingOrder="0" shrinkToFit="0" vertical="center" wrapText="1"/>
    </xf>
    <xf borderId="3" fillId="5" fontId="14" numFmtId="0" xfId="0" applyAlignment="1" applyBorder="1" applyFont="1">
      <alignment horizontal="left" vertical="center"/>
    </xf>
    <xf borderId="3" fillId="4" fontId="2" numFmtId="165" xfId="0" applyAlignment="1" applyBorder="1" applyFont="1" applyNumberFormat="1">
      <alignment horizontal="left" shrinkToFit="0" vertical="center" wrapText="1"/>
    </xf>
    <xf borderId="3" fillId="4" fontId="8" numFmtId="0" xfId="0" applyAlignment="1" applyBorder="1" applyFont="1">
      <alignment horizontal="center" vertical="center"/>
    </xf>
    <xf borderId="1" fillId="4" fontId="2" numFmtId="166" xfId="0" applyAlignment="1" applyBorder="1" applyFont="1" applyNumberFormat="1">
      <alignment horizontal="center" shrinkToFit="0" vertical="center" wrapText="1"/>
    </xf>
    <xf borderId="1" fillId="5" fontId="2" numFmtId="165" xfId="0" applyAlignment="1" applyBorder="1" applyFont="1" applyNumberFormat="1">
      <alignment horizontal="center" shrinkToFit="0" vertical="center" wrapText="1"/>
    </xf>
    <xf borderId="1" fillId="5" fontId="2" numFmtId="0" xfId="0" applyAlignment="1" applyBorder="1" applyFont="1">
      <alignment horizontal="left" shrinkToFit="0" vertical="top" wrapText="1"/>
    </xf>
    <xf borderId="1" fillId="5" fontId="16" numFmtId="0" xfId="0" applyAlignment="1" applyBorder="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shrinkToFit="0" vertical="center" wrapText="1"/>
    </xf>
    <xf quotePrefix="1" borderId="2" fillId="5" fontId="2" numFmtId="0" xfId="0" applyAlignment="1" applyBorder="1" applyFont="1">
      <alignment horizontal="center" vertical="center"/>
    </xf>
    <xf borderId="1" fillId="5" fontId="30" numFmtId="0" xfId="0" applyAlignment="1" applyBorder="1" applyFont="1">
      <alignment vertical="bottom"/>
    </xf>
    <xf borderId="0" fillId="0" fontId="2" numFmtId="168" xfId="0" applyAlignment="1" applyFont="1" applyNumberFormat="1">
      <alignment horizontal="center" readingOrder="0" shrinkToFit="0" vertical="center" wrapText="1"/>
    </xf>
    <xf borderId="1" fillId="4" fontId="2" numFmtId="0" xfId="0" applyAlignment="1" applyBorder="1" applyFont="1">
      <alignment horizontal="center" readingOrder="0" vertical="bottom"/>
    </xf>
    <xf borderId="0" fillId="0" fontId="31" numFmtId="0" xfId="0" applyAlignment="1" applyFont="1">
      <alignment horizontal="left" readingOrder="0" shrinkToFit="0" vertical="bottom" wrapText="0"/>
    </xf>
    <xf borderId="1" fillId="4" fontId="2" numFmtId="0" xfId="0" applyAlignment="1" applyBorder="1" applyFont="1">
      <alignment horizontal="left" readingOrder="0" shrinkToFit="0" vertical="bottom" wrapText="1"/>
    </xf>
    <xf borderId="1" fillId="4" fontId="2" numFmtId="0" xfId="0" applyAlignment="1" applyBorder="1" applyFont="1">
      <alignment horizontal="center" readingOrder="0" shrinkToFit="0" vertical="center" wrapText="1"/>
    </xf>
    <xf borderId="0" fillId="0" fontId="2" numFmtId="0" xfId="0" applyAlignment="1" applyFont="1">
      <alignment readingOrder="0" shrinkToFit="0" vertical="center" wrapText="1"/>
    </xf>
    <xf borderId="2" fillId="5" fontId="2" numFmtId="0" xfId="0" applyAlignment="1" applyBorder="1" applyFont="1">
      <alignment horizontal="center" readingOrder="0" shrinkToFit="0" vertical="center" wrapText="1"/>
    </xf>
    <xf borderId="1" fillId="5" fontId="30" numFmtId="0" xfId="0" applyAlignment="1" applyBorder="1" applyFont="1">
      <alignment horizontal="center" readingOrder="0" vertical="bottom"/>
    </xf>
    <xf borderId="0" fillId="0" fontId="2" numFmtId="0" xfId="0" applyAlignment="1" applyFont="1">
      <alignment readingOrder="0" vertical="bottom"/>
    </xf>
    <xf borderId="1" fillId="4" fontId="2" numFmtId="0" xfId="0" applyAlignment="1" applyBorder="1" applyFont="1">
      <alignment horizontal="left" readingOrder="0" shrinkToFit="0" vertical="center" wrapText="1"/>
    </xf>
    <xf borderId="1" fillId="5" fontId="2" numFmtId="0" xfId="0" applyAlignment="1" applyBorder="1" applyFont="1">
      <alignment horizontal="center" vertical="center"/>
    </xf>
    <xf quotePrefix="1" borderId="1" fillId="4" fontId="2" numFmtId="49" xfId="0" applyAlignment="1" applyBorder="1" applyFont="1" applyNumberFormat="1">
      <alignment horizontal="center" shrinkToFit="0" vertical="center" wrapText="1"/>
    </xf>
    <xf borderId="1" fillId="5" fontId="2" numFmtId="0" xfId="0" applyAlignment="1" applyBorder="1" applyFont="1">
      <alignment horizontal="center" readingOrder="0" shrinkToFit="0" vertical="center" wrapText="1"/>
    </xf>
    <xf borderId="1" fillId="4" fontId="2" numFmtId="165" xfId="0" applyAlignment="1" applyBorder="1" applyFont="1" applyNumberFormat="1">
      <alignment horizontal="left" shrinkToFit="0" vertical="center" wrapText="1"/>
    </xf>
    <xf quotePrefix="1" borderId="1" fillId="4" fontId="2" numFmtId="0" xfId="0" applyAlignment="1" applyBorder="1" applyFont="1">
      <alignment horizontal="center" shrinkToFit="0" vertical="center" wrapText="1"/>
    </xf>
    <xf borderId="1" fillId="6" fontId="2" numFmtId="0" xfId="0" applyAlignment="1" applyBorder="1" applyFont="1">
      <alignment horizontal="left" shrinkToFit="0" vertical="center" wrapText="1"/>
    </xf>
    <xf borderId="1" fillId="4" fontId="2" numFmtId="166" xfId="0" applyAlignment="1" applyBorder="1" applyFont="1" applyNumberFormat="1">
      <alignment horizontal="left" shrinkToFit="0" vertical="center" wrapText="1"/>
    </xf>
    <xf borderId="1" fillId="4" fontId="2" numFmtId="49" xfId="0" applyAlignment="1" applyBorder="1" applyFont="1" applyNumberFormat="1">
      <alignment horizontal="center" shrinkToFit="0" vertical="center" wrapText="1"/>
    </xf>
    <xf borderId="1" fillId="7" fontId="9" numFmtId="0" xfId="0" applyAlignment="1" applyBorder="1" applyFont="1">
      <alignment horizontal="center" vertical="center"/>
    </xf>
    <xf borderId="0" fillId="0" fontId="19" numFmtId="0" xfId="0" applyAlignment="1" applyFont="1">
      <alignment horizontal="left" shrinkToFit="0" vertical="center" wrapText="1"/>
    </xf>
    <xf quotePrefix="1" borderId="0" fillId="0" fontId="2" numFmtId="0" xfId="0" applyAlignment="1" applyFont="1">
      <alignment horizontal="left" shrinkToFit="0" vertical="center" wrapText="1"/>
    </xf>
    <xf borderId="0" fillId="0" fontId="5" numFmtId="0" xfId="0" applyAlignment="1" applyFont="1">
      <alignment horizontal="left" shrinkToFit="0" vertical="center" wrapText="1"/>
    </xf>
    <xf borderId="0" fillId="0" fontId="5" numFmtId="0" xfId="0" applyAlignment="1" applyFont="1">
      <alignment vertical="bottom"/>
    </xf>
    <xf borderId="0" fillId="0" fontId="2" numFmtId="172" xfId="0" applyAlignment="1" applyFont="1" applyNumberFormat="1">
      <alignment horizontal="left" shrinkToFit="0" vertical="center" wrapText="1"/>
    </xf>
    <xf borderId="1" fillId="4" fontId="2" numFmtId="0" xfId="0" applyAlignment="1" applyBorder="1" applyFont="1">
      <alignment vertical="center"/>
    </xf>
    <xf borderId="1" fillId="4" fontId="2" numFmtId="0" xfId="0" applyAlignment="1" applyBorder="1" applyFont="1">
      <alignment horizontal="center" vertical="center"/>
    </xf>
    <xf borderId="0" fillId="0" fontId="2" numFmtId="170" xfId="0" applyAlignment="1" applyFont="1" applyNumberFormat="1">
      <alignment horizontal="left" shrinkToFit="0" vertical="center" wrapText="1"/>
    </xf>
    <xf borderId="0" fillId="0" fontId="16" numFmtId="0" xfId="0" applyAlignment="1" applyFont="1">
      <alignment horizontal="left" shrinkToFit="0" vertical="bottom" wrapText="1"/>
    </xf>
    <xf borderId="0" fillId="0" fontId="2" numFmtId="0" xfId="0" applyAlignment="1" applyFont="1">
      <alignment horizontal="left" readingOrder="0" vertical="center"/>
    </xf>
    <xf borderId="1" fillId="5" fontId="9" numFmtId="0" xfId="0" applyAlignment="1" applyBorder="1" applyFont="1">
      <alignment horizontal="center" vertical="bottom"/>
    </xf>
    <xf borderId="1" fillId="5" fontId="32" numFmtId="0" xfId="0" applyAlignment="1" applyBorder="1" applyFont="1">
      <alignment vertical="bottom"/>
    </xf>
    <xf borderId="1" fillId="5" fontId="12" numFmtId="0" xfId="0" applyAlignment="1" applyBorder="1" applyFont="1">
      <alignment horizontal="center" shrinkToFit="0" vertical="center" wrapText="1"/>
    </xf>
    <xf borderId="1" fillId="5" fontId="12" numFmtId="0" xfId="0" applyAlignment="1" applyBorder="1" applyFont="1">
      <alignment vertical="center"/>
    </xf>
    <xf borderId="1" fillId="5" fontId="12" numFmtId="0" xfId="0" applyAlignment="1" applyBorder="1" applyFont="1">
      <alignment shrinkToFit="0" vertical="center" wrapText="1"/>
    </xf>
  </cellXfs>
  <cellStyles count="1">
    <cellStyle xfId="0" name="Normal" builtinId="0"/>
  </cellStyles>
  <dxfs count="6">
    <dxf>
      <font/>
      <fill>
        <patternFill patternType="none"/>
      </fill>
      <border/>
    </dxf>
    <dxf>
      <font/>
      <fill>
        <patternFill patternType="solid">
          <fgColor rgb="FFD9E2F3"/>
          <bgColor rgb="FFD9E2F3"/>
        </patternFill>
      </fill>
      <border/>
    </dxf>
    <dxf>
      <font/>
      <fill>
        <patternFill patternType="solid">
          <fgColor rgb="FFFFFFFF"/>
          <bgColor rgb="FFFFFFFF"/>
        </patternFill>
      </fill>
      <border/>
    </dxf>
    <dxf>
      <font/>
      <fill>
        <patternFill patternType="solid">
          <fgColor rgb="FF4472C4"/>
          <bgColor rgb="FF4472C4"/>
        </patternFill>
      </fill>
      <border/>
    </dxf>
    <dxf>
      <font/>
      <fill>
        <patternFill patternType="solid">
          <fgColor rgb="FF356854"/>
          <bgColor rgb="FF356854"/>
        </patternFill>
      </fill>
      <border/>
    </dxf>
    <dxf>
      <font/>
      <fill>
        <patternFill patternType="solid">
          <fgColor rgb="FFF6F8F9"/>
          <bgColor rgb="FFF6F8F9"/>
        </patternFill>
      </fill>
      <border/>
    </dxf>
  </dxfs>
  <tableStyles count="27">
    <tableStyle count="2" pivot="0" name="1. BANJARSARI-style">
      <tableStyleElement dxfId="1" type="firstRowStripe"/>
      <tableStyleElement dxfId="2" type="secondRowStripe"/>
    </tableStyle>
    <tableStyle count="3" pivot="0" name="3. BAYAH-style">
      <tableStyleElement dxfId="3" type="headerRow"/>
      <tableStyleElement dxfId="1" type="firstRowStripe"/>
      <tableStyleElement dxfId="2" type="secondRowStripe"/>
    </tableStyle>
    <tableStyle count="3" pivot="0" name="2. PANGGARANGAN-style">
      <tableStyleElement dxfId="3" type="headerRow"/>
      <tableStyleElement dxfId="1" type="firstRowStripe"/>
      <tableStyleElement dxfId="2" type="secondRowStripe"/>
    </tableStyle>
    <tableStyle count="3" pivot="0" name="5. CIPANAS-style">
      <tableStyleElement dxfId="3" type="headerRow"/>
      <tableStyleElement dxfId="1" type="firstRowStripe"/>
      <tableStyleElement dxfId="2" type="secondRowStripe"/>
    </tableStyle>
    <tableStyle count="3" pivot="0" name="6. MUNCANG-style">
      <tableStyleElement dxfId="3" type="headerRow"/>
      <tableStyleElement dxfId="1" type="firstRowStripe"/>
      <tableStyleElement dxfId="2" type="secondRowStripe"/>
    </tableStyle>
    <tableStyle count="3" pivot="0" name="4. MALINGPING-style">
      <tableStyleElement dxfId="3" type="headerRow"/>
      <tableStyleElement dxfId="1" type="firstRowStripe"/>
      <tableStyleElement dxfId="2" type="secondRowStripe"/>
    </tableStyle>
    <tableStyle count="3" pivot="0" name="7. LEUWIDAMAR-style">
      <tableStyleElement dxfId="3" type="headerRow"/>
      <tableStyleElement dxfId="1" type="firstRowStripe"/>
      <tableStyleElement dxfId="2" type="secondRowStripe"/>
    </tableStyle>
    <tableStyle count="3" pivot="0" name="9. GUNUNGKENCANA-style">
      <tableStyleElement dxfId="3" type="headerRow"/>
      <tableStyleElement dxfId="1" type="firstRowStripe"/>
      <tableStyleElement dxfId="2" type="secondRowStripe"/>
    </tableStyle>
    <tableStyle count="3" pivot="0" name="8. BOJONGMANIK-style">
      <tableStyleElement dxfId="3" type="headerRow"/>
      <tableStyleElement dxfId="1" type="firstRowStripe"/>
      <tableStyleElement dxfId="2" type="secondRowStripe"/>
    </tableStyle>
    <tableStyle count="3" pivot="0" name="10. KALANGANYAR-style">
      <tableStyleElement dxfId="4" type="headerRow"/>
      <tableStyleElement dxfId="2" type="firstRowStripe"/>
      <tableStyleElement dxfId="5" type="secondRowStripe"/>
    </tableStyle>
    <tableStyle count="3" pivot="0" name="11. CIJAKU-style">
      <tableStyleElement dxfId="3" type="headerRow"/>
      <tableStyleElement dxfId="1" type="firstRowStripe"/>
      <tableStyleElement dxfId="2" type="secondRowStripe"/>
    </tableStyle>
    <tableStyle count="3" pivot="0" name="13. CURUGBITUNG-style">
      <tableStyleElement dxfId="3" type="headerRow"/>
      <tableStyleElement dxfId="1" type="firstRowStripe"/>
      <tableStyleElement dxfId="2" type="secondRowStripe"/>
    </tableStyle>
    <tableStyle count="3" pivot="0" name="12. WANASALAM-style">
      <tableStyleElement dxfId="3" type="headerRow"/>
      <tableStyleElement dxfId="1" type="firstRowStripe"/>
      <tableStyleElement dxfId="2" type="secondRowStripe"/>
    </tableStyle>
    <tableStyle count="3" pivot="0" name="14. SOBANG-style">
      <tableStyleElement dxfId="3" type="headerRow"/>
      <tableStyleElement dxfId="1" type="firstRowStripe"/>
      <tableStyleElement dxfId="2" type="secondRowStripe"/>
    </tableStyle>
    <tableStyle count="3" pivot="0" name="16. LEBAK GEDONG-style">
      <tableStyleElement dxfId="3" type="headerRow"/>
      <tableStyleElement dxfId="1" type="firstRowStripe"/>
      <tableStyleElement dxfId="2" type="secondRowStripe"/>
    </tableStyle>
    <tableStyle count="3" pivot="0" name="18. SAJIRA-style">
      <tableStyleElement dxfId="3" type="headerRow"/>
      <tableStyleElement dxfId="1" type="firstRowStripe"/>
      <tableStyleElement dxfId="2" type="secondRowStripe"/>
    </tableStyle>
    <tableStyle count="3" pivot="0" name="19. WARUNGGUNUNG-style">
      <tableStyleElement dxfId="3" type="headerRow"/>
      <tableStyleElement dxfId="1" type="firstRowStripe"/>
      <tableStyleElement dxfId="2" type="secondRowStripe"/>
    </tableStyle>
    <tableStyle count="3" pivot="0" name="20. CIRINTEN-style">
      <tableStyleElement dxfId="3" type="headerRow"/>
      <tableStyleElement dxfId="1" type="firstRowStripe"/>
      <tableStyleElement dxfId="2" type="secondRowStripe"/>
    </tableStyle>
    <tableStyle count="3" pivot="0" name="22. RANGKASBITUNG-style">
      <tableStyleElement dxfId="3" type="headerRow"/>
      <tableStyleElement dxfId="1" type="firstRowStripe"/>
      <tableStyleElement dxfId="2" type="secondRowStripe"/>
    </tableStyle>
    <tableStyle count="3" pivot="0" name="21. CIBADAK-style">
      <tableStyleElement dxfId="3" type="headerRow"/>
      <tableStyleElement dxfId="1" type="firstRowStripe"/>
      <tableStyleElement dxfId="2" type="secondRowStripe"/>
    </tableStyle>
    <tableStyle count="3" pivot="0" name="23. CIHARA-style">
      <tableStyleElement dxfId="3" type="headerRow"/>
      <tableStyleElement dxfId="1" type="firstRowStripe"/>
      <tableStyleElement dxfId="2" type="secondRowStripe"/>
    </tableStyle>
    <tableStyle count="3" pivot="0" name="24. CILOGRANG-style">
      <tableStyleElement dxfId="3" type="headerRow"/>
      <tableStyleElement dxfId="1" type="firstRowStripe"/>
      <tableStyleElement dxfId="2" type="secondRowStripe"/>
    </tableStyle>
    <tableStyle count="3" pivot="0" name="24. CILOGRANG-style 2">
      <tableStyleElement dxfId="3" type="headerRow"/>
      <tableStyleElement dxfId="1" type="firstRowStripe"/>
      <tableStyleElement dxfId="2" type="secondRowStripe"/>
    </tableStyle>
    <tableStyle count="3" pivot="0" name="26. CILELES-style">
      <tableStyleElement dxfId="3" type="headerRow"/>
      <tableStyleElement dxfId="1" type="firstRowStripe"/>
      <tableStyleElement dxfId="2" type="secondRowStripe"/>
    </tableStyle>
    <tableStyle count="2" pivot="0" name="26. CILELES-style 2">
      <tableStyleElement dxfId="1" type="firstRowStripe"/>
      <tableStyleElement dxfId="2" type="secondRowStripe"/>
    </tableStyle>
    <tableStyle count="3" pivot="0" name="27. CIKULUR-style">
      <tableStyleElement dxfId="3" type="headerRow"/>
      <tableStyleElement dxfId="1" type="firstRowStripe"/>
      <tableStyleElement dxfId="2" type="secondRowStripe"/>
    </tableStyle>
    <tableStyle count="3" pivot="0" name="28. CIMARGA-style">
      <tableStyleElement dxfId="3"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customschemas.google.com/relationships/workbookmetadata" Target="metadata"/><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Q23:T29" displayName="Table_1" name="Table_1" id="1">
  <tableColumns count="4">
    <tableColumn name="Column1" id="1"/>
    <tableColumn name="Column2" id="2"/>
    <tableColumn name="Column3" id="3"/>
    <tableColumn name="Column4" id="4"/>
  </tableColumns>
  <tableStyleInfo name="1. BANJARSARI-style" showColumnStripes="0" showFirstColumn="1" showLastColumn="1" showRowStripes="1"/>
</table>
</file>

<file path=xl/tables/table2.xml><?xml version="1.0" encoding="utf-8"?>
<table xmlns="http://schemas.openxmlformats.org/spreadsheetml/2006/main" ref="A4:AI14" displayName="Table_2" name="Table_2" id="2">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3. BAYAH-style" showColumnStripes="0" showFirstColumn="1" showLastColumn="1" showRowStripes="1"/>
</table>
</file>

<file path=xl/tables/table3.xml><?xml version="1.0" encoding="utf-8"?>
<table xmlns="http://schemas.openxmlformats.org/spreadsheetml/2006/main" ref="A4:AI13" displayName="Table_3" name="Table_3" id="3">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2. PANGGARANGAN-style" showColumnStripes="0" showFirstColumn="1" showLastColumn="1" showRowStripes="1"/>
</table>
</file>

<file path=xl/tables/table4.xml><?xml version="1.0" encoding="utf-8"?>
<table xmlns="http://schemas.openxmlformats.org/spreadsheetml/2006/main" ref="A4:AI19" displayName="Table_4" name="Table_4" id="4">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5. CIPANAS-style" showColumnStripes="0" showFirstColumn="1" showLastColumn="1" showRowStripes="1"/>
</table>
</file>

<file path=xl/tables/table5.xml><?xml version="1.0" encoding="utf-8"?>
<table xmlns="http://schemas.openxmlformats.org/spreadsheetml/2006/main" ref="A4:AI14" displayName="Table_5" name="Table_5" id="5">
  <tableColumns count="35">
    <tableColumn name="NO" id="1"/>
    <tableColumn name="DESA" id="2"/>
    <tableColumn name="NAMA SPPG" id="3"/>
    <tableColumn name="ID SPPG" id="4"/>
    <tableColumn name="NAMA YAYASAN" id="5"/>
    <tableColumn name="ALAMAT SPPG" id="6"/>
    <tableColumn name="STATUS/TAHAPAN OPERASIONAL" id="7"/>
    <tableColumn name="tanggal Operasional "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6. MUNCANG-style" showColumnStripes="0" showFirstColumn="1" showLastColumn="1" showRowStripes="1"/>
</table>
</file>

<file path=xl/tables/table6.xml><?xml version="1.0" encoding="utf-8"?>
<table xmlns="http://schemas.openxmlformats.org/spreadsheetml/2006/main" ref="A4:AI24" displayName="Table_6" name="Table_6" id="6">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4. MALINGPING-style" showColumnStripes="0" showFirstColumn="1" showLastColumn="1" showRowStripes="1"/>
</table>
</file>

<file path=xl/tables/table7.xml><?xml version="1.0" encoding="utf-8"?>
<table xmlns="http://schemas.openxmlformats.org/spreadsheetml/2006/main" ref="A4:AI19" displayName="Table_7" name="Table_7" id="7">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7. LEUWIDAMAR-style" showColumnStripes="0" showFirstColumn="1" showLastColumn="1" showRowStripes="1"/>
</table>
</file>

<file path=xl/tables/table8.xml><?xml version="1.0" encoding="utf-8"?>
<table xmlns="http://schemas.openxmlformats.org/spreadsheetml/2006/main" ref="A4:AI23" displayName="Table_8" name="Table_8" id="8">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9. GUNUNGKENCANA-style" showColumnStripes="0" showFirstColumn="1" showLastColumn="1" showRowStripes="1"/>
</table>
</file>

<file path=xl/tables/table9.xml><?xml version="1.0" encoding="utf-8"?>
<table xmlns="http://schemas.openxmlformats.org/spreadsheetml/2006/main" ref="A4:AI13" displayName="Table_9" name="Table_9" id="9">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8. BOJONGMANIK-style" showColumnStripes="0" showFirstColumn="1" showLastColumn="1" showRowStripes="1"/>
</table>
</file>

<file path=xl/tables/table10.xml><?xml version="1.0" encoding="utf-8"?>
<table xmlns="http://schemas.openxmlformats.org/spreadsheetml/2006/main" ref="A4:AI14" displayName="Table_10" name="Table_10" id="10">
  <tableColumns count="35">
    <tableColumn name="NO" id="1"/>
    <tableColumn name="DESA" id="2"/>
    <tableColumn name="NAMA SPPG" id="3"/>
    <tableColumn name="ID SPPG" id="4"/>
    <tableColumn name="NAMA YAYASAN" id="5"/>
    <tableColumn name="ALAMAT SPPG" id="6"/>
    <tableColumn name="STATUS/TAHAPAN OPERASIONAL" id="7"/>
    <tableColumn name="Tanggal Operasional  "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10. KALANGANYAR-style" showColumnStripes="0" showFirstColumn="1" showLastColumn="1" showRowStripes="1"/>
</table>
</file>

<file path=xl/tables/table11.xml><?xml version="1.0" encoding="utf-8"?>
<table xmlns="http://schemas.openxmlformats.org/spreadsheetml/2006/main" ref="A4:AH15" displayName="Table_11" name="Table_11" id="11">
  <tableColumns count="34">
    <tableColumn name="NO" id="1"/>
    <tableColumn name="DESA" id="2"/>
    <tableColumn name="NAMA SPPG" id="3"/>
    <tableColumn name="ID SPPG" id="4"/>
    <tableColumn name="NAMA YAYASAN" id="5"/>
    <tableColumn name="ALAMAT SPPG" id="6"/>
    <tableColumn name="STATUS/TAHAPAN OPERASIONAL" id="7"/>
    <tableColumn name="Tanggal Operasional" id="8"/>
    <tableColumn name="NAMA KASPPG" id="9"/>
    <tableColumn name="NO.HP KASPPG" id="10"/>
    <tableColumn name="JUMLAH PENERIMA MANFAAT" id="11"/>
    <tableColumn name="DAFTAR PENERIMA MANFAAT KB" id="12"/>
    <tableColumn name="DAFTAR PENERIMA MANFAAT TK" id="13"/>
    <tableColumn name="DAFTAR PENERIMA MANFAAT KB/RA" id="14"/>
    <tableColumn name="DAFTAR PENERIMA MANFAAT PAUD" id="15"/>
    <tableColumn name="DAFTAR PENERIMA MANFAAT SD/MI" id="16"/>
    <tableColumn name="DAFTAR PENERIMA MANFAAT SMP/MTS" id="17"/>
    <tableColumn name="DAFTAR PENERIMA MANFAAT SMA/SMK/MA" id="18"/>
    <tableColumn name="DAFTAR PENERIMA MANFAAT POSYANDU KELOMPOK IBU HAMIL" id="19"/>
    <tableColumn name="DAFTAR PENERIMA MANFAAT POSYANDU KELOMPOK IBU MENYUSUI" id="20"/>
    <tableColumn name="DAFTAR PENERIMA MANFAAT POSYANDU KELOMPOK IBU BALITA" id="21"/>
    <tableColumn name="DAFTAR PENERIMA MANFAAT KELOMPOK SANTRI (PESANTREN TRADISIONAL)" id="22"/>
    <tableColumn name="DAFTAR PENERIMA MANFAAT KELOMPOK ANAK TIDAK SEKOLAH (ATS)" id="23"/>
    <tableColumn name="Keterangan" id="24"/>
    <tableColumn name="BPJS TK" id="25"/>
    <tableColumn name="PENJAMAH MAKANAN" id="26"/>
    <tableColumn name="CHEF BERSERTIFIKAT BNSP" id="27"/>
    <tableColumn name="IKL" id="28"/>
    <tableColumn name="SLHS" id="29"/>
    <tableColumn name="HACCP" id="30"/>
    <tableColumn name="HALAL" id="31"/>
    <tableColumn name="IPAL" id="32"/>
    <tableColumn name="ISOO" id="33"/>
    <tableColumn name="JUMLAH RELAWAN" id="34"/>
  </tableColumns>
  <tableStyleInfo name="11. CIJAKU-style" showColumnStripes="0" showFirstColumn="1" showLastColumn="1" showRowStripes="1"/>
</table>
</file>

<file path=xl/tables/table12.xml><?xml version="1.0" encoding="utf-8"?>
<table xmlns="http://schemas.openxmlformats.org/spreadsheetml/2006/main" ref="A4:AI15" displayName="Table_12" name="Table_12" id="12">
  <tableColumns count="35">
    <tableColumn name="NO" id="1"/>
    <tableColumn name="DESA" id="2"/>
    <tableColumn name="NAMA SPPG" id="3"/>
    <tableColumn name="ID SPPG" id="4"/>
    <tableColumn name="NAMA YAYASAN" id="5"/>
    <tableColumn name="ALAMAT SPPG" id="6"/>
    <tableColumn name="STATUS/TAHAPAN OPERASIONAL" id="7"/>
    <tableColumn name="Tanggal Operasional "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13. CURUGBITUNG-style" showColumnStripes="0" showFirstColumn="1" showLastColumn="1" showRowStripes="1"/>
</table>
</file>

<file path=xl/tables/table13.xml><?xml version="1.0" encoding="utf-8"?>
<table xmlns="http://schemas.openxmlformats.org/spreadsheetml/2006/main" ref="A4:AH18" displayName="Table_13" name="Table_13" id="13">
  <tableColumns count="34">
    <tableColumn name="NO" id="1"/>
    <tableColumn name="DESA" id="2"/>
    <tableColumn name="NAMA SPPG" id="3"/>
    <tableColumn name="ID SPPG" id="4"/>
    <tableColumn name="NAMA YAYASAN" id="5"/>
    <tableColumn name="ALAMAT SPPG" id="6"/>
    <tableColumn name="STATUS/TAHAPAN OPERASIONAL" id="7"/>
    <tableColumn name="TANGGAL OPERASIONAL" id="8"/>
    <tableColumn name="NAMA KASPPG" id="9"/>
    <tableColumn name="NO.HP KASPPG" id="10"/>
    <tableColumn name="JUMLAH PENERIMA MANFAAT" id="11"/>
    <tableColumn name="DAFTAR PENERIMA MANFAAT KB" id="12"/>
    <tableColumn name="DAFTAR PENERIMA MANFAAT TK" id="13"/>
    <tableColumn name="DAFTAR PENERIMA MANFAAT KB/RA" id="14"/>
    <tableColumn name="DAFTAR PENERIMA MANFAAT PAUD" id="15"/>
    <tableColumn name="DAFTAR PENERIMA MANFAAT SD/MI" id="16"/>
    <tableColumn name="DAFTAR PENERIMA MANFAAT SMP/MTS" id="17"/>
    <tableColumn name="DAFTAR PENERIMA MANFAAT SMA/SMK/MA" id="18"/>
    <tableColumn name="DAFTAR PENERIMA MANFAAT POSYANDU KELOMPOK IBU HAMIL" id="19"/>
    <tableColumn name="DAFTAR PENERIMA MANFAAT POSYANDU KELOMPOK IBU MENYUSUI" id="20"/>
    <tableColumn name="DAFTAR PENERIMA MANFAAT POSYANDU KELOMPOK IBU BALITA" id="21"/>
    <tableColumn name="DAFTAR PENERIMA MANFAAT KELOMPOK SANTRI (PESANTREN TRADISIONAL)" id="22"/>
    <tableColumn name="DAFTAR PENERIMA MANFAAT KELOMPOK ANAK TIDAK SEKOLAH (ATS)" id="23"/>
    <tableColumn name="Keterangan" id="24"/>
    <tableColumn name="BPJS TK" id="25"/>
    <tableColumn name="PENJAMAH MAKANAN" id="26"/>
    <tableColumn name="CHEF BERSERTIFIKAT BNSP" id="27"/>
    <tableColumn name="IKL" id="28"/>
    <tableColumn name="SLHS" id="29"/>
    <tableColumn name="HACCP" id="30"/>
    <tableColumn name="HALAL" id="31"/>
    <tableColumn name="IPAL" id="32"/>
    <tableColumn name="ISOO" id="33"/>
    <tableColumn name="JUMLAH RELAWAN" id="34"/>
  </tableColumns>
  <tableStyleInfo name="12. WANASALAM-style" showColumnStripes="0" showFirstColumn="1" showLastColumn="1" showRowStripes="1"/>
</table>
</file>

<file path=xl/tables/table14.xml><?xml version="1.0" encoding="utf-8"?>
<table xmlns="http://schemas.openxmlformats.org/spreadsheetml/2006/main" ref="A4:AH28" displayName="Table_14" name="Table_14" id="14">
  <tableColumns count="34">
    <tableColumn name="NO" id="1"/>
    <tableColumn name="DESA" id="2"/>
    <tableColumn name="NAMA SPPG" id="3"/>
    <tableColumn name="ID SPPG" id="4"/>
    <tableColumn name="NAMA YAYASAN" id="5"/>
    <tableColumn name="ALAMAT SPPG" id="6"/>
    <tableColumn name="Sudah Operasional" id="7"/>
    <tableColumn name="TANGGAL OPERASIONAL" id="8"/>
    <tableColumn name="NAMA KASPPG" id="9"/>
    <tableColumn name="NO.HP KASPPG" id="10"/>
    <tableColumn name="JUMLAH PENERIMA MANFAAT" id="11"/>
    <tableColumn name="DAFTAR PENERIMA MANFAAT KB" id="12"/>
    <tableColumn name="DAFTAR PENERIMA MANFAAT TK" id="13"/>
    <tableColumn name="DAFTAR PENERIMA MANFAAT KB/RA" id="14"/>
    <tableColumn name="DAFTAR PENERIMA MANFAAT PAUD" id="15"/>
    <tableColumn name="DAFTAR PENERIMA MANFAAT SD/MI" id="16"/>
    <tableColumn name="DAFTAR PENERIMA MANFAAT SMP/MTS" id="17"/>
    <tableColumn name="DAFTAR PENERIMA MANFAAT SMA/SMK/MA" id="18"/>
    <tableColumn name="DAFTAR PENERIMA MANFAAT POSYANDU KELOMPOK IBU HAMIL" id="19"/>
    <tableColumn name="DAFTAR PENERIMA MANFAAT POSYANDU KELOMPOK IBU MENYUSUI" id="20"/>
    <tableColumn name="DAFTAR PENERIMA MANFAAT POSYANDU KELOMPOK IBU BALITA" id="21"/>
    <tableColumn name="DAFTAR PENERIMA MANFAAT KELOMPOK SANTRI (PESANTREN TRADISIONAL)" id="22"/>
    <tableColumn name="DAFTAR PENERIMA MANFAAT KELOMPOK ANAK TIDAK SEKOLAH (ATS)" id="23"/>
    <tableColumn name="Keterangan" id="24"/>
    <tableColumn name="BPJS TK" id="25"/>
    <tableColumn name="PENJAMAH MAKANAN" id="26"/>
    <tableColumn name="CHEF BERSERTIFIKAT BNSP" id="27"/>
    <tableColumn name="IKL" id="28"/>
    <tableColumn name="SLHS" id="29"/>
    <tableColumn name="HACCP" id="30"/>
    <tableColumn name="HALAL" id="31"/>
    <tableColumn name="IPAL" id="32"/>
    <tableColumn name="ISOO" id="33"/>
    <tableColumn name="JUMLAH RELAWAN" id="34"/>
  </tableColumns>
  <tableStyleInfo name="14. SOBANG-style" showColumnStripes="0" showFirstColumn="1" showLastColumn="1" showRowStripes="1"/>
</table>
</file>

<file path=xl/tables/table15.xml><?xml version="1.0" encoding="utf-8"?>
<table xmlns="http://schemas.openxmlformats.org/spreadsheetml/2006/main" ref="A4:AI14" displayName="Table_15" name="Table_15" id="15">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16. LEBAK GEDONG-style" showColumnStripes="0" showFirstColumn="1" showLastColumn="1" showRowStripes="1"/>
</table>
</file>

<file path=xl/tables/table16.xml><?xml version="1.0" encoding="utf-8"?>
<table xmlns="http://schemas.openxmlformats.org/spreadsheetml/2006/main" ref="A4:AI17" displayName="Table_16" name="Table_16" id="16">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18. SAJIRA-style" showColumnStripes="0" showFirstColumn="1" showLastColumn="1" showRowStripes="1"/>
</table>
</file>

<file path=xl/tables/table17.xml><?xml version="1.0" encoding="utf-8"?>
<table xmlns="http://schemas.openxmlformats.org/spreadsheetml/2006/main" ref="A4:AI18" displayName="Table_17" name="Table_17" id="17">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19. WARUNGGUNUNG-style" showColumnStripes="0" showFirstColumn="1" showLastColumn="1" showRowStripes="1"/>
</table>
</file>

<file path=xl/tables/table18.xml><?xml version="1.0" encoding="utf-8"?>
<table xmlns="http://schemas.openxmlformats.org/spreadsheetml/2006/main" ref="A4:AI14" displayName="Table_18" name="Table_18" id="18">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20. CIRINTEN-style" showColumnStripes="0" showFirstColumn="1" showLastColumn="1" showRowStripes="1"/>
</table>
</file>

<file path=xl/tables/table19.xml><?xml version="1.0" encoding="utf-8"?>
<table xmlns="http://schemas.openxmlformats.org/spreadsheetml/2006/main" ref="A4:AI31" displayName="Table_19" name="Table_19" id="19">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22. RANGKASBITUNG-style" showColumnStripes="0" showFirstColumn="1" showLastColumn="1" showRowStripes="1"/>
</table>
</file>

<file path=xl/tables/table20.xml><?xml version="1.0" encoding="utf-8"?>
<table xmlns="http://schemas.openxmlformats.org/spreadsheetml/2006/main" ref="A4:AI14" displayName="Table_20" name="Table_20" id="20">
  <tableColumns count="35">
    <tableColumn name="NO" id="1"/>
    <tableColumn name="DESA" id="2"/>
    <tableColumn name="NAMA SPPG" id="3"/>
    <tableColumn name="ID SPPG" id="4"/>
    <tableColumn name="NAMA YAYASAN" id="5"/>
    <tableColumn name="ALAMAT SPPG" id="6"/>
    <tableColumn name="STATUS/TAHAPAN OPERASIONAL" id="7"/>
    <tableColumn name="TANGGAL OPERASIONALM"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21. CIBADAK-style" showColumnStripes="0" showFirstColumn="1" showLastColumn="1" showRowStripes="1"/>
</table>
</file>

<file path=xl/tables/table21.xml><?xml version="1.0" encoding="utf-8"?>
<table xmlns="http://schemas.openxmlformats.org/spreadsheetml/2006/main" ref="A4:AI23" displayName="Table_21" name="Table_21" id="21">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23. CIHARA-style" showColumnStripes="0" showFirstColumn="1" showLastColumn="1" showRowStripes="1"/>
</table>
</file>

<file path=xl/tables/table22.xml><?xml version="1.0" encoding="utf-8"?>
<table xmlns="http://schemas.openxmlformats.org/spreadsheetml/2006/main" ref="A4:AI12" displayName="Table_22" name="Table_22" id="22">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24. CILOGRANG-style" showColumnStripes="0" showFirstColumn="1" showLastColumn="1" showRowStripes="1"/>
</table>
</file>

<file path=xl/tables/table23.xml><?xml version="1.0" encoding="utf-8"?>
<table xmlns="http://schemas.openxmlformats.org/spreadsheetml/2006/main" ref="A26:AG33" displayName="Table_23" name="Table_23" id="23">
  <tableColumns count="33">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s>
  <tableStyleInfo name="24. CILOGRANG-style 2" showColumnStripes="0" showFirstColumn="1" showLastColumn="1" showRowStripes="1"/>
</table>
</file>

<file path=xl/tables/table24.xml><?xml version="1.0" encoding="utf-8"?>
<table xmlns="http://schemas.openxmlformats.org/spreadsheetml/2006/main" ref="A4:AI19" displayName="Table_24" name="Table_24" id="24">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26. CILELES-style" showColumnStripes="0" showFirstColumn="1" showLastColumn="1" showRowStripes="1"/>
</table>
</file>

<file path=xl/tables/table25.xml><?xml version="1.0" encoding="utf-8"?>
<table xmlns="http://schemas.openxmlformats.org/spreadsheetml/2006/main" headerRowCount="0" ref="A21:AI21" displayName="Table_25" name="Table_25" id="25">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26. CILELES-style 2" showColumnStripes="0" showFirstColumn="1" showLastColumn="1" showRowStripes="1"/>
</table>
</file>

<file path=xl/tables/table26.xml><?xml version="1.0" encoding="utf-8"?>
<table xmlns="http://schemas.openxmlformats.org/spreadsheetml/2006/main" ref="A4:AI14" displayName="Table_26" name="Table_26" id="26">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27. CIKULUR-style" showColumnStripes="0" showFirstColumn="1" showLastColumn="1" showRowStripes="1"/>
</table>
</file>

<file path=xl/tables/table27.xml><?xml version="1.0" encoding="utf-8"?>
<table xmlns="http://schemas.openxmlformats.org/spreadsheetml/2006/main" ref="A4:AI21" displayName="Table_27" name="Table_27" id="27">
  <tableColumns count="35">
    <tableColumn name="NO" id="1"/>
    <tableColumn name="DESA" id="2"/>
    <tableColumn name="NAMA SPPG" id="3"/>
    <tableColumn name="ID SPPG" id="4"/>
    <tableColumn name="NAMA YAYASAN" id="5"/>
    <tableColumn name="ALAMAT SPPG" id="6"/>
    <tableColumn name="STATUS/TAHAPAN OPERASIONAL" id="7"/>
    <tableColumn name="TANGGAL OPERASIONAL" id="8"/>
    <tableColumn name="BPJS" id="9"/>
    <tableColumn name="NAMA KASPPG" id="10"/>
    <tableColumn name="NO.HP KASPPG" id="11"/>
    <tableColumn name="JUMLAH PENERIMA MANFAAT" id="12"/>
    <tableColumn name="DAFTAR PENERIMA MANFAAT KB" id="13"/>
    <tableColumn name="DAFTAR PENERIMA MANFAAT TK" id="14"/>
    <tableColumn name="DAFTAR PENERIMA MANFAAT KB/RA" id="15"/>
    <tableColumn name="DAFTAR PENERIMA MANFAAT PAUD" id="16"/>
    <tableColumn name="DAFTAR PENERIMA MANFAAT SD/MI" id="17"/>
    <tableColumn name="DAFTAR PENERIMA MANFAAT SMP/MTS" id="18"/>
    <tableColumn name="DAFTAR PENERIMA MANFAAT SMA/SMK/MA" id="19"/>
    <tableColumn name="DAFTAR PENERIMA MANFAAT POSYANDU KELOMPOK IBU HAMIL" id="20"/>
    <tableColumn name="DAFTAR PENERIMA MANFAAT POSYANDU KELOMPOK IBU MENYUSUI" id="21"/>
    <tableColumn name="DAFTAR PENERIMA MANFAAT POSYANDU KELOMPOK IBU BALITA" id="22"/>
    <tableColumn name="DAFTAR PENERIMA MANFAAT KELOMPOK SANTRI (PESANTREN TRADISIONAL)" id="23"/>
    <tableColumn name="DAFTAR PENERIMA MANFAAT KELOMPOK ANAK TIDAK SEKOLAH (ATS)" id="24"/>
    <tableColumn name="Keterangan" id="25"/>
    <tableColumn name="BPJS TK" id="26"/>
    <tableColumn name="PENJAMAH MAKANAN" id="27"/>
    <tableColumn name="CHEF BERSERTIFIKAT BNSP" id="28"/>
    <tableColumn name="IKL" id="29"/>
    <tableColumn name="SLHS" id="30"/>
    <tableColumn name="HACCP" id="31"/>
    <tableColumn name="HALAL" id="32"/>
    <tableColumn name="IPAL" id="33"/>
    <tableColumn name="ISOO" id="34"/>
    <tableColumn name="JUMLAH RELAWAN" id="35"/>
  </tableColumns>
  <tableStyleInfo name="28. CIMARG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4" Type="http://schemas.openxmlformats.org/officeDocument/2006/relationships/table" Target="../tables/table22.xml"/><Relationship Id="rId5" Type="http://schemas.openxmlformats.org/officeDocument/2006/relationships/table" Target="../tables/table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4" Type="http://schemas.openxmlformats.org/officeDocument/2006/relationships/table" Target="../tables/table24.xml"/><Relationship Id="rId5"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4.43"/>
    <col customWidth="1" min="3" max="3" width="38.71"/>
    <col customWidth="1" min="4" max="4" width="15.57"/>
    <col customWidth="1" min="5" max="5" width="30.71"/>
    <col customWidth="1" min="6" max="6" width="77.57"/>
    <col customWidth="1" min="7" max="7" width="19.57"/>
    <col customWidth="1" min="8" max="9" width="21.14"/>
    <col customWidth="1" min="10" max="10" width="25.43"/>
    <col customWidth="1" min="11" max="11" width="18.0"/>
    <col customWidth="1" min="12" max="12" width="33.71"/>
    <col customWidth="1" min="13" max="13" width="35.0"/>
    <col customWidth="1" min="14" max="14" width="27.0"/>
    <col customWidth="1" min="15" max="15" width="37.0"/>
    <col customWidth="1" min="16" max="17" width="27.0"/>
    <col customWidth="1" min="18" max="18" width="34.43"/>
    <col customWidth="1" min="19" max="19" width="32.43"/>
    <col customWidth="1" min="20" max="24" width="26.43"/>
    <col customWidth="1" min="25" max="25" width="14.43"/>
    <col customWidth="1" min="26" max="26" width="15.86"/>
    <col customWidth="1" min="27" max="27" width="15.57"/>
    <col customWidth="1" min="28" max="28" width="15.14"/>
    <col customWidth="1" min="29" max="29" width="15.29"/>
    <col customWidth="1" min="30" max="30" width="16.43"/>
    <col customWidth="1" min="31" max="31" width="18.29"/>
    <col customWidth="1" min="32" max="32" width="16.14"/>
    <col customWidth="1" min="33" max="33" width="20.29"/>
    <col customWidth="1" min="34" max="34" width="17.0"/>
    <col customWidth="1" min="35" max="35" width="11.14"/>
  </cols>
  <sheetData>
    <row r="1" ht="14.25" customHeight="1">
      <c r="A1" s="1" t="s">
        <v>0</v>
      </c>
      <c r="B1" s="2"/>
      <c r="D1" s="3"/>
      <c r="E1" s="3"/>
      <c r="F1" s="2"/>
      <c r="L1" s="4" t="s">
        <v>1</v>
      </c>
    </row>
    <row r="2" ht="14.25" customHeight="1">
      <c r="B2" s="2"/>
      <c r="D2" s="3"/>
      <c r="E2" s="3"/>
      <c r="F2" s="2"/>
      <c r="L2" s="5" t="s">
        <v>2</v>
      </c>
    </row>
    <row r="3" ht="14.25" customHeight="1">
      <c r="B3" s="2"/>
      <c r="D3" s="3"/>
      <c r="E3" s="3"/>
      <c r="F3" s="2"/>
      <c r="L3" s="2"/>
      <c r="M3" s="2"/>
      <c r="N3" s="2"/>
      <c r="O3" s="2"/>
    </row>
    <row r="4" ht="40.5" customHeight="1">
      <c r="A4" s="6" t="s">
        <v>3</v>
      </c>
      <c r="B4" s="7" t="s">
        <v>4</v>
      </c>
      <c r="C4" s="6" t="s">
        <v>5</v>
      </c>
      <c r="D4" s="6" t="s">
        <v>6</v>
      </c>
      <c r="E4" s="6" t="s">
        <v>7</v>
      </c>
      <c r="F4" s="7" t="s">
        <v>8</v>
      </c>
      <c r="G4" s="6" t="s">
        <v>9</v>
      </c>
      <c r="H4" s="6" t="s">
        <v>10</v>
      </c>
      <c r="I4" s="6" t="s">
        <v>11</v>
      </c>
      <c r="J4" s="6" t="s">
        <v>12</v>
      </c>
      <c r="K4" s="6" t="s">
        <v>13</v>
      </c>
      <c r="L4" s="7" t="s">
        <v>14</v>
      </c>
      <c r="M4" s="7" t="s">
        <v>15</v>
      </c>
      <c r="N4" s="7" t="s">
        <v>16</v>
      </c>
      <c r="O4" s="7" t="s">
        <v>17</v>
      </c>
      <c r="P4" s="6" t="s">
        <v>18</v>
      </c>
      <c r="Q4" s="6" t="s">
        <v>19</v>
      </c>
      <c r="R4" s="6" t="s">
        <v>20</v>
      </c>
      <c r="S4" s="6" t="s">
        <v>21</v>
      </c>
      <c r="T4" s="6" t="s">
        <v>22</v>
      </c>
      <c r="U4" s="6" t="s">
        <v>23</v>
      </c>
      <c r="V4" s="6" t="s">
        <v>24</v>
      </c>
      <c r="W4" s="6" t="s">
        <v>25</v>
      </c>
      <c r="X4" s="6" t="s">
        <v>26</v>
      </c>
      <c r="Y4" s="6" t="s">
        <v>27</v>
      </c>
      <c r="Z4" s="8" t="s">
        <v>28</v>
      </c>
      <c r="AA4" s="8" t="s">
        <v>29</v>
      </c>
      <c r="AB4" s="8" t="s">
        <v>30</v>
      </c>
      <c r="AC4" s="8" t="s">
        <v>31</v>
      </c>
      <c r="AD4" s="8" t="s">
        <v>32</v>
      </c>
      <c r="AE4" s="8" t="s">
        <v>33</v>
      </c>
      <c r="AF4" s="8" t="s">
        <v>34</v>
      </c>
      <c r="AG4" s="8" t="s">
        <v>35</v>
      </c>
      <c r="AH4" s="8" t="s">
        <v>36</v>
      </c>
      <c r="AI4" s="8" t="s">
        <v>37</v>
      </c>
    </row>
    <row r="5" ht="14.25" customHeight="1">
      <c r="A5" s="9">
        <v>1.0</v>
      </c>
      <c r="B5" s="9" t="s">
        <v>38</v>
      </c>
      <c r="C5" s="10" t="s">
        <v>39</v>
      </c>
      <c r="D5" s="11" t="s">
        <v>40</v>
      </c>
      <c r="E5" s="11" t="s">
        <v>41</v>
      </c>
      <c r="F5" s="9" t="s">
        <v>42</v>
      </c>
      <c r="G5" s="9" t="s">
        <v>43</v>
      </c>
      <c r="H5" s="12">
        <v>45901.0</v>
      </c>
      <c r="I5" s="11" t="s">
        <v>44</v>
      </c>
      <c r="J5" s="11" t="s">
        <v>45</v>
      </c>
      <c r="K5" s="11" t="s">
        <v>46</v>
      </c>
      <c r="L5" s="9">
        <v>3413.0</v>
      </c>
      <c r="M5" s="9" t="s">
        <v>47</v>
      </c>
      <c r="N5" s="9" t="s">
        <v>48</v>
      </c>
      <c r="O5" s="9" t="s">
        <v>49</v>
      </c>
      <c r="P5" s="9"/>
      <c r="Q5" s="9" t="s">
        <v>50</v>
      </c>
      <c r="R5" s="9" t="s">
        <v>51</v>
      </c>
      <c r="S5" s="9" t="s">
        <v>52</v>
      </c>
      <c r="T5" s="9" t="s">
        <v>53</v>
      </c>
      <c r="U5" s="9" t="s">
        <v>53</v>
      </c>
      <c r="V5" s="9" t="s">
        <v>53</v>
      </c>
      <c r="W5" s="9" t="s">
        <v>53</v>
      </c>
      <c r="X5" s="9" t="s">
        <v>53</v>
      </c>
      <c r="Y5" s="11" t="s">
        <v>53</v>
      </c>
      <c r="Z5" s="11" t="s">
        <v>54</v>
      </c>
      <c r="AA5" s="11"/>
      <c r="AB5" s="11"/>
      <c r="AC5" s="11"/>
      <c r="AD5" s="11"/>
      <c r="AE5" s="11"/>
      <c r="AF5" s="11"/>
      <c r="AG5" s="11"/>
      <c r="AH5" s="11"/>
      <c r="AI5" s="11"/>
    </row>
    <row r="6" ht="14.25" customHeight="1">
      <c r="A6" s="13"/>
      <c r="B6" s="13"/>
      <c r="C6" s="13"/>
      <c r="D6" s="14"/>
      <c r="E6" s="14"/>
      <c r="F6" s="13"/>
      <c r="G6" s="15"/>
      <c r="H6" s="16"/>
      <c r="I6" s="13"/>
      <c r="J6" s="13"/>
      <c r="K6" s="13"/>
      <c r="L6" s="13" t="s">
        <v>55</v>
      </c>
      <c r="M6" s="13">
        <v>79.0</v>
      </c>
      <c r="N6" s="15">
        <v>66.0</v>
      </c>
      <c r="O6" s="15">
        <v>44.0</v>
      </c>
      <c r="P6" s="13"/>
      <c r="Q6" s="17">
        <v>1769.0</v>
      </c>
      <c r="R6" s="13">
        <v>968.0</v>
      </c>
      <c r="S6" s="13">
        <v>487.0</v>
      </c>
      <c r="T6" s="13">
        <v>0.0</v>
      </c>
      <c r="U6" s="13">
        <v>0.0</v>
      </c>
      <c r="V6" s="13">
        <v>0.0</v>
      </c>
      <c r="W6" s="13">
        <v>0.0</v>
      </c>
      <c r="X6" s="13">
        <v>0.0</v>
      </c>
      <c r="Y6" s="14">
        <v>0.0</v>
      </c>
      <c r="Z6" s="14"/>
      <c r="AA6" s="14"/>
      <c r="AB6" s="14"/>
      <c r="AC6" s="14"/>
      <c r="AD6" s="14"/>
      <c r="AE6" s="14"/>
      <c r="AF6" s="14"/>
      <c r="AG6" s="14"/>
      <c r="AH6" s="14"/>
      <c r="AI6" s="14"/>
    </row>
    <row r="7" ht="14.25" customHeight="1">
      <c r="A7" s="9">
        <v>2.0</v>
      </c>
      <c r="B7" s="9" t="s">
        <v>56</v>
      </c>
      <c r="C7" s="10" t="s">
        <v>57</v>
      </c>
      <c r="D7" s="11" t="s">
        <v>58</v>
      </c>
      <c r="E7" s="11" t="s">
        <v>59</v>
      </c>
      <c r="F7" s="9" t="s">
        <v>60</v>
      </c>
      <c r="G7" s="9" t="s">
        <v>43</v>
      </c>
      <c r="H7" s="12">
        <v>45903.0</v>
      </c>
      <c r="I7" s="11" t="s">
        <v>44</v>
      </c>
      <c r="J7" s="11" t="s">
        <v>61</v>
      </c>
      <c r="K7" s="18" t="s">
        <v>62</v>
      </c>
      <c r="L7" s="9">
        <v>2401.0</v>
      </c>
      <c r="M7" s="9" t="s">
        <v>53</v>
      </c>
      <c r="N7" s="9" t="s">
        <v>53</v>
      </c>
      <c r="O7" s="9" t="s">
        <v>63</v>
      </c>
      <c r="P7" s="9" t="s">
        <v>64</v>
      </c>
      <c r="Q7" s="9" t="s">
        <v>65</v>
      </c>
      <c r="R7" s="9" t="s">
        <v>66</v>
      </c>
      <c r="S7" s="9" t="s">
        <v>67</v>
      </c>
      <c r="T7" s="9">
        <v>52.0</v>
      </c>
      <c r="U7" s="9">
        <v>94.0</v>
      </c>
      <c r="V7" s="9">
        <v>528.0</v>
      </c>
      <c r="W7" s="9" t="s">
        <v>53</v>
      </c>
      <c r="X7" s="9" t="s">
        <v>53</v>
      </c>
      <c r="Y7" s="9" t="s">
        <v>53</v>
      </c>
      <c r="Z7" s="11"/>
      <c r="AA7" s="11"/>
      <c r="AB7" s="11"/>
      <c r="AC7" s="11"/>
      <c r="AD7" s="11"/>
      <c r="AE7" s="11"/>
      <c r="AF7" s="11"/>
      <c r="AG7" s="11"/>
      <c r="AH7" s="11"/>
      <c r="AI7" s="11"/>
    </row>
    <row r="8" ht="14.25" customHeight="1">
      <c r="A8" s="13"/>
      <c r="B8" s="13"/>
      <c r="C8" s="13"/>
      <c r="D8" s="14"/>
      <c r="E8" s="14"/>
      <c r="F8" s="13"/>
      <c r="G8" s="13"/>
      <c r="H8" s="13"/>
      <c r="I8" s="13"/>
      <c r="J8" s="13"/>
      <c r="K8" s="15"/>
      <c r="L8" s="13" t="s">
        <v>55</v>
      </c>
      <c r="M8" s="13"/>
      <c r="N8" s="13"/>
      <c r="O8" s="13">
        <v>41.0</v>
      </c>
      <c r="P8" s="13">
        <v>53.0</v>
      </c>
      <c r="Q8" s="13">
        <v>1253.0</v>
      </c>
      <c r="R8" s="13">
        <v>152.0</v>
      </c>
      <c r="S8" s="13">
        <v>228.0</v>
      </c>
      <c r="T8" s="13">
        <v>52.0</v>
      </c>
      <c r="U8" s="13">
        <v>94.0</v>
      </c>
      <c r="V8" s="13">
        <v>528.0</v>
      </c>
      <c r="W8" s="13"/>
      <c r="X8" s="13"/>
      <c r="Y8" s="13"/>
      <c r="Z8" s="14"/>
      <c r="AA8" s="14"/>
      <c r="AB8" s="14"/>
      <c r="AC8" s="14"/>
      <c r="AD8" s="14"/>
      <c r="AE8" s="14"/>
      <c r="AF8" s="14"/>
      <c r="AG8" s="14"/>
      <c r="AH8" s="14"/>
      <c r="AI8" s="14"/>
    </row>
    <row r="9" ht="100.5" customHeight="1">
      <c r="A9" s="11">
        <v>3.0</v>
      </c>
      <c r="B9" s="9" t="s">
        <v>56</v>
      </c>
      <c r="C9" s="10" t="s">
        <v>68</v>
      </c>
      <c r="D9" s="11" t="s">
        <v>69</v>
      </c>
      <c r="E9" s="11" t="s">
        <v>70</v>
      </c>
      <c r="F9" s="9" t="s">
        <v>71</v>
      </c>
      <c r="G9" s="9" t="s">
        <v>43</v>
      </c>
      <c r="H9" s="11"/>
      <c r="I9" s="11" t="s">
        <v>72</v>
      </c>
      <c r="J9" s="11" t="s">
        <v>73</v>
      </c>
      <c r="K9" s="19" t="s">
        <v>74</v>
      </c>
      <c r="L9" s="9">
        <v>1470.0</v>
      </c>
      <c r="M9" s="9" t="s">
        <v>75</v>
      </c>
      <c r="N9" s="9"/>
      <c r="O9" s="9"/>
      <c r="P9" s="11"/>
      <c r="Q9" s="20" t="s">
        <v>76</v>
      </c>
      <c r="R9" s="21" t="s">
        <v>77</v>
      </c>
      <c r="S9" s="9" t="s">
        <v>78</v>
      </c>
      <c r="T9" s="11">
        <v>64.0</v>
      </c>
      <c r="U9" s="11">
        <v>144.0</v>
      </c>
      <c r="V9" s="11">
        <v>206.0</v>
      </c>
      <c r="W9" s="11"/>
      <c r="X9" s="11"/>
      <c r="Y9" s="11"/>
      <c r="Z9" s="11"/>
      <c r="AA9" s="11"/>
      <c r="AB9" s="11"/>
      <c r="AC9" s="11"/>
      <c r="AD9" s="11"/>
      <c r="AE9" s="11"/>
      <c r="AF9" s="11"/>
      <c r="AG9" s="11"/>
      <c r="AH9" s="11"/>
      <c r="AI9" s="11"/>
    </row>
    <row r="10" ht="14.25" customHeight="1">
      <c r="A10" s="14"/>
      <c r="B10" s="13"/>
      <c r="C10" s="14"/>
      <c r="D10" s="14"/>
      <c r="E10" s="14"/>
      <c r="F10" s="13"/>
      <c r="G10" s="14"/>
      <c r="H10" s="14"/>
      <c r="I10" s="14"/>
      <c r="J10" s="14"/>
      <c r="K10" s="14"/>
      <c r="L10" s="13" t="s">
        <v>79</v>
      </c>
      <c r="M10" s="13">
        <v>32.0</v>
      </c>
      <c r="N10" s="13"/>
      <c r="O10" s="13"/>
      <c r="P10" s="13"/>
      <c r="Q10" s="13">
        <v>533.0</v>
      </c>
      <c r="R10" s="13">
        <v>347.0</v>
      </c>
      <c r="S10" s="13">
        <v>144.0</v>
      </c>
      <c r="T10" s="13">
        <v>64.0</v>
      </c>
      <c r="U10" s="13">
        <v>144.0</v>
      </c>
      <c r="V10" s="13">
        <v>206.0</v>
      </c>
      <c r="W10" s="13"/>
      <c r="X10" s="13"/>
      <c r="Y10" s="13"/>
      <c r="Z10" s="14"/>
      <c r="AA10" s="14"/>
      <c r="AB10" s="14"/>
      <c r="AC10" s="14"/>
      <c r="AD10" s="14"/>
      <c r="AE10" s="14"/>
      <c r="AF10" s="14"/>
      <c r="AG10" s="14"/>
      <c r="AH10" s="14"/>
      <c r="AI10" s="14"/>
    </row>
    <row r="11" ht="14.25" customHeight="1">
      <c r="A11" s="11">
        <v>4.0</v>
      </c>
      <c r="B11" s="9" t="s">
        <v>80</v>
      </c>
      <c r="C11" s="10" t="s">
        <v>81</v>
      </c>
      <c r="D11" s="11" t="s">
        <v>82</v>
      </c>
      <c r="E11" s="11" t="s">
        <v>83</v>
      </c>
      <c r="F11" s="9" t="s">
        <v>84</v>
      </c>
      <c r="G11" s="9" t="s">
        <v>43</v>
      </c>
      <c r="H11" s="12">
        <v>46023.0</v>
      </c>
      <c r="I11" s="11" t="s">
        <v>44</v>
      </c>
      <c r="J11" s="11" t="s">
        <v>85</v>
      </c>
      <c r="K11" s="19" t="s">
        <v>86</v>
      </c>
      <c r="L11" s="22">
        <v>2883.0</v>
      </c>
      <c r="M11" s="9" t="s">
        <v>87</v>
      </c>
      <c r="N11" s="9" t="s">
        <v>88</v>
      </c>
      <c r="O11" s="9" t="s">
        <v>89</v>
      </c>
      <c r="P11" s="9" t="s">
        <v>90</v>
      </c>
      <c r="Q11" s="9" t="s">
        <v>91</v>
      </c>
      <c r="R11" s="9" t="s">
        <v>92</v>
      </c>
      <c r="S11" s="9" t="s">
        <v>93</v>
      </c>
      <c r="T11" s="9" t="s">
        <v>53</v>
      </c>
      <c r="U11" s="9" t="s">
        <v>53</v>
      </c>
      <c r="V11" s="9" t="s">
        <v>53</v>
      </c>
      <c r="W11" s="9" t="s">
        <v>53</v>
      </c>
      <c r="X11" s="9" t="s">
        <v>53</v>
      </c>
      <c r="Y11" s="9" t="s">
        <v>53</v>
      </c>
      <c r="Z11" s="11"/>
      <c r="AA11" s="11"/>
      <c r="AB11" s="11"/>
      <c r="AC11" s="11"/>
      <c r="AD11" s="11"/>
      <c r="AE11" s="11"/>
      <c r="AF11" s="11"/>
      <c r="AG11" s="11"/>
      <c r="AH11" s="11"/>
      <c r="AI11" s="11"/>
    </row>
    <row r="12" ht="14.25" customHeight="1">
      <c r="A12" s="14"/>
      <c r="B12" s="13"/>
      <c r="C12" s="14"/>
      <c r="D12" s="14"/>
      <c r="E12" s="14"/>
      <c r="F12" s="13"/>
      <c r="G12" s="14"/>
      <c r="H12" s="14"/>
      <c r="I12" s="14"/>
      <c r="J12" s="14"/>
      <c r="K12" s="14"/>
      <c r="L12" s="13" t="s">
        <v>79</v>
      </c>
      <c r="M12" s="13">
        <v>121.0</v>
      </c>
      <c r="N12" s="13">
        <v>19.0</v>
      </c>
      <c r="O12" s="13">
        <v>61.0</v>
      </c>
      <c r="P12" s="13">
        <v>44.0</v>
      </c>
      <c r="Q12" s="13">
        <v>803.0</v>
      </c>
      <c r="R12" s="13">
        <v>885.0</v>
      </c>
      <c r="S12" s="13">
        <v>950.0</v>
      </c>
      <c r="T12" s="13">
        <v>0.0</v>
      </c>
      <c r="U12" s="13">
        <v>0.0</v>
      </c>
      <c r="V12" s="13">
        <v>0.0</v>
      </c>
      <c r="W12" s="13">
        <v>0.0</v>
      </c>
      <c r="X12" s="13">
        <v>0.0</v>
      </c>
      <c r="Y12" s="13">
        <v>0.0</v>
      </c>
      <c r="Z12" s="14"/>
      <c r="AA12" s="14"/>
      <c r="AB12" s="14"/>
      <c r="AC12" s="14"/>
      <c r="AD12" s="14"/>
      <c r="AE12" s="14"/>
      <c r="AF12" s="14"/>
      <c r="AG12" s="14"/>
      <c r="AH12" s="14"/>
      <c r="AI12" s="14"/>
    </row>
    <row r="13" ht="14.25" customHeight="1">
      <c r="A13" s="23">
        <v>5.0</v>
      </c>
      <c r="B13" s="9" t="s">
        <v>94</v>
      </c>
      <c r="C13" s="24" t="s">
        <v>95</v>
      </c>
      <c r="D13" s="11" t="s">
        <v>96</v>
      </c>
      <c r="E13" s="11" t="s">
        <v>97</v>
      </c>
      <c r="F13" s="9" t="s">
        <v>98</v>
      </c>
      <c r="G13" s="9" t="s">
        <v>43</v>
      </c>
      <c r="H13" s="11"/>
      <c r="I13" s="11" t="s">
        <v>72</v>
      </c>
      <c r="J13" s="11" t="s">
        <v>99</v>
      </c>
      <c r="K13" s="19" t="s">
        <v>100</v>
      </c>
      <c r="L13" s="9">
        <v>2544.0</v>
      </c>
      <c r="M13" s="9" t="s">
        <v>101</v>
      </c>
      <c r="N13" s="9"/>
      <c r="O13" s="9" t="s">
        <v>102</v>
      </c>
      <c r="P13" s="11"/>
      <c r="Q13" s="25" t="s">
        <v>103</v>
      </c>
      <c r="R13" s="9" t="s">
        <v>104</v>
      </c>
      <c r="S13" s="9" t="s">
        <v>105</v>
      </c>
      <c r="T13" s="11"/>
      <c r="U13" s="11"/>
      <c r="V13" s="11"/>
      <c r="W13" s="11"/>
      <c r="X13" s="11"/>
      <c r="Y13" s="11"/>
      <c r="Z13" s="11"/>
      <c r="AA13" s="11"/>
      <c r="AB13" s="11"/>
      <c r="AC13" s="11"/>
      <c r="AD13" s="11"/>
      <c r="AE13" s="11"/>
      <c r="AF13" s="11"/>
      <c r="AG13" s="11"/>
      <c r="AH13" s="11"/>
      <c r="AI13" s="11"/>
    </row>
    <row r="14" ht="14.25" customHeight="1">
      <c r="A14" s="14"/>
      <c r="B14" s="13"/>
      <c r="C14" s="14"/>
      <c r="D14" s="14"/>
      <c r="E14" s="14"/>
      <c r="F14" s="13"/>
      <c r="G14" s="14"/>
      <c r="H14" s="14"/>
      <c r="I14" s="14"/>
      <c r="J14" s="14"/>
      <c r="K14" s="14"/>
      <c r="L14" s="13"/>
      <c r="M14" s="13">
        <v>336.0</v>
      </c>
      <c r="N14" s="13"/>
      <c r="O14" s="13">
        <v>107.0</v>
      </c>
      <c r="P14" s="14"/>
      <c r="Q14" s="26">
        <v>1028.0</v>
      </c>
      <c r="R14" s="14">
        <v>569.0</v>
      </c>
      <c r="S14" s="14">
        <v>504.0</v>
      </c>
      <c r="T14" s="14"/>
      <c r="U14" s="14"/>
      <c r="V14" s="14"/>
      <c r="W14" s="14"/>
      <c r="X14" s="14"/>
      <c r="Y14" s="14"/>
      <c r="Z14" s="14"/>
      <c r="AA14" s="14"/>
      <c r="AB14" s="14"/>
      <c r="AC14" s="14"/>
      <c r="AD14" s="14"/>
      <c r="AE14" s="14"/>
      <c r="AF14" s="14"/>
      <c r="AG14" s="14"/>
      <c r="AH14" s="14"/>
      <c r="AI14" s="14"/>
    </row>
    <row r="15" ht="14.25" customHeight="1">
      <c r="A15" s="11">
        <v>6.0</v>
      </c>
      <c r="B15" s="9" t="s">
        <v>56</v>
      </c>
      <c r="C15" s="10" t="s">
        <v>106</v>
      </c>
      <c r="D15" s="11" t="s">
        <v>107</v>
      </c>
      <c r="E15" s="11" t="s">
        <v>108</v>
      </c>
      <c r="F15" s="9" t="s">
        <v>109</v>
      </c>
      <c r="G15" s="9" t="s">
        <v>43</v>
      </c>
      <c r="H15" s="11"/>
      <c r="I15" s="11" t="s">
        <v>72</v>
      </c>
      <c r="J15" s="11" t="s">
        <v>110</v>
      </c>
      <c r="K15" s="19" t="s">
        <v>111</v>
      </c>
      <c r="L15" s="27">
        <v>1828.0</v>
      </c>
      <c r="M15" s="9" t="s">
        <v>112</v>
      </c>
      <c r="N15" s="9"/>
      <c r="O15" s="9"/>
      <c r="P15" s="9" t="s">
        <v>113</v>
      </c>
      <c r="Q15" s="9" t="s">
        <v>114</v>
      </c>
      <c r="R15" s="9" t="s">
        <v>115</v>
      </c>
      <c r="S15" s="11"/>
      <c r="T15" s="11">
        <v>43.0</v>
      </c>
      <c r="U15" s="11">
        <v>152.0</v>
      </c>
      <c r="V15" s="11">
        <v>636.0</v>
      </c>
      <c r="W15" s="11"/>
      <c r="X15" s="11"/>
      <c r="Y15" s="11"/>
      <c r="Z15" s="11"/>
      <c r="AA15" s="11"/>
      <c r="AB15" s="11"/>
      <c r="AC15" s="11"/>
      <c r="AD15" s="11"/>
      <c r="AE15" s="11"/>
      <c r="AF15" s="11"/>
      <c r="AG15" s="11"/>
      <c r="AH15" s="11"/>
      <c r="AI15" s="11"/>
    </row>
    <row r="16" ht="14.25" customHeight="1">
      <c r="A16" s="14"/>
      <c r="B16" s="13"/>
      <c r="C16" s="14"/>
      <c r="D16" s="14"/>
      <c r="E16" s="14"/>
      <c r="F16" s="13"/>
      <c r="G16" s="14"/>
      <c r="H16" s="14"/>
      <c r="I16" s="14"/>
      <c r="J16" s="14"/>
      <c r="K16" s="14"/>
      <c r="L16" s="13"/>
      <c r="M16" s="13">
        <v>336.0</v>
      </c>
      <c r="N16" s="13"/>
      <c r="O16" s="13">
        <v>107.0</v>
      </c>
      <c r="P16" s="14"/>
      <c r="Q16" s="26">
        <v>1028.0</v>
      </c>
      <c r="R16" s="14">
        <v>569.0</v>
      </c>
      <c r="S16" s="14">
        <v>504.0</v>
      </c>
      <c r="T16" s="14"/>
      <c r="U16" s="14"/>
      <c r="V16" s="14"/>
      <c r="W16" s="14"/>
      <c r="X16" s="14"/>
      <c r="Y16" s="14"/>
      <c r="Z16" s="14"/>
      <c r="AA16" s="14"/>
      <c r="AB16" s="14"/>
      <c r="AC16" s="14"/>
      <c r="AD16" s="14"/>
      <c r="AE16" s="14"/>
      <c r="AF16" s="14"/>
      <c r="AG16" s="14"/>
      <c r="AH16" s="14"/>
      <c r="AI16" s="14"/>
    </row>
    <row r="17" ht="90.75" customHeight="1">
      <c r="A17" s="23">
        <v>7.0</v>
      </c>
      <c r="B17" s="24" t="s">
        <v>116</v>
      </c>
      <c r="C17" s="10" t="s">
        <v>117</v>
      </c>
      <c r="D17" s="11" t="s">
        <v>118</v>
      </c>
      <c r="E17" s="10" t="s">
        <v>119</v>
      </c>
      <c r="F17" s="9" t="s">
        <v>120</v>
      </c>
      <c r="G17" s="9" t="s">
        <v>43</v>
      </c>
      <c r="I17" s="23" t="s">
        <v>72</v>
      </c>
      <c r="J17" s="11" t="s">
        <v>121</v>
      </c>
      <c r="K17" s="23">
        <v>8.1231718791E10</v>
      </c>
      <c r="L17" s="24">
        <v>1.066</v>
      </c>
      <c r="N17" s="24" t="s">
        <v>122</v>
      </c>
      <c r="O17" s="24" t="s">
        <v>123</v>
      </c>
      <c r="P17" s="9" t="s">
        <v>124</v>
      </c>
      <c r="Q17" s="9" t="s">
        <v>125</v>
      </c>
      <c r="R17" s="9" t="s">
        <v>126</v>
      </c>
      <c r="S17" s="10"/>
      <c r="T17" s="23"/>
      <c r="U17" s="23"/>
      <c r="V17" s="23"/>
      <c r="W17" s="10"/>
      <c r="X17" s="10"/>
      <c r="Y17" s="10"/>
      <c r="Z17" s="11"/>
      <c r="AA17" s="11"/>
      <c r="AB17" s="11"/>
      <c r="AC17" s="11"/>
      <c r="AD17" s="11"/>
      <c r="AE17" s="11"/>
      <c r="AF17" s="11"/>
      <c r="AG17" s="11"/>
      <c r="AH17" s="11"/>
      <c r="AI17" s="11"/>
    </row>
    <row r="18" ht="14.25" customHeight="1">
      <c r="A18" s="14"/>
      <c r="B18" s="13"/>
      <c r="C18" s="14"/>
      <c r="D18" s="14"/>
      <c r="E18" s="14"/>
      <c r="F18" s="13"/>
      <c r="G18" s="14"/>
      <c r="H18" s="14"/>
      <c r="I18" s="14"/>
      <c r="J18" s="14"/>
      <c r="K18" s="14"/>
      <c r="L18" s="13"/>
      <c r="M18" s="13"/>
      <c r="N18" s="13"/>
      <c r="O18" s="13"/>
      <c r="P18" s="14"/>
      <c r="R18" s="14"/>
      <c r="S18" s="14"/>
      <c r="T18" s="14"/>
      <c r="U18" s="14"/>
      <c r="V18" s="14"/>
      <c r="W18" s="14"/>
      <c r="X18" s="14"/>
      <c r="Y18" s="14"/>
      <c r="Z18" s="14"/>
      <c r="AA18" s="14"/>
      <c r="AB18" s="14"/>
      <c r="AC18" s="14"/>
      <c r="AD18" s="14"/>
      <c r="AE18" s="14"/>
      <c r="AF18" s="14"/>
      <c r="AG18" s="14"/>
      <c r="AH18" s="14"/>
      <c r="AI18" s="14"/>
    </row>
    <row r="19" ht="14.25" customHeight="1">
      <c r="A19" s="23">
        <v>8.0</v>
      </c>
      <c r="B19" s="9" t="s">
        <v>127</v>
      </c>
      <c r="C19" s="10" t="s">
        <v>128</v>
      </c>
      <c r="D19" s="23" t="s">
        <v>129</v>
      </c>
      <c r="E19" s="10" t="s">
        <v>130</v>
      </c>
      <c r="F19" s="10" t="s">
        <v>131</v>
      </c>
      <c r="G19" s="9" t="s">
        <v>43</v>
      </c>
      <c r="H19" s="28">
        <v>46138.0</v>
      </c>
      <c r="I19" s="23" t="s">
        <v>44</v>
      </c>
      <c r="J19" s="10" t="s">
        <v>132</v>
      </c>
      <c r="K19" s="23">
        <v>8.1910578052E10</v>
      </c>
      <c r="L19" s="29">
        <v>1538.0</v>
      </c>
      <c r="M19" s="9" t="s">
        <v>133</v>
      </c>
      <c r="N19" s="9"/>
      <c r="O19" s="9"/>
      <c r="P19" s="11" t="s">
        <v>134</v>
      </c>
      <c r="Q19" s="9" t="s">
        <v>135</v>
      </c>
      <c r="R19" s="11" t="s">
        <v>136</v>
      </c>
      <c r="S19" s="11"/>
      <c r="T19" s="11">
        <v>66.0</v>
      </c>
      <c r="U19" s="11">
        <v>150.0</v>
      </c>
      <c r="V19" s="11">
        <v>509.0</v>
      </c>
      <c r="W19" s="11"/>
      <c r="X19" s="11"/>
      <c r="Y19" s="11"/>
      <c r="Z19" s="11" t="s">
        <v>54</v>
      </c>
      <c r="AA19" s="11"/>
      <c r="AB19" s="11"/>
      <c r="AC19" s="11"/>
      <c r="AD19" s="11"/>
      <c r="AE19" s="11"/>
      <c r="AF19" s="11"/>
      <c r="AG19" s="11" t="s">
        <v>54</v>
      </c>
      <c r="AH19" s="11"/>
      <c r="AI19" s="11"/>
    </row>
    <row r="20" ht="14.25" customHeight="1">
      <c r="A20" s="30"/>
      <c r="B20" s="13"/>
      <c r="C20" s="26"/>
      <c r="D20" s="31"/>
      <c r="E20" s="31"/>
      <c r="F20" s="32"/>
      <c r="G20" s="13"/>
      <c r="H20" s="26"/>
      <c r="I20" s="26"/>
      <c r="J20" s="26"/>
      <c r="K20" s="26"/>
      <c r="L20" s="33"/>
      <c r="M20" s="13"/>
      <c r="N20" s="13"/>
      <c r="O20" s="13"/>
      <c r="P20" s="14"/>
      <c r="Q20" s="14"/>
      <c r="R20" s="14"/>
      <c r="S20" s="14"/>
      <c r="T20" s="14"/>
      <c r="U20" s="14"/>
      <c r="V20" s="14"/>
      <c r="W20" s="14"/>
      <c r="X20" s="14"/>
      <c r="Y20" s="14"/>
      <c r="Z20" s="14"/>
      <c r="AA20" s="14"/>
      <c r="AB20" s="14"/>
      <c r="AC20" s="14"/>
      <c r="AD20" s="14"/>
      <c r="AE20" s="14"/>
      <c r="AF20" s="14"/>
      <c r="AG20" s="14"/>
      <c r="AH20" s="14"/>
      <c r="AI20" s="14"/>
    </row>
    <row r="21" ht="14.25" customHeight="1">
      <c r="A21" s="23">
        <v>9.0</v>
      </c>
      <c r="B21" s="9" t="s">
        <v>137</v>
      </c>
      <c r="C21" s="10" t="s">
        <v>138</v>
      </c>
      <c r="D21" s="34" t="s">
        <v>139</v>
      </c>
      <c r="E21" s="10" t="s">
        <v>140</v>
      </c>
      <c r="F21" s="25" t="s">
        <v>141</v>
      </c>
      <c r="G21" s="9" t="s">
        <v>142</v>
      </c>
      <c r="I21" s="23" t="s">
        <v>72</v>
      </c>
      <c r="J21" s="25" t="s">
        <v>143</v>
      </c>
      <c r="K21" s="35" t="s">
        <v>144</v>
      </c>
      <c r="L21" s="27">
        <v>1406.0</v>
      </c>
      <c r="M21" s="9"/>
      <c r="N21" s="9"/>
      <c r="O21" s="25"/>
      <c r="Q21" s="11"/>
      <c r="R21" s="11"/>
      <c r="S21" s="11"/>
      <c r="T21" s="11"/>
      <c r="U21" s="11"/>
      <c r="V21" s="11"/>
      <c r="W21" s="11"/>
      <c r="X21" s="11"/>
      <c r="Y21" s="11"/>
      <c r="Z21" s="11" t="s">
        <v>145</v>
      </c>
      <c r="AA21" s="11" t="s">
        <v>145</v>
      </c>
      <c r="AB21" s="11" t="s">
        <v>146</v>
      </c>
      <c r="AC21" s="11"/>
      <c r="AD21" s="11"/>
      <c r="AE21" s="11"/>
      <c r="AF21" s="11"/>
      <c r="AG21" s="11" t="s">
        <v>54</v>
      </c>
      <c r="AH21" s="11"/>
      <c r="AI21" s="11">
        <v>30.0</v>
      </c>
    </row>
    <row r="22" ht="14.25" customHeight="1">
      <c r="A22" s="30"/>
      <c r="B22" s="13"/>
      <c r="C22" s="36"/>
      <c r="D22" s="31"/>
      <c r="E22" s="30"/>
      <c r="F22" s="32"/>
      <c r="G22" s="13"/>
      <c r="H22" s="26"/>
      <c r="I22" s="30"/>
      <c r="J22" s="37"/>
      <c r="K22" s="37"/>
      <c r="L22" s="38"/>
      <c r="M22" s="39"/>
      <c r="N22" s="39"/>
      <c r="O22" s="37"/>
      <c r="P22" s="40"/>
      <c r="Q22" s="40"/>
      <c r="R22" s="40"/>
      <c r="S22" s="40"/>
      <c r="T22" s="40"/>
      <c r="U22" s="40"/>
      <c r="V22" s="40"/>
      <c r="W22" s="40"/>
      <c r="X22" s="40"/>
      <c r="Y22" s="40"/>
      <c r="Z22" s="14"/>
      <c r="AA22" s="14"/>
      <c r="AB22" s="14"/>
      <c r="AC22" s="14"/>
      <c r="AD22" s="14"/>
      <c r="AE22" s="14"/>
      <c r="AF22" s="14"/>
      <c r="AG22" s="14"/>
      <c r="AH22" s="14"/>
      <c r="AI22" s="14"/>
    </row>
    <row r="23" ht="14.25" customHeight="1">
      <c r="A23" s="41"/>
      <c r="B23" s="42"/>
      <c r="C23" s="43"/>
      <c r="D23" s="44"/>
      <c r="E23" s="45"/>
      <c r="F23" s="46"/>
      <c r="G23" s="47"/>
      <c r="H23" s="48"/>
      <c r="I23" s="48"/>
      <c r="J23" s="49"/>
      <c r="K23" s="50"/>
      <c r="L23" s="51"/>
      <c r="M23" s="52"/>
      <c r="N23" s="51"/>
      <c r="O23" s="53"/>
      <c r="P23" s="11"/>
      <c r="Q23" s="54"/>
      <c r="R23" s="55"/>
      <c r="S23" s="55"/>
      <c r="T23" s="55"/>
      <c r="U23" s="25"/>
      <c r="V23" s="25"/>
      <c r="W23" s="25"/>
      <c r="X23" s="25"/>
      <c r="Y23" s="25"/>
      <c r="Z23" s="56"/>
      <c r="AA23" s="56"/>
      <c r="AB23" s="56"/>
      <c r="AC23" s="56"/>
      <c r="AD23" s="57"/>
      <c r="AE23" s="56"/>
      <c r="AF23" s="56"/>
      <c r="AG23" s="56"/>
      <c r="AH23" s="56"/>
      <c r="AI23" s="56"/>
    </row>
    <row r="24" ht="14.25" customHeight="1">
      <c r="A24" s="41"/>
      <c r="B24" s="2"/>
      <c r="C24" s="58"/>
      <c r="D24" s="3"/>
      <c r="E24" s="34"/>
      <c r="F24" s="59"/>
      <c r="G24" s="25"/>
      <c r="H24" s="25"/>
      <c r="I24" s="25"/>
      <c r="J24" s="25"/>
      <c r="K24" s="25"/>
      <c r="L24" s="59"/>
      <c r="M24" s="52"/>
      <c r="N24" s="51"/>
      <c r="O24" s="59"/>
      <c r="P24" s="60"/>
      <c r="Q24" s="61"/>
      <c r="R24" s="54"/>
      <c r="S24" s="54"/>
      <c r="T24" s="54"/>
      <c r="U24" s="25"/>
      <c r="V24" s="25"/>
      <c r="W24" s="25"/>
      <c r="X24" s="25"/>
      <c r="Y24" s="25"/>
      <c r="Z24" s="57"/>
      <c r="AA24" s="57"/>
      <c r="AB24" s="57"/>
      <c r="AC24" s="57"/>
      <c r="AD24" s="57"/>
      <c r="AE24" s="57"/>
      <c r="AF24" s="57"/>
      <c r="AG24" s="57"/>
      <c r="AH24" s="57"/>
      <c r="AI24" s="57"/>
    </row>
    <row r="25" ht="14.25" customHeight="1">
      <c r="A25" s="41"/>
      <c r="B25" s="2"/>
      <c r="D25" s="2"/>
      <c r="E25" s="25"/>
      <c r="F25" s="59"/>
      <c r="G25" s="25"/>
      <c r="H25" s="25"/>
      <c r="I25" s="25"/>
      <c r="J25" s="25"/>
      <c r="K25" s="25"/>
      <c r="L25" s="59"/>
      <c r="M25" s="52"/>
      <c r="N25" s="51"/>
      <c r="O25" s="59"/>
      <c r="P25" s="25"/>
      <c r="Q25" s="61"/>
      <c r="R25" s="54"/>
      <c r="S25" s="54"/>
      <c r="T25" s="54"/>
      <c r="U25" s="25"/>
      <c r="V25" s="25"/>
      <c r="W25" s="25"/>
      <c r="X25" s="25"/>
      <c r="Y25" s="25"/>
      <c r="Z25" s="57"/>
      <c r="AA25" s="57"/>
      <c r="AB25" s="57"/>
      <c r="AC25" s="57"/>
      <c r="AD25" s="57"/>
      <c r="AE25" s="57"/>
      <c r="AF25" s="57"/>
      <c r="AG25" s="57"/>
      <c r="AH25" s="57"/>
      <c r="AI25" s="57"/>
    </row>
    <row r="26" ht="14.25" customHeight="1">
      <c r="B26" s="2"/>
      <c r="D26" s="2"/>
      <c r="E26" s="25"/>
      <c r="F26" s="59"/>
      <c r="G26" s="25"/>
      <c r="H26" s="25"/>
      <c r="I26" s="25"/>
      <c r="J26" s="25"/>
      <c r="K26" s="25"/>
      <c r="L26" s="59"/>
      <c r="M26" s="52"/>
      <c r="N26" s="59"/>
      <c r="O26" s="59"/>
      <c r="P26" s="25"/>
      <c r="Q26" s="61"/>
      <c r="R26" s="54"/>
      <c r="S26" s="54"/>
      <c r="T26" s="54"/>
      <c r="U26" s="25"/>
      <c r="V26" s="25"/>
      <c r="W26" s="25"/>
      <c r="X26" s="25"/>
      <c r="Y26" s="25"/>
      <c r="Z26" s="57"/>
      <c r="AA26" s="57"/>
      <c r="AB26" s="57"/>
      <c r="AC26" s="57"/>
      <c r="AD26" s="57"/>
      <c r="AE26" s="57"/>
      <c r="AF26" s="57"/>
      <c r="AG26" s="57"/>
      <c r="AH26" s="57"/>
      <c r="AI26" s="57"/>
    </row>
    <row r="27" ht="14.25" customHeight="1">
      <c r="B27" s="2"/>
      <c r="C27" s="58"/>
      <c r="D27" s="2"/>
      <c r="E27" s="25"/>
      <c r="F27" s="59"/>
      <c r="G27" s="25"/>
      <c r="H27" s="25"/>
      <c r="I27" s="25"/>
      <c r="J27" s="25"/>
      <c r="K27" s="25"/>
      <c r="L27" s="59"/>
      <c r="M27" s="52"/>
      <c r="N27" s="59"/>
      <c r="O27" s="59"/>
      <c r="P27" s="25"/>
      <c r="Q27" s="61"/>
      <c r="R27" s="54"/>
      <c r="S27" s="54"/>
      <c r="T27" s="54"/>
      <c r="U27" s="25"/>
      <c r="V27" s="25"/>
      <c r="W27" s="25"/>
      <c r="X27" s="25"/>
      <c r="Y27" s="25"/>
      <c r="Z27" s="57"/>
      <c r="AA27" s="57"/>
      <c r="AB27" s="57"/>
      <c r="AC27" s="57"/>
      <c r="AD27" s="57"/>
      <c r="AE27" s="57"/>
      <c r="AF27" s="57"/>
      <c r="AG27" s="57"/>
      <c r="AH27" s="57"/>
      <c r="AI27" s="57"/>
    </row>
    <row r="28" ht="14.25" customHeight="1">
      <c r="B28" s="2"/>
      <c r="C28" s="2"/>
      <c r="D28" s="2"/>
      <c r="E28" s="25"/>
      <c r="F28" s="59"/>
      <c r="G28" s="25"/>
      <c r="H28" s="25"/>
      <c r="I28" s="25"/>
      <c r="J28" s="25"/>
      <c r="K28" s="25"/>
      <c r="L28" s="59"/>
      <c r="M28" s="51"/>
      <c r="N28" s="59"/>
      <c r="O28" s="59"/>
      <c r="P28" s="25"/>
      <c r="Q28" s="61"/>
      <c r="R28" s="55"/>
      <c r="S28" s="55"/>
      <c r="T28" s="55"/>
      <c r="U28" s="25"/>
      <c r="V28" s="25"/>
      <c r="W28" s="25"/>
      <c r="X28" s="25"/>
      <c r="Y28" s="25"/>
      <c r="Z28" s="57"/>
      <c r="AA28" s="57"/>
      <c r="AB28" s="57"/>
      <c r="AC28" s="57"/>
      <c r="AD28" s="57"/>
      <c r="AE28" s="57"/>
      <c r="AF28" s="57"/>
      <c r="AG28" s="57"/>
      <c r="AH28" s="57"/>
      <c r="AI28" s="57"/>
    </row>
    <row r="29" ht="14.25" customHeight="1">
      <c r="B29" s="2"/>
      <c r="C29" s="2"/>
      <c r="D29" s="2"/>
      <c r="F29" s="2"/>
      <c r="L29" s="2"/>
      <c r="M29" s="2"/>
      <c r="N29" s="2"/>
      <c r="O29" s="2"/>
      <c r="Q29" s="61"/>
      <c r="R29" s="55"/>
      <c r="S29" s="55"/>
      <c r="T29" s="55"/>
    </row>
    <row r="30" ht="14.25" customHeight="1">
      <c r="B30" s="2"/>
      <c r="C30" s="2"/>
      <c r="D30" s="2"/>
      <c r="F30" s="2"/>
      <c r="L30" s="2"/>
      <c r="N30" s="2"/>
      <c r="O30" s="2"/>
    </row>
    <row r="31" ht="14.25" customHeight="1">
      <c r="B31" s="2"/>
      <c r="C31" s="2"/>
      <c r="D31" s="2"/>
      <c r="F31" s="2"/>
      <c r="L31" s="2"/>
      <c r="N31" s="2"/>
      <c r="O31" s="2"/>
    </row>
    <row r="32" ht="14.25" customHeight="1">
      <c r="B32" s="2"/>
      <c r="C32" s="2"/>
      <c r="D32" s="2"/>
      <c r="F32" s="2"/>
      <c r="L32" s="2"/>
      <c r="N32" s="2"/>
      <c r="O32" s="2"/>
    </row>
    <row r="33" ht="14.25" customHeight="1">
      <c r="B33" s="2"/>
      <c r="C33" s="2"/>
      <c r="D33" s="2"/>
      <c r="F33" s="2"/>
      <c r="L33" s="2"/>
      <c r="M33" s="2"/>
      <c r="N33" s="2"/>
      <c r="O33" s="2"/>
    </row>
    <row r="34" ht="14.25" customHeight="1">
      <c r="B34" s="2"/>
      <c r="C34" s="2"/>
      <c r="D34" s="2"/>
      <c r="F34" s="2"/>
      <c r="L34" s="2"/>
      <c r="M34" s="2"/>
      <c r="N34" s="2"/>
      <c r="O34" s="2"/>
    </row>
    <row r="35" ht="14.25" customHeight="1">
      <c r="B35" s="2"/>
      <c r="C35" s="2"/>
      <c r="D35" s="2"/>
      <c r="F35" s="2"/>
      <c r="L35" s="2"/>
      <c r="M35" s="2"/>
      <c r="N35" s="2"/>
      <c r="O35" s="2"/>
    </row>
    <row r="36" ht="14.25" customHeight="1">
      <c r="B36" s="2"/>
      <c r="C36" s="2"/>
      <c r="D36" s="2"/>
      <c r="F36" s="2"/>
      <c r="L36" s="2"/>
      <c r="M36" s="2"/>
      <c r="N36" s="2"/>
      <c r="O36" s="2"/>
    </row>
    <row r="37" ht="14.25" customHeight="1">
      <c r="B37" s="2"/>
      <c r="C37" s="2"/>
      <c r="D37" s="2"/>
      <c r="F37" s="2"/>
      <c r="L37" s="2"/>
      <c r="M37" s="2"/>
      <c r="N37" s="2"/>
      <c r="O37" s="2"/>
    </row>
    <row r="38" ht="14.25" customHeight="1">
      <c r="B38" s="2"/>
      <c r="C38" s="2"/>
      <c r="D38" s="2"/>
      <c r="F38" s="2"/>
      <c r="L38" s="2"/>
      <c r="M38" s="2"/>
      <c r="N38" s="2"/>
      <c r="O38" s="2"/>
    </row>
    <row r="39" ht="14.25" customHeight="1">
      <c r="B39" s="2"/>
      <c r="C39" s="2"/>
      <c r="D39" s="2"/>
      <c r="F39" s="2"/>
      <c r="L39" s="2"/>
      <c r="M39" s="2"/>
      <c r="N39" s="2"/>
      <c r="O39" s="2"/>
    </row>
    <row r="40" ht="14.25" customHeight="1">
      <c r="B40" s="2"/>
      <c r="C40" s="2"/>
      <c r="D40" s="2"/>
      <c r="F40" s="2"/>
      <c r="L40" s="2"/>
      <c r="M40" s="2"/>
      <c r="N40" s="2"/>
      <c r="O40" s="2"/>
    </row>
    <row r="41" ht="14.25" customHeight="1">
      <c r="B41" s="2"/>
      <c r="C41" s="2"/>
      <c r="D41" s="2"/>
      <c r="F41" s="2"/>
      <c r="L41" s="2"/>
      <c r="M41" s="2"/>
      <c r="N41" s="2"/>
      <c r="O41" s="2"/>
    </row>
    <row r="42" ht="14.25" customHeight="1">
      <c r="B42" s="2"/>
      <c r="C42" s="2"/>
      <c r="D42" s="2"/>
      <c r="F42" s="2"/>
      <c r="L42" s="2"/>
      <c r="M42" s="2"/>
      <c r="N42" s="2"/>
      <c r="O42" s="2"/>
    </row>
    <row r="43" ht="14.25" customHeight="1">
      <c r="B43" s="2"/>
      <c r="D43" s="3"/>
      <c r="E43" s="3"/>
      <c r="F43" s="2"/>
      <c r="L43" s="2"/>
      <c r="M43" s="2"/>
      <c r="N43" s="2"/>
      <c r="O43" s="2"/>
    </row>
    <row r="44" ht="14.25" customHeight="1">
      <c r="B44" s="2"/>
      <c r="D44" s="3"/>
      <c r="E44" s="3"/>
      <c r="F44" s="2"/>
      <c r="L44" s="2"/>
      <c r="M44" s="2"/>
      <c r="N44" s="2"/>
      <c r="O44" s="2"/>
    </row>
    <row r="45" ht="14.25" customHeight="1">
      <c r="B45" s="2"/>
      <c r="D45" s="3"/>
      <c r="E45" s="3"/>
      <c r="F45" s="2"/>
      <c r="L45" s="2"/>
      <c r="M45" s="2"/>
      <c r="N45" s="2"/>
      <c r="O45" s="2"/>
    </row>
    <row r="46" ht="14.25" customHeight="1">
      <c r="B46" s="2"/>
      <c r="D46" s="3"/>
      <c r="E46" s="3"/>
      <c r="F46" s="2"/>
      <c r="L46" s="2"/>
      <c r="M46" s="2"/>
      <c r="N46" s="2"/>
      <c r="O46" s="2"/>
    </row>
    <row r="47" ht="14.25" customHeight="1">
      <c r="B47" s="2"/>
      <c r="D47" s="3"/>
      <c r="E47" s="3"/>
      <c r="F47" s="2"/>
      <c r="L47" s="2"/>
      <c r="M47" s="2"/>
      <c r="N47" s="2"/>
      <c r="O47" s="2"/>
    </row>
    <row r="48" ht="14.25" customHeight="1">
      <c r="B48" s="2"/>
      <c r="D48" s="3"/>
      <c r="E48" s="3"/>
      <c r="F48" s="2"/>
      <c r="L48" s="2"/>
      <c r="M48" s="2"/>
      <c r="N48" s="2"/>
      <c r="O48" s="2"/>
    </row>
    <row r="49" ht="14.25" customHeight="1">
      <c r="B49" s="2"/>
      <c r="D49" s="3"/>
      <c r="E49" s="3"/>
      <c r="F49" s="2"/>
      <c r="L49" s="2"/>
      <c r="M49" s="2"/>
      <c r="N49" s="2"/>
      <c r="O49" s="2"/>
    </row>
    <row r="50" ht="14.25" customHeight="1">
      <c r="B50" s="2"/>
      <c r="D50" s="3"/>
      <c r="E50" s="3"/>
      <c r="F50" s="2"/>
      <c r="L50" s="2"/>
      <c r="M50" s="2"/>
      <c r="N50" s="2"/>
      <c r="O50" s="2"/>
    </row>
    <row r="51" ht="14.25" customHeight="1">
      <c r="B51" s="2"/>
      <c r="D51" s="3"/>
      <c r="E51" s="3"/>
      <c r="F51" s="2"/>
      <c r="L51" s="2"/>
      <c r="M51" s="2"/>
      <c r="N51" s="2"/>
      <c r="O51" s="2"/>
    </row>
    <row r="52" ht="14.25" customHeight="1">
      <c r="B52" s="2"/>
      <c r="D52" s="3"/>
      <c r="E52" s="3"/>
      <c r="F52" s="2"/>
      <c r="L52" s="2"/>
      <c r="M52" s="2"/>
      <c r="N52" s="2"/>
      <c r="O52" s="2"/>
    </row>
    <row r="53" ht="14.25" customHeight="1">
      <c r="B53" s="2"/>
      <c r="D53" s="3"/>
      <c r="E53" s="3"/>
      <c r="F53" s="2"/>
      <c r="L53" s="2"/>
      <c r="M53" s="2"/>
      <c r="N53" s="2"/>
      <c r="O53" s="2"/>
    </row>
    <row r="54" ht="14.25" customHeight="1">
      <c r="B54" s="2"/>
      <c r="D54" s="3"/>
      <c r="E54" s="3"/>
      <c r="F54" s="2"/>
      <c r="L54" s="2"/>
      <c r="M54" s="2"/>
      <c r="N54" s="2"/>
      <c r="O54" s="2"/>
    </row>
    <row r="55" ht="14.25" customHeight="1">
      <c r="B55" s="2"/>
      <c r="D55" s="3"/>
      <c r="E55" s="3"/>
      <c r="F55" s="2"/>
      <c r="L55" s="2"/>
      <c r="M55" s="2"/>
      <c r="N55" s="2"/>
      <c r="O55" s="2"/>
    </row>
    <row r="56" ht="14.25" customHeight="1">
      <c r="B56" s="2"/>
      <c r="D56" s="3"/>
      <c r="E56" s="3"/>
      <c r="F56" s="2"/>
      <c r="L56" s="2"/>
      <c r="M56" s="2"/>
      <c r="N56" s="2"/>
      <c r="O56" s="2"/>
    </row>
    <row r="57" ht="14.25" customHeight="1">
      <c r="B57" s="2"/>
      <c r="D57" s="3"/>
      <c r="E57" s="3"/>
      <c r="F57" s="2"/>
      <c r="L57" s="2"/>
      <c r="M57" s="2"/>
      <c r="N57" s="2"/>
      <c r="O57" s="2"/>
    </row>
    <row r="58" ht="14.25" customHeight="1">
      <c r="B58" s="2"/>
      <c r="D58" s="3"/>
      <c r="E58" s="3"/>
      <c r="F58" s="2"/>
      <c r="L58" s="2"/>
      <c r="M58" s="2"/>
      <c r="N58" s="2"/>
      <c r="O58" s="2"/>
    </row>
    <row r="59" ht="14.25" customHeight="1">
      <c r="B59" s="2"/>
      <c r="D59" s="3"/>
      <c r="E59" s="3"/>
      <c r="F59" s="2"/>
      <c r="L59" s="2"/>
      <c r="M59" s="2"/>
      <c r="N59" s="2"/>
      <c r="O59" s="2"/>
    </row>
    <row r="60" ht="14.25" customHeight="1">
      <c r="B60" s="2"/>
      <c r="D60" s="3"/>
      <c r="E60" s="3"/>
      <c r="F60" s="2"/>
      <c r="L60" s="2"/>
      <c r="M60" s="2"/>
      <c r="N60" s="2"/>
      <c r="O60" s="2"/>
    </row>
    <row r="61" ht="14.25" customHeight="1">
      <c r="B61" s="2"/>
      <c r="D61" s="3"/>
      <c r="E61" s="3"/>
      <c r="F61" s="2"/>
      <c r="L61" s="2"/>
      <c r="M61" s="2"/>
      <c r="N61" s="2"/>
      <c r="O61" s="2"/>
    </row>
    <row r="62" ht="14.25" customHeight="1">
      <c r="B62" s="2"/>
      <c r="D62" s="3"/>
      <c r="E62" s="3"/>
      <c r="F62" s="2"/>
      <c r="L62" s="2"/>
      <c r="M62" s="2"/>
      <c r="N62" s="2"/>
      <c r="O62" s="2"/>
    </row>
    <row r="63" ht="14.25" customHeight="1">
      <c r="B63" s="2"/>
      <c r="D63" s="3"/>
      <c r="E63" s="3"/>
      <c r="F63" s="2"/>
      <c r="L63" s="2"/>
      <c r="M63" s="2"/>
      <c r="N63" s="2"/>
      <c r="O63" s="2"/>
    </row>
    <row r="64" ht="14.25" customHeight="1">
      <c r="B64" s="2"/>
      <c r="D64" s="3"/>
      <c r="E64" s="3"/>
      <c r="F64" s="2"/>
      <c r="L64" s="2"/>
      <c r="M64" s="2"/>
      <c r="N64" s="2"/>
      <c r="O64" s="2"/>
    </row>
    <row r="65" ht="14.25" customHeight="1">
      <c r="B65" s="2"/>
      <c r="D65" s="3"/>
      <c r="E65" s="3"/>
      <c r="F65" s="2"/>
      <c r="L65" s="2"/>
      <c r="M65" s="2"/>
      <c r="N65" s="2"/>
      <c r="O65" s="2"/>
    </row>
    <row r="66" ht="14.25" customHeight="1">
      <c r="B66" s="2"/>
      <c r="D66" s="3"/>
      <c r="E66" s="3"/>
      <c r="F66" s="2"/>
      <c r="L66" s="2"/>
      <c r="M66" s="2"/>
      <c r="N66" s="2"/>
      <c r="O66" s="2"/>
    </row>
    <row r="67" ht="14.25" customHeight="1">
      <c r="B67" s="2"/>
      <c r="D67" s="3"/>
      <c r="E67" s="3"/>
      <c r="F67" s="2"/>
      <c r="L67" s="2"/>
      <c r="M67" s="2"/>
      <c r="N67" s="2"/>
      <c r="O67" s="2"/>
    </row>
    <row r="68" ht="14.25" customHeight="1">
      <c r="B68" s="2"/>
      <c r="D68" s="3"/>
      <c r="E68" s="3"/>
      <c r="F68" s="2"/>
      <c r="L68" s="2"/>
      <c r="M68" s="2"/>
      <c r="N68" s="2"/>
      <c r="O68" s="2"/>
    </row>
    <row r="69" ht="14.25" customHeight="1">
      <c r="B69" s="2"/>
      <c r="D69" s="3"/>
      <c r="E69" s="3"/>
      <c r="F69" s="2"/>
      <c r="L69" s="2"/>
      <c r="M69" s="2"/>
      <c r="N69" s="2"/>
      <c r="O69" s="2"/>
    </row>
    <row r="70" ht="14.25" customHeight="1">
      <c r="B70" s="2"/>
      <c r="D70" s="3"/>
      <c r="E70" s="3"/>
      <c r="F70" s="2"/>
      <c r="L70" s="2"/>
      <c r="M70" s="2"/>
      <c r="N70" s="2"/>
      <c r="O70" s="2"/>
    </row>
    <row r="71" ht="14.25" customHeight="1">
      <c r="B71" s="2"/>
      <c r="D71" s="3"/>
      <c r="E71" s="3"/>
      <c r="F71" s="2"/>
      <c r="L71" s="2"/>
      <c r="M71" s="2"/>
      <c r="N71" s="2"/>
      <c r="O71" s="2"/>
    </row>
    <row r="72" ht="14.25" customHeight="1">
      <c r="B72" s="2"/>
      <c r="D72" s="3"/>
      <c r="E72" s="3"/>
      <c r="F72" s="2"/>
      <c r="L72" s="2"/>
      <c r="M72" s="2"/>
      <c r="N72" s="2"/>
      <c r="O72" s="2"/>
    </row>
    <row r="73" ht="14.25" customHeight="1">
      <c r="B73" s="2"/>
      <c r="D73" s="3"/>
      <c r="E73" s="3"/>
      <c r="F73" s="2"/>
      <c r="L73" s="2"/>
      <c r="M73" s="2"/>
      <c r="N73" s="2"/>
      <c r="O73" s="2"/>
    </row>
    <row r="74" ht="14.25" customHeight="1">
      <c r="B74" s="2"/>
      <c r="D74" s="3"/>
      <c r="E74" s="3"/>
      <c r="F74" s="2"/>
      <c r="L74" s="2"/>
      <c r="M74" s="2"/>
      <c r="N74" s="2"/>
      <c r="O74" s="2"/>
    </row>
    <row r="75" ht="14.25" customHeight="1">
      <c r="B75" s="2"/>
      <c r="D75" s="3"/>
      <c r="E75" s="3"/>
      <c r="F75" s="2"/>
      <c r="L75" s="2"/>
      <c r="M75" s="2"/>
      <c r="N75" s="2"/>
      <c r="O75" s="2"/>
    </row>
    <row r="76" ht="14.25" customHeight="1">
      <c r="B76" s="2"/>
      <c r="D76" s="3"/>
      <c r="E76" s="3"/>
      <c r="F76" s="2"/>
      <c r="L76" s="2"/>
      <c r="M76" s="2"/>
      <c r="N76" s="2"/>
      <c r="O76" s="2"/>
    </row>
    <row r="77" ht="14.25" customHeight="1">
      <c r="B77" s="2"/>
      <c r="D77" s="3"/>
      <c r="E77" s="3"/>
      <c r="F77" s="2"/>
      <c r="L77" s="2"/>
      <c r="M77" s="2"/>
      <c r="N77" s="2"/>
      <c r="O77" s="2"/>
    </row>
    <row r="78" ht="14.25" customHeight="1">
      <c r="B78" s="2"/>
      <c r="D78" s="3"/>
      <c r="E78" s="3"/>
      <c r="F78" s="2"/>
      <c r="L78" s="2"/>
      <c r="M78" s="2"/>
      <c r="N78" s="2"/>
      <c r="O78" s="2"/>
    </row>
    <row r="79" ht="14.25" customHeight="1">
      <c r="B79" s="2"/>
      <c r="D79" s="3"/>
      <c r="E79" s="3"/>
      <c r="F79" s="2"/>
      <c r="L79" s="2"/>
      <c r="M79" s="2"/>
      <c r="N79" s="2"/>
      <c r="O79" s="2"/>
    </row>
    <row r="80" ht="14.25" customHeight="1">
      <c r="B80" s="2"/>
      <c r="D80" s="3"/>
      <c r="E80" s="3"/>
      <c r="F80" s="2"/>
      <c r="L80" s="2"/>
      <c r="M80" s="2"/>
      <c r="N80" s="2"/>
      <c r="O80" s="2"/>
    </row>
    <row r="81" ht="14.25" customHeight="1">
      <c r="B81" s="2"/>
      <c r="D81" s="3"/>
      <c r="E81" s="3"/>
      <c r="F81" s="2"/>
      <c r="L81" s="2"/>
      <c r="M81" s="2"/>
      <c r="N81" s="2"/>
      <c r="O81" s="2"/>
    </row>
    <row r="82" ht="14.25" customHeight="1">
      <c r="B82" s="2"/>
      <c r="D82" s="3"/>
      <c r="E82" s="3"/>
      <c r="F82" s="2"/>
      <c r="L82" s="2"/>
      <c r="M82" s="2"/>
      <c r="N82" s="2"/>
      <c r="O82" s="2"/>
    </row>
    <row r="83" ht="14.25" customHeight="1">
      <c r="B83" s="2"/>
      <c r="D83" s="3"/>
      <c r="E83" s="3"/>
      <c r="F83" s="2"/>
      <c r="L83" s="2"/>
      <c r="M83" s="2"/>
      <c r="N83" s="2"/>
      <c r="O83" s="2"/>
    </row>
    <row r="84" ht="14.25" customHeight="1">
      <c r="B84" s="2"/>
      <c r="D84" s="3"/>
      <c r="E84" s="3"/>
      <c r="F84" s="2"/>
      <c r="L84" s="2"/>
      <c r="M84" s="2"/>
      <c r="N84" s="2"/>
      <c r="O84" s="2"/>
    </row>
    <row r="85" ht="14.25" customHeight="1">
      <c r="B85" s="2"/>
      <c r="D85" s="3"/>
      <c r="E85" s="3"/>
      <c r="F85" s="2"/>
      <c r="L85" s="2"/>
      <c r="M85" s="2"/>
      <c r="N85" s="2"/>
      <c r="O85" s="2"/>
    </row>
    <row r="86" ht="14.25" customHeight="1">
      <c r="B86" s="2"/>
      <c r="D86" s="3"/>
      <c r="E86" s="3"/>
      <c r="F86" s="2"/>
      <c r="L86" s="2"/>
      <c r="M86" s="2"/>
      <c r="N86" s="2"/>
      <c r="O86" s="2"/>
    </row>
    <row r="87" ht="14.25" customHeight="1">
      <c r="B87" s="2"/>
      <c r="D87" s="3"/>
      <c r="E87" s="3"/>
      <c r="F87" s="2"/>
      <c r="L87" s="2"/>
      <c r="M87" s="2"/>
      <c r="N87" s="2"/>
      <c r="O87" s="2"/>
    </row>
    <row r="88" ht="14.25" customHeight="1">
      <c r="B88" s="2"/>
      <c r="D88" s="3"/>
      <c r="E88" s="3"/>
      <c r="F88" s="2"/>
      <c r="L88" s="2"/>
      <c r="M88" s="2"/>
      <c r="N88" s="2"/>
      <c r="O88" s="2"/>
    </row>
    <row r="89" ht="14.25" customHeight="1">
      <c r="B89" s="2"/>
      <c r="D89" s="3"/>
      <c r="E89" s="3"/>
      <c r="F89" s="2"/>
      <c r="L89" s="2"/>
      <c r="M89" s="2"/>
      <c r="N89" s="2"/>
      <c r="O89" s="2"/>
    </row>
    <row r="90" ht="14.25" customHeight="1">
      <c r="B90" s="2"/>
      <c r="D90" s="3"/>
      <c r="E90" s="3"/>
      <c r="F90" s="2"/>
      <c r="L90" s="2"/>
      <c r="M90" s="2"/>
      <c r="N90" s="2"/>
      <c r="O90" s="2"/>
    </row>
    <row r="91" ht="14.25" customHeight="1">
      <c r="B91" s="2"/>
      <c r="D91" s="3"/>
      <c r="E91" s="3"/>
      <c r="F91" s="2"/>
      <c r="L91" s="2"/>
      <c r="M91" s="2"/>
      <c r="N91" s="2"/>
      <c r="O91" s="2"/>
    </row>
    <row r="92" ht="14.25" customHeight="1">
      <c r="B92" s="2"/>
      <c r="D92" s="3"/>
      <c r="E92" s="3"/>
      <c r="F92" s="2"/>
      <c r="L92" s="2"/>
      <c r="M92" s="2"/>
      <c r="N92" s="2"/>
      <c r="O92" s="2"/>
    </row>
    <row r="93" ht="14.25" customHeight="1">
      <c r="B93" s="2"/>
      <c r="D93" s="3"/>
      <c r="E93" s="3"/>
      <c r="F93" s="2"/>
      <c r="L93" s="2"/>
      <c r="M93" s="2"/>
      <c r="N93" s="2"/>
      <c r="O93" s="2"/>
    </row>
    <row r="94" ht="14.25" customHeight="1">
      <c r="B94" s="2"/>
      <c r="D94" s="3"/>
      <c r="E94" s="3"/>
      <c r="F94" s="2"/>
      <c r="L94" s="2"/>
      <c r="M94" s="2"/>
      <c r="N94" s="2"/>
      <c r="O94" s="2"/>
    </row>
    <row r="95" ht="14.25" customHeight="1">
      <c r="B95" s="2"/>
      <c r="D95" s="3"/>
      <c r="E95" s="3"/>
      <c r="F95" s="2"/>
      <c r="L95" s="2"/>
      <c r="M95" s="2"/>
      <c r="N95" s="2"/>
      <c r="O95" s="2"/>
    </row>
    <row r="96" ht="14.25" customHeight="1">
      <c r="B96" s="2"/>
      <c r="D96" s="3"/>
      <c r="E96" s="3"/>
      <c r="F96" s="2"/>
      <c r="L96" s="2"/>
      <c r="M96" s="2"/>
      <c r="N96" s="2"/>
      <c r="O96" s="2"/>
    </row>
    <row r="97" ht="14.25" customHeight="1">
      <c r="B97" s="2"/>
      <c r="D97" s="3"/>
      <c r="E97" s="3"/>
      <c r="F97" s="2"/>
      <c r="L97" s="2"/>
      <c r="M97" s="2"/>
      <c r="N97" s="2"/>
      <c r="O97" s="2"/>
    </row>
    <row r="98" ht="14.25" customHeight="1">
      <c r="B98" s="2"/>
      <c r="D98" s="3"/>
      <c r="E98" s="3"/>
      <c r="F98" s="2"/>
      <c r="L98" s="2"/>
      <c r="M98" s="2"/>
      <c r="N98" s="2"/>
      <c r="O98" s="2"/>
    </row>
    <row r="99" ht="14.25" customHeight="1">
      <c r="B99" s="2"/>
      <c r="D99" s="3"/>
      <c r="E99" s="3"/>
      <c r="F99" s="2"/>
      <c r="L99" s="2"/>
      <c r="M99" s="2"/>
      <c r="N99" s="2"/>
      <c r="O99" s="2"/>
    </row>
    <row r="100" ht="14.25" customHeight="1">
      <c r="B100" s="2"/>
      <c r="D100" s="3"/>
      <c r="E100" s="3"/>
      <c r="F100" s="2"/>
      <c r="L100" s="2"/>
      <c r="M100" s="2"/>
      <c r="N100" s="2"/>
      <c r="O100" s="2"/>
    </row>
    <row r="101" ht="14.25" customHeight="1">
      <c r="B101" s="2"/>
      <c r="D101" s="3"/>
      <c r="E101" s="3"/>
      <c r="F101" s="2"/>
      <c r="L101" s="2"/>
      <c r="M101" s="2"/>
      <c r="N101" s="2"/>
      <c r="O101" s="2"/>
    </row>
    <row r="102" ht="14.25" customHeight="1">
      <c r="B102" s="2"/>
      <c r="D102" s="3"/>
      <c r="E102" s="3"/>
      <c r="F102" s="2"/>
      <c r="L102" s="2"/>
      <c r="M102" s="2"/>
      <c r="N102" s="2"/>
      <c r="O102" s="2"/>
    </row>
    <row r="103" ht="14.25" customHeight="1">
      <c r="B103" s="2"/>
      <c r="D103" s="3"/>
      <c r="E103" s="3"/>
      <c r="F103" s="2"/>
      <c r="L103" s="2"/>
      <c r="M103" s="2"/>
      <c r="N103" s="2"/>
      <c r="O103" s="2"/>
    </row>
    <row r="104" ht="14.25" customHeight="1">
      <c r="B104" s="2"/>
      <c r="D104" s="3"/>
      <c r="E104" s="3"/>
      <c r="F104" s="2"/>
      <c r="L104" s="2"/>
      <c r="M104" s="2"/>
      <c r="N104" s="2"/>
      <c r="O104" s="2"/>
    </row>
    <row r="105" ht="14.25" customHeight="1">
      <c r="B105" s="2"/>
      <c r="D105" s="3"/>
      <c r="E105" s="3"/>
      <c r="F105" s="2"/>
      <c r="L105" s="2"/>
      <c r="M105" s="2"/>
      <c r="N105" s="2"/>
      <c r="O105" s="2"/>
    </row>
    <row r="106" ht="14.25" customHeight="1">
      <c r="B106" s="2"/>
      <c r="D106" s="3"/>
      <c r="E106" s="3"/>
      <c r="F106" s="2"/>
      <c r="L106" s="2"/>
      <c r="M106" s="2"/>
      <c r="N106" s="2"/>
      <c r="O106" s="2"/>
    </row>
    <row r="107" ht="14.25" customHeight="1">
      <c r="B107" s="2"/>
      <c r="D107" s="3"/>
      <c r="E107" s="3"/>
      <c r="F107" s="2"/>
      <c r="L107" s="2"/>
      <c r="M107" s="2"/>
      <c r="N107" s="2"/>
      <c r="O107" s="2"/>
    </row>
    <row r="108" ht="14.25" customHeight="1">
      <c r="B108" s="2"/>
      <c r="D108" s="3"/>
      <c r="E108" s="3"/>
      <c r="F108" s="2"/>
      <c r="L108" s="2"/>
      <c r="M108" s="2"/>
      <c r="N108" s="2"/>
      <c r="O108" s="2"/>
    </row>
    <row r="109" ht="14.25" customHeight="1">
      <c r="B109" s="2"/>
      <c r="D109" s="3"/>
      <c r="E109" s="3"/>
      <c r="F109" s="2"/>
      <c r="L109" s="2"/>
      <c r="M109" s="2"/>
      <c r="N109" s="2"/>
      <c r="O109" s="2"/>
    </row>
    <row r="110" ht="14.25" customHeight="1">
      <c r="B110" s="2"/>
      <c r="D110" s="3"/>
      <c r="E110" s="3"/>
      <c r="F110" s="2"/>
      <c r="L110" s="2"/>
      <c r="M110" s="2"/>
      <c r="N110" s="2"/>
      <c r="O110" s="2"/>
    </row>
    <row r="111" ht="14.25" customHeight="1">
      <c r="B111" s="2"/>
      <c r="D111" s="3"/>
      <c r="E111" s="3"/>
      <c r="F111" s="2"/>
      <c r="L111" s="2"/>
      <c r="M111" s="2"/>
      <c r="N111" s="2"/>
      <c r="O111" s="2"/>
    </row>
    <row r="112" ht="14.25" customHeight="1">
      <c r="B112" s="2"/>
      <c r="D112" s="3"/>
      <c r="E112" s="3"/>
      <c r="F112" s="2"/>
      <c r="L112" s="2"/>
      <c r="M112" s="2"/>
      <c r="N112" s="2"/>
      <c r="O112" s="2"/>
    </row>
    <row r="113" ht="14.25" customHeight="1">
      <c r="B113" s="2"/>
      <c r="D113" s="3"/>
      <c r="E113" s="3"/>
      <c r="F113" s="2"/>
      <c r="L113" s="2"/>
      <c r="M113" s="2"/>
      <c r="N113" s="2"/>
      <c r="O113" s="2"/>
    </row>
    <row r="114" ht="14.25" customHeight="1">
      <c r="B114" s="2"/>
      <c r="D114" s="3"/>
      <c r="E114" s="3"/>
      <c r="F114" s="2"/>
      <c r="L114" s="2"/>
      <c r="M114" s="2"/>
      <c r="N114" s="2"/>
      <c r="O114" s="2"/>
    </row>
    <row r="115" ht="14.25" customHeight="1">
      <c r="B115" s="2"/>
      <c r="D115" s="3"/>
      <c r="E115" s="3"/>
      <c r="F115" s="2"/>
      <c r="L115" s="2"/>
      <c r="M115" s="2"/>
      <c r="N115" s="2"/>
      <c r="O115" s="2"/>
    </row>
    <row r="116" ht="14.25" customHeight="1">
      <c r="B116" s="2"/>
      <c r="D116" s="3"/>
      <c r="E116" s="3"/>
      <c r="F116" s="2"/>
      <c r="L116" s="2"/>
      <c r="M116" s="2"/>
      <c r="N116" s="2"/>
      <c r="O116" s="2"/>
    </row>
    <row r="117" ht="14.25" customHeight="1">
      <c r="B117" s="2"/>
      <c r="D117" s="3"/>
      <c r="E117" s="3"/>
      <c r="F117" s="2"/>
      <c r="L117" s="2"/>
      <c r="M117" s="2"/>
      <c r="N117" s="2"/>
      <c r="O117" s="2"/>
    </row>
    <row r="118" ht="14.25" customHeight="1">
      <c r="B118" s="2"/>
      <c r="D118" s="3"/>
      <c r="E118" s="3"/>
      <c r="F118" s="2"/>
      <c r="L118" s="2"/>
      <c r="M118" s="2"/>
      <c r="N118" s="2"/>
      <c r="O118" s="2"/>
    </row>
    <row r="119" ht="14.25" customHeight="1">
      <c r="B119" s="2"/>
      <c r="D119" s="3"/>
      <c r="E119" s="3"/>
      <c r="F119" s="2"/>
      <c r="L119" s="2"/>
      <c r="M119" s="2"/>
      <c r="N119" s="2"/>
      <c r="O119" s="2"/>
    </row>
    <row r="120" ht="14.25" customHeight="1">
      <c r="B120" s="2"/>
      <c r="D120" s="3"/>
      <c r="E120" s="3"/>
      <c r="F120" s="2"/>
      <c r="L120" s="2"/>
      <c r="M120" s="2"/>
      <c r="N120" s="2"/>
      <c r="O120" s="2"/>
    </row>
    <row r="121" ht="14.25" customHeight="1">
      <c r="B121" s="2"/>
      <c r="D121" s="3"/>
      <c r="E121" s="3"/>
      <c r="F121" s="2"/>
      <c r="L121" s="2"/>
      <c r="M121" s="2"/>
      <c r="N121" s="2"/>
      <c r="O121" s="2"/>
    </row>
    <row r="122" ht="14.25" customHeight="1">
      <c r="B122" s="2"/>
      <c r="D122" s="3"/>
      <c r="E122" s="3"/>
      <c r="F122" s="2"/>
      <c r="L122" s="2"/>
      <c r="M122" s="2"/>
      <c r="N122" s="2"/>
      <c r="O122" s="2"/>
    </row>
    <row r="123" ht="14.25" customHeight="1">
      <c r="B123" s="2"/>
      <c r="D123" s="3"/>
      <c r="E123" s="3"/>
      <c r="F123" s="2"/>
      <c r="L123" s="2"/>
      <c r="M123" s="2"/>
      <c r="N123" s="2"/>
      <c r="O123" s="2"/>
    </row>
    <row r="124" ht="14.25" customHeight="1">
      <c r="B124" s="2"/>
      <c r="D124" s="3"/>
      <c r="E124" s="3"/>
      <c r="F124" s="2"/>
      <c r="L124" s="2"/>
      <c r="M124" s="2"/>
      <c r="N124" s="2"/>
      <c r="O124" s="2"/>
    </row>
    <row r="125" ht="14.25" customHeight="1">
      <c r="B125" s="2"/>
      <c r="D125" s="3"/>
      <c r="E125" s="3"/>
      <c r="F125" s="2"/>
      <c r="L125" s="2"/>
      <c r="M125" s="2"/>
      <c r="N125" s="2"/>
      <c r="O125" s="2"/>
    </row>
    <row r="126" ht="14.25" customHeight="1">
      <c r="B126" s="2"/>
      <c r="D126" s="3"/>
      <c r="E126" s="3"/>
      <c r="F126" s="2"/>
      <c r="L126" s="2"/>
      <c r="M126" s="2"/>
      <c r="N126" s="2"/>
      <c r="O126" s="2"/>
    </row>
    <row r="127" ht="14.25" customHeight="1">
      <c r="B127" s="2"/>
      <c r="D127" s="3"/>
      <c r="E127" s="3"/>
      <c r="F127" s="2"/>
      <c r="L127" s="2"/>
      <c r="M127" s="2"/>
      <c r="N127" s="2"/>
      <c r="O127" s="2"/>
    </row>
    <row r="128" ht="14.25" customHeight="1">
      <c r="B128" s="2"/>
      <c r="D128" s="3"/>
      <c r="E128" s="3"/>
      <c r="F128" s="2"/>
      <c r="L128" s="2"/>
      <c r="M128" s="2"/>
      <c r="N128" s="2"/>
      <c r="O128" s="2"/>
    </row>
    <row r="129" ht="14.25" customHeight="1">
      <c r="B129" s="2"/>
      <c r="D129" s="3"/>
      <c r="E129" s="3"/>
      <c r="F129" s="2"/>
      <c r="L129" s="2"/>
      <c r="M129" s="2"/>
      <c r="N129" s="2"/>
      <c r="O129" s="2"/>
    </row>
    <row r="130" ht="14.25" customHeight="1">
      <c r="B130" s="2"/>
      <c r="D130" s="3"/>
      <c r="E130" s="3"/>
      <c r="F130" s="2"/>
      <c r="L130" s="2"/>
      <c r="M130" s="2"/>
      <c r="N130" s="2"/>
      <c r="O130" s="2"/>
    </row>
    <row r="131" ht="14.25" customHeight="1">
      <c r="B131" s="2"/>
      <c r="D131" s="3"/>
      <c r="E131" s="3"/>
      <c r="F131" s="2"/>
      <c r="L131" s="2"/>
      <c r="M131" s="2"/>
      <c r="N131" s="2"/>
      <c r="O131" s="2"/>
    </row>
    <row r="132" ht="14.25" customHeight="1">
      <c r="B132" s="2"/>
      <c r="D132" s="3"/>
      <c r="E132" s="3"/>
      <c r="F132" s="2"/>
      <c r="L132" s="2"/>
      <c r="M132" s="2"/>
      <c r="N132" s="2"/>
      <c r="O132" s="2"/>
    </row>
    <row r="133" ht="14.25" customHeight="1">
      <c r="B133" s="2"/>
      <c r="D133" s="3"/>
      <c r="E133" s="3"/>
      <c r="F133" s="2"/>
      <c r="L133" s="2"/>
      <c r="M133" s="2"/>
      <c r="N133" s="2"/>
      <c r="O133" s="2"/>
    </row>
    <row r="134" ht="14.25" customHeight="1">
      <c r="B134" s="2"/>
      <c r="D134" s="3"/>
      <c r="E134" s="3"/>
      <c r="F134" s="2"/>
      <c r="L134" s="2"/>
      <c r="M134" s="2"/>
      <c r="N134" s="2"/>
      <c r="O134" s="2"/>
    </row>
    <row r="135" ht="14.25" customHeight="1">
      <c r="B135" s="2"/>
      <c r="D135" s="3"/>
      <c r="E135" s="3"/>
      <c r="F135" s="2"/>
      <c r="L135" s="2"/>
      <c r="M135" s="2"/>
      <c r="N135" s="2"/>
      <c r="O135" s="2"/>
    </row>
    <row r="136" ht="14.25" customHeight="1">
      <c r="B136" s="2"/>
      <c r="D136" s="3"/>
      <c r="E136" s="3"/>
      <c r="F136" s="2"/>
      <c r="L136" s="2"/>
      <c r="M136" s="2"/>
      <c r="N136" s="2"/>
      <c r="O136" s="2"/>
    </row>
    <row r="137" ht="14.25" customHeight="1">
      <c r="B137" s="2"/>
      <c r="D137" s="3"/>
      <c r="E137" s="3"/>
      <c r="F137" s="2"/>
      <c r="L137" s="2"/>
      <c r="M137" s="2"/>
      <c r="N137" s="2"/>
      <c r="O137" s="2"/>
    </row>
    <row r="138" ht="14.25" customHeight="1">
      <c r="B138" s="2"/>
      <c r="D138" s="3"/>
      <c r="E138" s="3"/>
      <c r="F138" s="2"/>
      <c r="L138" s="2"/>
      <c r="M138" s="2"/>
      <c r="N138" s="2"/>
      <c r="O138" s="2"/>
    </row>
    <row r="139" ht="14.25" customHeight="1">
      <c r="B139" s="2"/>
      <c r="D139" s="3"/>
      <c r="E139" s="3"/>
      <c r="F139" s="2"/>
      <c r="L139" s="2"/>
      <c r="M139" s="2"/>
      <c r="N139" s="2"/>
      <c r="O139" s="2"/>
    </row>
    <row r="140" ht="14.25" customHeight="1">
      <c r="B140" s="2"/>
      <c r="D140" s="3"/>
      <c r="E140" s="3"/>
      <c r="F140" s="2"/>
      <c r="L140" s="2"/>
      <c r="M140" s="2"/>
      <c r="N140" s="2"/>
      <c r="O140" s="2"/>
    </row>
    <row r="141" ht="14.25" customHeight="1">
      <c r="B141" s="2"/>
      <c r="D141" s="3"/>
      <c r="E141" s="3"/>
      <c r="F141" s="2"/>
      <c r="L141" s="2"/>
      <c r="M141" s="2"/>
      <c r="N141" s="2"/>
      <c r="O141" s="2"/>
    </row>
    <row r="142" ht="14.25" customHeight="1">
      <c r="B142" s="2"/>
      <c r="D142" s="3"/>
      <c r="E142" s="3"/>
      <c r="F142" s="2"/>
      <c r="L142" s="2"/>
      <c r="M142" s="2"/>
      <c r="N142" s="2"/>
      <c r="O142" s="2"/>
    </row>
    <row r="143" ht="14.25" customHeight="1">
      <c r="B143" s="2"/>
      <c r="D143" s="3"/>
      <c r="E143" s="3"/>
      <c r="F143" s="2"/>
      <c r="L143" s="2"/>
      <c r="M143" s="2"/>
      <c r="N143" s="2"/>
      <c r="O143" s="2"/>
    </row>
    <row r="144" ht="14.25" customHeight="1">
      <c r="B144" s="2"/>
      <c r="D144" s="3"/>
      <c r="E144" s="3"/>
      <c r="F144" s="2"/>
      <c r="L144" s="2"/>
      <c r="M144" s="2"/>
      <c r="N144" s="2"/>
      <c r="O144" s="2"/>
    </row>
    <row r="145" ht="14.25" customHeight="1">
      <c r="B145" s="2"/>
      <c r="D145" s="3"/>
      <c r="E145" s="3"/>
      <c r="F145" s="2"/>
      <c r="L145" s="2"/>
      <c r="M145" s="2"/>
      <c r="N145" s="2"/>
      <c r="O145" s="2"/>
    </row>
    <row r="146" ht="14.25" customHeight="1">
      <c r="B146" s="2"/>
      <c r="D146" s="3"/>
      <c r="E146" s="3"/>
      <c r="F146" s="2"/>
      <c r="L146" s="2"/>
      <c r="M146" s="2"/>
      <c r="N146" s="2"/>
      <c r="O146" s="2"/>
    </row>
    <row r="147" ht="14.25" customHeight="1">
      <c r="B147" s="2"/>
      <c r="D147" s="3"/>
      <c r="E147" s="3"/>
      <c r="F147" s="2"/>
      <c r="L147" s="2"/>
      <c r="M147" s="2"/>
      <c r="N147" s="2"/>
      <c r="O147" s="2"/>
    </row>
    <row r="148" ht="14.25" customHeight="1">
      <c r="B148" s="2"/>
      <c r="D148" s="3"/>
      <c r="E148" s="3"/>
      <c r="F148" s="2"/>
      <c r="L148" s="2"/>
      <c r="M148" s="2"/>
      <c r="N148" s="2"/>
      <c r="O148" s="2"/>
    </row>
    <row r="149" ht="14.25" customHeight="1">
      <c r="B149" s="2"/>
      <c r="D149" s="3"/>
      <c r="E149" s="3"/>
      <c r="F149" s="2"/>
      <c r="L149" s="2"/>
      <c r="M149" s="2"/>
      <c r="N149" s="2"/>
      <c r="O149" s="2"/>
    </row>
    <row r="150" ht="14.25" customHeight="1">
      <c r="B150" s="2"/>
      <c r="D150" s="3"/>
      <c r="E150" s="3"/>
      <c r="F150" s="2"/>
      <c r="L150" s="2"/>
      <c r="M150" s="2"/>
      <c r="N150" s="2"/>
      <c r="O150" s="2"/>
    </row>
    <row r="151" ht="14.25" customHeight="1">
      <c r="B151" s="2"/>
      <c r="D151" s="3"/>
      <c r="E151" s="3"/>
      <c r="F151" s="2"/>
      <c r="L151" s="2"/>
      <c r="M151" s="2"/>
      <c r="N151" s="2"/>
      <c r="O151" s="2"/>
    </row>
    <row r="152" ht="14.25" customHeight="1">
      <c r="B152" s="2"/>
      <c r="D152" s="3"/>
      <c r="E152" s="3"/>
      <c r="F152" s="2"/>
      <c r="L152" s="2"/>
      <c r="M152" s="2"/>
      <c r="N152" s="2"/>
      <c r="O152" s="2"/>
    </row>
    <row r="153" ht="14.25" customHeight="1">
      <c r="B153" s="2"/>
      <c r="D153" s="3"/>
      <c r="E153" s="3"/>
      <c r="F153" s="2"/>
      <c r="L153" s="2"/>
      <c r="M153" s="2"/>
      <c r="N153" s="2"/>
      <c r="O153" s="2"/>
    </row>
    <row r="154" ht="14.25" customHeight="1">
      <c r="B154" s="2"/>
      <c r="D154" s="3"/>
      <c r="E154" s="3"/>
      <c r="F154" s="2"/>
      <c r="L154" s="2"/>
      <c r="M154" s="2"/>
      <c r="N154" s="2"/>
      <c r="O154" s="2"/>
    </row>
    <row r="155" ht="14.25" customHeight="1">
      <c r="B155" s="2"/>
      <c r="D155" s="3"/>
      <c r="E155" s="3"/>
      <c r="F155" s="2"/>
      <c r="L155" s="2"/>
      <c r="M155" s="2"/>
      <c r="N155" s="2"/>
      <c r="O155" s="2"/>
    </row>
    <row r="156" ht="14.25" customHeight="1">
      <c r="B156" s="2"/>
      <c r="D156" s="3"/>
      <c r="E156" s="3"/>
      <c r="F156" s="2"/>
      <c r="L156" s="2"/>
      <c r="M156" s="2"/>
      <c r="N156" s="2"/>
      <c r="O156" s="2"/>
    </row>
    <row r="157" ht="14.25" customHeight="1">
      <c r="B157" s="2"/>
      <c r="D157" s="3"/>
      <c r="E157" s="3"/>
      <c r="F157" s="2"/>
      <c r="L157" s="2"/>
      <c r="M157" s="2"/>
      <c r="N157" s="2"/>
      <c r="O157" s="2"/>
    </row>
    <row r="158" ht="14.25" customHeight="1">
      <c r="B158" s="2"/>
      <c r="D158" s="3"/>
      <c r="E158" s="3"/>
      <c r="F158" s="2"/>
      <c r="L158" s="2"/>
      <c r="M158" s="2"/>
      <c r="N158" s="2"/>
      <c r="O158" s="2"/>
    </row>
    <row r="159" ht="14.25" customHeight="1">
      <c r="B159" s="2"/>
      <c r="D159" s="3"/>
      <c r="E159" s="3"/>
      <c r="F159" s="2"/>
      <c r="L159" s="2"/>
      <c r="M159" s="2"/>
      <c r="N159" s="2"/>
      <c r="O159" s="2"/>
    </row>
    <row r="160" ht="14.25" customHeight="1">
      <c r="B160" s="2"/>
      <c r="D160" s="3"/>
      <c r="E160" s="3"/>
      <c r="F160" s="2"/>
      <c r="L160" s="2"/>
      <c r="M160" s="2"/>
      <c r="N160" s="2"/>
      <c r="O160" s="2"/>
    </row>
    <row r="161" ht="14.25" customHeight="1">
      <c r="B161" s="2"/>
      <c r="D161" s="3"/>
      <c r="E161" s="3"/>
      <c r="F161" s="2"/>
      <c r="L161" s="2"/>
      <c r="M161" s="2"/>
      <c r="N161" s="2"/>
      <c r="O161" s="2"/>
    </row>
    <row r="162" ht="14.25" customHeight="1">
      <c r="B162" s="2"/>
      <c r="D162" s="3"/>
      <c r="E162" s="3"/>
      <c r="F162" s="2"/>
      <c r="L162" s="2"/>
      <c r="M162" s="2"/>
      <c r="N162" s="2"/>
      <c r="O162" s="2"/>
    </row>
    <row r="163" ht="14.25" customHeight="1">
      <c r="B163" s="2"/>
      <c r="D163" s="3"/>
      <c r="E163" s="3"/>
      <c r="F163" s="2"/>
      <c r="L163" s="2"/>
      <c r="M163" s="2"/>
      <c r="N163" s="2"/>
      <c r="O163" s="2"/>
    </row>
    <row r="164" ht="14.25" customHeight="1">
      <c r="B164" s="2"/>
      <c r="D164" s="3"/>
      <c r="E164" s="3"/>
      <c r="F164" s="2"/>
      <c r="L164" s="2"/>
      <c r="M164" s="2"/>
      <c r="N164" s="2"/>
      <c r="O164" s="2"/>
    </row>
    <row r="165" ht="14.25" customHeight="1">
      <c r="B165" s="2"/>
      <c r="D165" s="3"/>
      <c r="E165" s="3"/>
      <c r="F165" s="2"/>
      <c r="L165" s="2"/>
      <c r="M165" s="2"/>
      <c r="N165" s="2"/>
      <c r="O165" s="2"/>
    </row>
    <row r="166" ht="14.25" customHeight="1">
      <c r="B166" s="2"/>
      <c r="D166" s="3"/>
      <c r="E166" s="3"/>
      <c r="F166" s="2"/>
      <c r="L166" s="2"/>
      <c r="M166" s="2"/>
      <c r="N166" s="2"/>
      <c r="O166" s="2"/>
    </row>
    <row r="167" ht="14.25" customHeight="1">
      <c r="B167" s="2"/>
      <c r="D167" s="3"/>
      <c r="E167" s="3"/>
      <c r="F167" s="2"/>
      <c r="L167" s="2"/>
      <c r="M167" s="2"/>
      <c r="N167" s="2"/>
      <c r="O167" s="2"/>
    </row>
    <row r="168" ht="14.25" customHeight="1">
      <c r="B168" s="2"/>
      <c r="D168" s="3"/>
      <c r="E168" s="3"/>
      <c r="F168" s="2"/>
      <c r="L168" s="2"/>
      <c r="M168" s="2"/>
      <c r="N168" s="2"/>
      <c r="O168" s="2"/>
    </row>
    <row r="169" ht="14.25" customHeight="1">
      <c r="B169" s="2"/>
      <c r="D169" s="3"/>
      <c r="E169" s="3"/>
      <c r="F169" s="2"/>
      <c r="L169" s="2"/>
      <c r="M169" s="2"/>
      <c r="N169" s="2"/>
      <c r="O169" s="2"/>
    </row>
    <row r="170" ht="14.25" customHeight="1">
      <c r="B170" s="2"/>
      <c r="D170" s="3"/>
      <c r="E170" s="3"/>
      <c r="F170" s="2"/>
      <c r="L170" s="2"/>
      <c r="M170" s="2"/>
      <c r="N170" s="2"/>
      <c r="O170" s="2"/>
    </row>
    <row r="171" ht="14.25" customHeight="1">
      <c r="B171" s="2"/>
      <c r="D171" s="3"/>
      <c r="E171" s="3"/>
      <c r="F171" s="2"/>
      <c r="L171" s="2"/>
      <c r="M171" s="2"/>
      <c r="N171" s="2"/>
      <c r="O171" s="2"/>
    </row>
    <row r="172" ht="14.25" customHeight="1">
      <c r="B172" s="2"/>
      <c r="D172" s="3"/>
      <c r="E172" s="3"/>
      <c r="F172" s="2"/>
      <c r="L172" s="2"/>
      <c r="M172" s="2"/>
      <c r="N172" s="2"/>
      <c r="O172" s="2"/>
    </row>
    <row r="173" ht="14.25" customHeight="1">
      <c r="B173" s="2"/>
      <c r="D173" s="3"/>
      <c r="E173" s="3"/>
      <c r="F173" s="2"/>
      <c r="L173" s="2"/>
      <c r="M173" s="2"/>
      <c r="N173" s="2"/>
      <c r="O173" s="2"/>
    </row>
    <row r="174" ht="14.25" customHeight="1">
      <c r="B174" s="2"/>
      <c r="D174" s="3"/>
      <c r="E174" s="3"/>
      <c r="F174" s="2"/>
      <c r="L174" s="2"/>
      <c r="M174" s="2"/>
      <c r="N174" s="2"/>
      <c r="O174" s="2"/>
    </row>
    <row r="175" ht="14.25" customHeight="1">
      <c r="B175" s="2"/>
      <c r="D175" s="3"/>
      <c r="E175" s="3"/>
      <c r="F175" s="2"/>
      <c r="L175" s="2"/>
      <c r="M175" s="2"/>
      <c r="N175" s="2"/>
      <c r="O175" s="2"/>
    </row>
    <row r="176" ht="14.25" customHeight="1">
      <c r="B176" s="2"/>
      <c r="D176" s="3"/>
      <c r="E176" s="3"/>
      <c r="F176" s="2"/>
      <c r="L176" s="2"/>
      <c r="M176" s="2"/>
      <c r="N176" s="2"/>
      <c r="O176" s="2"/>
    </row>
    <row r="177" ht="14.25" customHeight="1">
      <c r="B177" s="2"/>
      <c r="D177" s="3"/>
      <c r="E177" s="3"/>
      <c r="F177" s="2"/>
      <c r="L177" s="2"/>
      <c r="M177" s="2"/>
      <c r="N177" s="2"/>
      <c r="O177" s="2"/>
    </row>
    <row r="178" ht="14.25" customHeight="1">
      <c r="B178" s="2"/>
      <c r="D178" s="3"/>
      <c r="E178" s="3"/>
      <c r="F178" s="2"/>
      <c r="L178" s="2"/>
      <c r="M178" s="2"/>
      <c r="N178" s="2"/>
      <c r="O178" s="2"/>
    </row>
    <row r="179" ht="14.25" customHeight="1">
      <c r="B179" s="2"/>
      <c r="D179" s="3"/>
      <c r="E179" s="3"/>
      <c r="F179" s="2"/>
      <c r="L179" s="2"/>
      <c r="M179" s="2"/>
      <c r="N179" s="2"/>
      <c r="O179" s="2"/>
    </row>
    <row r="180" ht="14.25" customHeight="1">
      <c r="B180" s="2"/>
      <c r="D180" s="3"/>
      <c r="E180" s="3"/>
      <c r="F180" s="2"/>
      <c r="L180" s="2"/>
      <c r="M180" s="2"/>
      <c r="N180" s="2"/>
      <c r="O180" s="2"/>
    </row>
    <row r="181" ht="14.25" customHeight="1">
      <c r="B181" s="2"/>
      <c r="D181" s="3"/>
      <c r="E181" s="3"/>
      <c r="F181" s="2"/>
      <c r="L181" s="2"/>
      <c r="M181" s="2"/>
      <c r="N181" s="2"/>
      <c r="O181" s="2"/>
    </row>
    <row r="182" ht="14.25" customHeight="1">
      <c r="B182" s="2"/>
      <c r="D182" s="3"/>
      <c r="E182" s="3"/>
      <c r="F182" s="2"/>
      <c r="L182" s="2"/>
      <c r="M182" s="2"/>
      <c r="N182" s="2"/>
      <c r="O182" s="2"/>
    </row>
    <row r="183" ht="14.25" customHeight="1">
      <c r="B183" s="2"/>
      <c r="D183" s="3"/>
      <c r="E183" s="3"/>
      <c r="F183" s="2"/>
      <c r="L183" s="2"/>
      <c r="M183" s="2"/>
      <c r="N183" s="2"/>
      <c r="O183" s="2"/>
    </row>
    <row r="184" ht="14.25" customHeight="1">
      <c r="B184" s="2"/>
      <c r="D184" s="3"/>
      <c r="E184" s="3"/>
      <c r="F184" s="2"/>
      <c r="L184" s="2"/>
      <c r="M184" s="2"/>
      <c r="N184" s="2"/>
      <c r="O184" s="2"/>
    </row>
    <row r="185" ht="14.25" customHeight="1">
      <c r="B185" s="2"/>
      <c r="D185" s="3"/>
      <c r="E185" s="3"/>
      <c r="F185" s="2"/>
      <c r="L185" s="2"/>
      <c r="M185" s="2"/>
      <c r="N185" s="2"/>
      <c r="O185" s="2"/>
    </row>
    <row r="186" ht="14.25" customHeight="1">
      <c r="B186" s="2"/>
      <c r="D186" s="3"/>
      <c r="E186" s="3"/>
      <c r="F186" s="2"/>
      <c r="L186" s="2"/>
      <c r="M186" s="2"/>
      <c r="N186" s="2"/>
      <c r="O186" s="2"/>
    </row>
    <row r="187" ht="14.25" customHeight="1">
      <c r="B187" s="2"/>
      <c r="D187" s="3"/>
      <c r="E187" s="3"/>
      <c r="F187" s="2"/>
      <c r="L187" s="2"/>
      <c r="M187" s="2"/>
      <c r="N187" s="2"/>
      <c r="O187" s="2"/>
    </row>
    <row r="188" ht="14.25" customHeight="1">
      <c r="B188" s="2"/>
      <c r="D188" s="3"/>
      <c r="E188" s="3"/>
      <c r="F188" s="2"/>
      <c r="L188" s="2"/>
      <c r="M188" s="2"/>
      <c r="N188" s="2"/>
      <c r="O188" s="2"/>
    </row>
    <row r="189" ht="14.25" customHeight="1">
      <c r="B189" s="2"/>
      <c r="D189" s="3"/>
      <c r="E189" s="3"/>
      <c r="F189" s="2"/>
      <c r="L189" s="2"/>
      <c r="M189" s="2"/>
      <c r="N189" s="2"/>
      <c r="O189" s="2"/>
    </row>
    <row r="190" ht="14.25" customHeight="1">
      <c r="B190" s="2"/>
      <c r="D190" s="3"/>
      <c r="E190" s="3"/>
      <c r="F190" s="2"/>
      <c r="L190" s="2"/>
      <c r="M190" s="2"/>
      <c r="N190" s="2"/>
      <c r="O190" s="2"/>
    </row>
    <row r="191" ht="14.25" customHeight="1">
      <c r="B191" s="2"/>
      <c r="D191" s="3"/>
      <c r="E191" s="3"/>
      <c r="F191" s="2"/>
      <c r="L191" s="2"/>
      <c r="M191" s="2"/>
      <c r="N191" s="2"/>
      <c r="O191" s="2"/>
    </row>
    <row r="192" ht="14.25" customHeight="1">
      <c r="B192" s="2"/>
      <c r="D192" s="3"/>
      <c r="E192" s="3"/>
      <c r="F192" s="2"/>
      <c r="L192" s="2"/>
      <c r="M192" s="2"/>
      <c r="N192" s="2"/>
      <c r="O192" s="2"/>
    </row>
    <row r="193" ht="14.25" customHeight="1">
      <c r="B193" s="2"/>
      <c r="D193" s="3"/>
      <c r="E193" s="3"/>
      <c r="F193" s="2"/>
      <c r="L193" s="2"/>
      <c r="M193" s="2"/>
      <c r="N193" s="2"/>
      <c r="O193" s="2"/>
    </row>
    <row r="194" ht="14.25" customHeight="1">
      <c r="B194" s="2"/>
      <c r="D194" s="3"/>
      <c r="E194" s="3"/>
      <c r="F194" s="2"/>
      <c r="L194" s="2"/>
      <c r="M194" s="2"/>
      <c r="N194" s="2"/>
      <c r="O194" s="2"/>
    </row>
    <row r="195" ht="14.25" customHeight="1">
      <c r="B195" s="2"/>
      <c r="D195" s="3"/>
      <c r="E195" s="3"/>
      <c r="F195" s="2"/>
      <c r="L195" s="2"/>
      <c r="M195" s="2"/>
      <c r="N195" s="2"/>
      <c r="O195" s="2"/>
    </row>
    <row r="196" ht="14.25" customHeight="1">
      <c r="B196" s="2"/>
      <c r="D196" s="3"/>
      <c r="E196" s="3"/>
      <c r="F196" s="2"/>
      <c r="L196" s="2"/>
      <c r="M196" s="2"/>
      <c r="N196" s="2"/>
      <c r="O196" s="2"/>
    </row>
    <row r="197" ht="14.25" customHeight="1">
      <c r="B197" s="2"/>
      <c r="D197" s="3"/>
      <c r="E197" s="3"/>
      <c r="F197" s="2"/>
      <c r="L197" s="2"/>
      <c r="M197" s="2"/>
      <c r="N197" s="2"/>
      <c r="O197" s="2"/>
    </row>
    <row r="198" ht="14.25" customHeight="1">
      <c r="B198" s="2"/>
      <c r="D198" s="3"/>
      <c r="E198" s="3"/>
      <c r="F198" s="2"/>
      <c r="L198" s="2"/>
      <c r="M198" s="2"/>
      <c r="N198" s="2"/>
      <c r="O198" s="2"/>
    </row>
    <row r="199" ht="14.25" customHeight="1">
      <c r="B199" s="2"/>
      <c r="D199" s="3"/>
      <c r="E199" s="3"/>
      <c r="F199" s="2"/>
      <c r="L199" s="2"/>
      <c r="M199" s="2"/>
      <c r="N199" s="2"/>
      <c r="O199" s="2"/>
    </row>
    <row r="200" ht="14.25" customHeight="1">
      <c r="B200" s="2"/>
      <c r="D200" s="3"/>
      <c r="E200" s="3"/>
      <c r="F200" s="2"/>
      <c r="L200" s="2"/>
      <c r="M200" s="2"/>
      <c r="N200" s="2"/>
      <c r="O200" s="2"/>
    </row>
    <row r="201" ht="14.25" customHeight="1">
      <c r="B201" s="2"/>
      <c r="D201" s="3"/>
      <c r="E201" s="3"/>
      <c r="F201" s="2"/>
      <c r="L201" s="2"/>
      <c r="M201" s="2"/>
      <c r="N201" s="2"/>
      <c r="O201" s="2"/>
    </row>
    <row r="202" ht="14.25" customHeight="1">
      <c r="B202" s="2"/>
      <c r="D202" s="3"/>
      <c r="E202" s="3"/>
      <c r="F202" s="2"/>
      <c r="L202" s="2"/>
      <c r="M202" s="2"/>
      <c r="N202" s="2"/>
      <c r="O202" s="2"/>
    </row>
    <row r="203" ht="14.25" customHeight="1">
      <c r="B203" s="2"/>
      <c r="D203" s="3"/>
      <c r="E203" s="3"/>
      <c r="F203" s="2"/>
      <c r="L203" s="2"/>
      <c r="M203" s="2"/>
      <c r="N203" s="2"/>
      <c r="O203" s="2"/>
    </row>
    <row r="204" ht="14.25" customHeight="1">
      <c r="B204" s="2"/>
      <c r="D204" s="3"/>
      <c r="E204" s="3"/>
      <c r="F204" s="2"/>
      <c r="L204" s="2"/>
      <c r="M204" s="2"/>
      <c r="N204" s="2"/>
      <c r="O204" s="2"/>
    </row>
    <row r="205" ht="14.25" customHeight="1">
      <c r="B205" s="2"/>
      <c r="D205" s="3"/>
      <c r="E205" s="3"/>
      <c r="F205" s="2"/>
      <c r="L205" s="2"/>
      <c r="M205" s="2"/>
      <c r="N205" s="2"/>
      <c r="O205" s="2"/>
    </row>
    <row r="206" ht="14.25" customHeight="1">
      <c r="B206" s="2"/>
      <c r="D206" s="3"/>
      <c r="E206" s="3"/>
      <c r="F206" s="2"/>
      <c r="L206" s="2"/>
      <c r="M206" s="2"/>
      <c r="N206" s="2"/>
      <c r="O206" s="2"/>
    </row>
    <row r="207" ht="14.25" customHeight="1">
      <c r="B207" s="2"/>
      <c r="D207" s="3"/>
      <c r="E207" s="3"/>
      <c r="F207" s="2"/>
      <c r="L207" s="2"/>
      <c r="M207" s="2"/>
      <c r="N207" s="2"/>
      <c r="O207" s="2"/>
    </row>
    <row r="208" ht="14.25" customHeight="1">
      <c r="B208" s="2"/>
      <c r="D208" s="3"/>
      <c r="E208" s="3"/>
      <c r="F208" s="2"/>
      <c r="L208" s="2"/>
      <c r="M208" s="2"/>
      <c r="N208" s="2"/>
      <c r="O208" s="2"/>
    </row>
    <row r="209" ht="14.25" customHeight="1">
      <c r="B209" s="2"/>
      <c r="D209" s="3"/>
      <c r="E209" s="3"/>
      <c r="F209" s="2"/>
      <c r="L209" s="2"/>
      <c r="M209" s="2"/>
      <c r="N209" s="2"/>
      <c r="O209" s="2"/>
    </row>
    <row r="210" ht="14.25" customHeight="1">
      <c r="B210" s="2"/>
      <c r="D210" s="3"/>
      <c r="E210" s="3"/>
      <c r="F210" s="2"/>
      <c r="L210" s="2"/>
      <c r="M210" s="2"/>
      <c r="N210" s="2"/>
      <c r="O210" s="2"/>
    </row>
    <row r="211" ht="14.25" customHeight="1">
      <c r="B211" s="2"/>
      <c r="D211" s="3"/>
      <c r="E211" s="3"/>
      <c r="F211" s="2"/>
      <c r="L211" s="2"/>
      <c r="M211" s="2"/>
      <c r="N211" s="2"/>
      <c r="O211" s="2"/>
    </row>
    <row r="212" ht="14.25" customHeight="1">
      <c r="B212" s="2"/>
      <c r="D212" s="3"/>
      <c r="E212" s="3"/>
      <c r="F212" s="2"/>
      <c r="L212" s="2"/>
      <c r="M212" s="2"/>
      <c r="N212" s="2"/>
      <c r="O212" s="2"/>
    </row>
    <row r="213" ht="14.25" customHeight="1">
      <c r="B213" s="2"/>
      <c r="D213" s="3"/>
      <c r="E213" s="3"/>
      <c r="F213" s="2"/>
      <c r="L213" s="2"/>
      <c r="M213" s="2"/>
      <c r="N213" s="2"/>
      <c r="O213" s="2"/>
    </row>
    <row r="214" ht="14.25" customHeight="1">
      <c r="B214" s="2"/>
      <c r="D214" s="3"/>
      <c r="E214" s="3"/>
      <c r="F214" s="2"/>
      <c r="L214" s="2"/>
      <c r="M214" s="2"/>
      <c r="N214" s="2"/>
      <c r="O214" s="2"/>
    </row>
    <row r="215" ht="14.25" customHeight="1">
      <c r="B215" s="2"/>
      <c r="D215" s="3"/>
      <c r="E215" s="3"/>
      <c r="F215" s="2"/>
      <c r="L215" s="2"/>
      <c r="M215" s="2"/>
      <c r="N215" s="2"/>
      <c r="O215" s="2"/>
    </row>
    <row r="216" ht="14.25" customHeight="1">
      <c r="B216" s="2"/>
      <c r="D216" s="3"/>
      <c r="E216" s="3"/>
      <c r="F216" s="2"/>
      <c r="L216" s="2"/>
      <c r="M216" s="2"/>
      <c r="N216" s="2"/>
      <c r="O216" s="2"/>
    </row>
    <row r="217" ht="14.25" customHeight="1">
      <c r="B217" s="2"/>
      <c r="D217" s="3"/>
      <c r="E217" s="3"/>
      <c r="F217" s="2"/>
      <c r="L217" s="2"/>
      <c r="M217" s="2"/>
      <c r="N217" s="2"/>
      <c r="O217" s="2"/>
    </row>
    <row r="218" ht="14.25" customHeight="1">
      <c r="B218" s="2"/>
      <c r="D218" s="3"/>
      <c r="E218" s="3"/>
      <c r="F218" s="2"/>
      <c r="L218" s="2"/>
      <c r="M218" s="2"/>
      <c r="N218" s="2"/>
      <c r="O218" s="2"/>
    </row>
    <row r="219" ht="14.25" customHeight="1">
      <c r="B219" s="2"/>
      <c r="D219" s="3"/>
      <c r="E219" s="3"/>
      <c r="F219" s="2"/>
      <c r="L219" s="2"/>
      <c r="M219" s="2"/>
      <c r="N219" s="2"/>
      <c r="O219" s="2"/>
    </row>
    <row r="220" ht="14.25" customHeight="1">
      <c r="B220" s="2"/>
      <c r="D220" s="3"/>
      <c r="E220" s="3"/>
      <c r="F220" s="2"/>
      <c r="L220" s="2"/>
      <c r="M220" s="2"/>
      <c r="N220" s="2"/>
      <c r="O220" s="2"/>
    </row>
    <row r="221" ht="14.25" customHeight="1">
      <c r="B221" s="2"/>
      <c r="D221" s="3"/>
      <c r="E221" s="3"/>
      <c r="F221" s="2"/>
      <c r="L221" s="2"/>
      <c r="M221" s="2"/>
      <c r="N221" s="2"/>
      <c r="O221" s="2"/>
    </row>
    <row r="222" ht="14.25" customHeight="1">
      <c r="B222" s="2"/>
      <c r="D222" s="3"/>
      <c r="E222" s="3"/>
      <c r="F222" s="2"/>
      <c r="L222" s="2"/>
      <c r="M222" s="2"/>
      <c r="N222" s="2"/>
      <c r="O222" s="2"/>
    </row>
    <row r="223" ht="14.25" customHeight="1">
      <c r="B223" s="2"/>
      <c r="D223" s="3"/>
      <c r="E223" s="3"/>
      <c r="F223" s="2"/>
      <c r="L223" s="2"/>
      <c r="M223" s="2"/>
      <c r="N223" s="2"/>
      <c r="O223" s="2"/>
    </row>
    <row r="224" ht="14.25" customHeight="1">
      <c r="B224" s="2"/>
      <c r="D224" s="3"/>
      <c r="E224" s="3"/>
      <c r="F224" s="2"/>
      <c r="L224" s="2"/>
      <c r="M224" s="2"/>
      <c r="N224" s="2"/>
      <c r="O224" s="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Y$17"/>
  <mergeCells count="2">
    <mergeCell ref="L1:Q1"/>
    <mergeCell ref="L2:Q2"/>
  </mergeCells>
  <dataValidations>
    <dataValidation type="list" allowBlank="1" showErrorMessage="1" sqref="Z5:AH28">
      <formula1>"Ada,Belum Ada,Proses,Belum mengurus"</formula1>
    </dataValidation>
    <dataValidation type="list" allowBlank="1" showErrorMessage="1" sqref="G5 G7 G9 G11 G13 G15 G17 G19 G21 G23">
      <formula1>"Sudah Operasional,Belum operasional,Tahap persiapan"</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1.57"/>
    <col customWidth="1" min="3" max="3" width="33.29"/>
    <col customWidth="1" min="4" max="4" width="11.86"/>
    <col customWidth="1" min="5" max="5" width="19.29"/>
    <col customWidth="1" min="6" max="7" width="15.86"/>
    <col customWidth="1" min="8" max="11" width="21.14"/>
    <col customWidth="1" min="12" max="17" width="27.0"/>
    <col customWidth="1" min="18" max="18" width="32.14"/>
    <col customWidth="1" min="19" max="24" width="26.43"/>
    <col customWidth="1" min="25" max="25" width="18.43"/>
    <col customWidth="1" min="26" max="26" width="15.86"/>
    <col customWidth="1" min="27" max="27" width="15.57"/>
    <col customWidth="1" min="28" max="28" width="15.14"/>
    <col customWidth="1" min="29" max="29" width="15.29"/>
    <col customWidth="1" min="30" max="30" width="16.43"/>
    <col customWidth="1" min="31" max="31" width="18.29"/>
    <col customWidth="1" min="32" max="32" width="16.14"/>
    <col customWidth="1" min="33" max="33" width="20.29"/>
    <col customWidth="1" min="34" max="34" width="17.0"/>
    <col customWidth="1" min="35" max="35" width="11.14"/>
  </cols>
  <sheetData>
    <row r="1" ht="14.25" customHeight="1">
      <c r="A1" s="62"/>
      <c r="L1" s="63" t="s">
        <v>1</v>
      </c>
    </row>
    <row r="2" ht="14.25" customHeight="1">
      <c r="L2" s="64" t="s">
        <v>2</v>
      </c>
    </row>
    <row r="3" ht="14.25" customHeight="1"/>
    <row r="4" ht="40.5" customHeight="1">
      <c r="A4" s="65" t="s">
        <v>3</v>
      </c>
      <c r="B4" s="65" t="s">
        <v>4</v>
      </c>
      <c r="C4" s="65" t="s">
        <v>5</v>
      </c>
      <c r="D4" s="65" t="s">
        <v>6</v>
      </c>
      <c r="E4" s="65" t="s">
        <v>7</v>
      </c>
      <c r="F4" s="65" t="s">
        <v>8</v>
      </c>
      <c r="G4" s="65" t="s">
        <v>9</v>
      </c>
      <c r="H4" s="65" t="s">
        <v>10</v>
      </c>
      <c r="I4" s="65" t="s">
        <v>11</v>
      </c>
      <c r="J4" s="65" t="s">
        <v>12</v>
      </c>
      <c r="K4" s="65" t="s">
        <v>13</v>
      </c>
      <c r="L4" s="65" t="s">
        <v>14</v>
      </c>
      <c r="M4" s="65" t="s">
        <v>15</v>
      </c>
      <c r="N4" s="65" t="s">
        <v>16</v>
      </c>
      <c r="O4" s="65" t="s">
        <v>147</v>
      </c>
      <c r="P4" s="65" t="s">
        <v>18</v>
      </c>
      <c r="Q4" s="65" t="s">
        <v>19</v>
      </c>
      <c r="R4" s="65" t="s">
        <v>20</v>
      </c>
      <c r="S4" s="65" t="s">
        <v>21</v>
      </c>
      <c r="T4" s="65" t="s">
        <v>22</v>
      </c>
      <c r="U4" s="65" t="s">
        <v>23</v>
      </c>
      <c r="V4" s="65" t="s">
        <v>148</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14.25" customHeight="1">
      <c r="A5" s="67">
        <v>1.0</v>
      </c>
      <c r="B5" s="67" t="s">
        <v>149</v>
      </c>
      <c r="C5" s="67" t="s">
        <v>150</v>
      </c>
      <c r="D5" s="67"/>
      <c r="E5" s="67" t="s">
        <v>151</v>
      </c>
      <c r="F5" s="67" t="s">
        <v>152</v>
      </c>
      <c r="G5" s="67" t="s">
        <v>43</v>
      </c>
      <c r="H5" s="67" t="s">
        <v>153</v>
      </c>
      <c r="I5" s="67" t="s">
        <v>44</v>
      </c>
      <c r="J5" s="67" t="s">
        <v>154</v>
      </c>
      <c r="K5" s="67">
        <v>8.3162829637E10</v>
      </c>
      <c r="L5" s="67">
        <v>2764.0</v>
      </c>
      <c r="M5" s="67"/>
      <c r="N5" s="67" t="s">
        <v>155</v>
      </c>
      <c r="O5" s="67" t="s">
        <v>156</v>
      </c>
      <c r="P5" s="67"/>
      <c r="Q5" s="67" t="s">
        <v>157</v>
      </c>
      <c r="R5" s="67" t="s">
        <v>158</v>
      </c>
      <c r="S5" s="67" t="s">
        <v>159</v>
      </c>
      <c r="T5" s="67" t="s">
        <v>160</v>
      </c>
      <c r="U5" s="67" t="s">
        <v>161</v>
      </c>
      <c r="V5" s="67" t="s">
        <v>162</v>
      </c>
      <c r="W5" s="67"/>
      <c r="X5" s="67">
        <v>1.0</v>
      </c>
      <c r="Y5" s="68"/>
      <c r="Z5" s="68" t="s">
        <v>54</v>
      </c>
      <c r="AA5" s="68" t="s">
        <v>54</v>
      </c>
      <c r="AB5" s="68" t="s">
        <v>54</v>
      </c>
      <c r="AC5" s="68" t="s">
        <v>54</v>
      </c>
      <c r="AD5" s="68" t="s">
        <v>54</v>
      </c>
      <c r="AE5" s="68" t="s">
        <v>146</v>
      </c>
      <c r="AF5" s="68" t="s">
        <v>54</v>
      </c>
      <c r="AG5" s="68" t="s">
        <v>54</v>
      </c>
      <c r="AH5" s="68" t="s">
        <v>146</v>
      </c>
      <c r="AI5" s="69">
        <v>47.0</v>
      </c>
    </row>
    <row r="6" ht="14.25" customHeight="1">
      <c r="A6" s="67">
        <v>2.0</v>
      </c>
      <c r="B6" s="67" t="s">
        <v>149</v>
      </c>
      <c r="C6" s="70" t="s">
        <v>163</v>
      </c>
      <c r="D6" s="67" t="s">
        <v>164</v>
      </c>
      <c r="E6" s="71" t="s">
        <v>165</v>
      </c>
      <c r="F6" s="67" t="s">
        <v>166</v>
      </c>
      <c r="G6" s="67" t="s">
        <v>43</v>
      </c>
      <c r="H6" s="67">
        <v>2025.0</v>
      </c>
      <c r="I6" s="67" t="s">
        <v>44</v>
      </c>
      <c r="J6" s="67" t="s">
        <v>167</v>
      </c>
      <c r="K6" s="72" t="s">
        <v>168</v>
      </c>
      <c r="L6" s="67">
        <v>2465.0</v>
      </c>
      <c r="M6" s="67"/>
      <c r="N6" s="67"/>
      <c r="O6" s="67" t="s">
        <v>169</v>
      </c>
      <c r="P6" s="67"/>
      <c r="Q6" s="67" t="s">
        <v>170</v>
      </c>
      <c r="R6" s="67" t="s">
        <v>171</v>
      </c>
      <c r="S6" s="67" t="s">
        <v>172</v>
      </c>
      <c r="T6" s="67" t="s">
        <v>173</v>
      </c>
      <c r="U6" s="67" t="s">
        <v>174</v>
      </c>
      <c r="V6" s="67" t="s">
        <v>175</v>
      </c>
      <c r="W6" s="67"/>
      <c r="X6" s="67"/>
      <c r="Y6" s="67"/>
      <c r="Z6" s="68" t="s">
        <v>54</v>
      </c>
      <c r="AA6" s="68" t="s">
        <v>54</v>
      </c>
      <c r="AB6" s="68" t="s">
        <v>54</v>
      </c>
      <c r="AC6" s="68" t="s">
        <v>54</v>
      </c>
      <c r="AD6" s="68" t="s">
        <v>54</v>
      </c>
      <c r="AE6" s="68" t="s">
        <v>145</v>
      </c>
      <c r="AF6" s="68" t="s">
        <v>145</v>
      </c>
      <c r="AG6" s="68" t="s">
        <v>54</v>
      </c>
      <c r="AH6" s="68" t="s">
        <v>146</v>
      </c>
      <c r="AI6" s="68" t="s">
        <v>54</v>
      </c>
    </row>
    <row r="7" ht="14.25" customHeight="1">
      <c r="A7" s="68">
        <v>3.0</v>
      </c>
      <c r="B7" s="68" t="s">
        <v>149</v>
      </c>
      <c r="C7" s="73" t="s">
        <v>176</v>
      </c>
      <c r="D7" s="68" t="s">
        <v>177</v>
      </c>
      <c r="E7" s="68" t="s">
        <v>178</v>
      </c>
      <c r="F7" s="68" t="s">
        <v>179</v>
      </c>
      <c r="G7" s="74" t="s">
        <v>43</v>
      </c>
      <c r="H7" s="75">
        <v>46059.0</v>
      </c>
      <c r="I7" s="68" t="s">
        <v>44</v>
      </c>
      <c r="J7" s="76" t="s">
        <v>180</v>
      </c>
      <c r="K7" s="68">
        <v>8.2279307295E10</v>
      </c>
      <c r="L7" s="76">
        <v>2877.0</v>
      </c>
      <c r="M7" s="76" t="s">
        <v>181</v>
      </c>
      <c r="N7" s="68" t="s">
        <v>182</v>
      </c>
      <c r="O7" s="67" t="s">
        <v>183</v>
      </c>
      <c r="P7" s="68"/>
      <c r="Q7" s="68" t="s">
        <v>184</v>
      </c>
      <c r="R7" s="68" t="s">
        <v>185</v>
      </c>
      <c r="S7" s="76" t="s">
        <v>186</v>
      </c>
      <c r="T7" s="76" t="s">
        <v>187</v>
      </c>
      <c r="U7" s="76" t="s">
        <v>188</v>
      </c>
      <c r="V7" s="76" t="s">
        <v>189</v>
      </c>
      <c r="W7" s="68"/>
      <c r="X7" s="68"/>
      <c r="Y7" s="68"/>
      <c r="Z7" s="76" t="s">
        <v>54</v>
      </c>
      <c r="AA7" s="76" t="s">
        <v>54</v>
      </c>
      <c r="AB7" s="76" t="s">
        <v>54</v>
      </c>
      <c r="AC7" s="76" t="s">
        <v>190</v>
      </c>
      <c r="AD7" s="76" t="s">
        <v>145</v>
      </c>
      <c r="AE7" s="76" t="s">
        <v>190</v>
      </c>
      <c r="AF7" s="76" t="s">
        <v>190</v>
      </c>
      <c r="AG7" s="76" t="s">
        <v>54</v>
      </c>
      <c r="AH7" s="76" t="s">
        <v>146</v>
      </c>
      <c r="AI7" s="68"/>
    </row>
    <row r="8" ht="14.25" customHeight="1">
      <c r="A8" s="68">
        <v>4.0</v>
      </c>
      <c r="B8" s="68" t="s">
        <v>191</v>
      </c>
      <c r="C8" s="68" t="s">
        <v>192</v>
      </c>
      <c r="D8" s="68" t="s">
        <v>193</v>
      </c>
      <c r="E8" s="68" t="s">
        <v>194</v>
      </c>
      <c r="F8" s="68" t="s">
        <v>195</v>
      </c>
      <c r="G8" s="74" t="s">
        <v>43</v>
      </c>
      <c r="H8" s="68" t="s">
        <v>196</v>
      </c>
      <c r="I8" s="68" t="s">
        <v>72</v>
      </c>
      <c r="J8" s="68" t="s">
        <v>197</v>
      </c>
      <c r="K8" s="68">
        <v>8.1269107816E10</v>
      </c>
      <c r="L8" s="68">
        <v>2773.0</v>
      </c>
      <c r="M8" s="68"/>
      <c r="N8" s="67" t="s">
        <v>198</v>
      </c>
      <c r="O8" s="67" t="s">
        <v>199</v>
      </c>
      <c r="P8" s="68"/>
      <c r="Q8" s="67" t="s">
        <v>200</v>
      </c>
      <c r="R8" s="67" t="s">
        <v>201</v>
      </c>
      <c r="S8" s="67" t="s">
        <v>202</v>
      </c>
      <c r="T8" s="68"/>
      <c r="U8" s="68"/>
      <c r="V8" s="68"/>
      <c r="W8" s="68"/>
      <c r="X8" s="68"/>
      <c r="Y8" s="68"/>
      <c r="Z8" s="68" t="s">
        <v>54</v>
      </c>
      <c r="AA8" s="68" t="s">
        <v>54</v>
      </c>
      <c r="AB8" s="68" t="s">
        <v>145</v>
      </c>
      <c r="AC8" s="68" t="s">
        <v>54</v>
      </c>
      <c r="AD8" s="68" t="s">
        <v>145</v>
      </c>
      <c r="AE8" s="68" t="s">
        <v>145</v>
      </c>
      <c r="AF8" s="68" t="s">
        <v>145</v>
      </c>
      <c r="AG8" s="68" t="s">
        <v>54</v>
      </c>
      <c r="AH8" s="68" t="s">
        <v>145</v>
      </c>
      <c r="AI8" s="68">
        <v>48.0</v>
      </c>
    </row>
    <row r="9" ht="14.25" customHeight="1">
      <c r="A9" s="68">
        <v>5.0</v>
      </c>
      <c r="B9" s="68" t="s">
        <v>203</v>
      </c>
      <c r="C9" s="68" t="s">
        <v>204</v>
      </c>
      <c r="D9" s="77" t="s">
        <v>205</v>
      </c>
      <c r="E9" s="68" t="s">
        <v>194</v>
      </c>
      <c r="F9" s="68" t="s">
        <v>206</v>
      </c>
      <c r="G9" s="74" t="s">
        <v>43</v>
      </c>
      <c r="H9" s="78">
        <v>46113.0</v>
      </c>
      <c r="I9" s="68" t="s">
        <v>72</v>
      </c>
      <c r="J9" s="68" t="s">
        <v>207</v>
      </c>
      <c r="K9" s="68"/>
      <c r="L9" s="68">
        <v>2591.0</v>
      </c>
      <c r="M9" s="68"/>
      <c r="N9" s="68"/>
      <c r="O9" s="68" t="s">
        <v>208</v>
      </c>
      <c r="P9" s="67" t="s">
        <v>209</v>
      </c>
      <c r="Q9" s="67" t="s">
        <v>210</v>
      </c>
      <c r="R9" s="68" t="s">
        <v>211</v>
      </c>
      <c r="S9" s="67" t="s">
        <v>212</v>
      </c>
      <c r="T9" s="68" t="s">
        <v>213</v>
      </c>
      <c r="U9" s="68" t="s">
        <v>214</v>
      </c>
      <c r="V9" s="68" t="s">
        <v>215</v>
      </c>
      <c r="W9" s="68"/>
      <c r="X9" s="68"/>
      <c r="Y9" s="68"/>
      <c r="Z9" s="68" t="s">
        <v>54</v>
      </c>
      <c r="AA9" s="68" t="s">
        <v>54</v>
      </c>
      <c r="AB9" s="68" t="s">
        <v>145</v>
      </c>
      <c r="AC9" s="68" t="s">
        <v>54</v>
      </c>
      <c r="AD9" s="68" t="s">
        <v>145</v>
      </c>
      <c r="AE9" s="68" t="s">
        <v>146</v>
      </c>
      <c r="AF9" s="68" t="s">
        <v>145</v>
      </c>
      <c r="AG9" s="68" t="s">
        <v>54</v>
      </c>
      <c r="AH9" s="68" t="s">
        <v>146</v>
      </c>
      <c r="AI9" s="68" t="s">
        <v>54</v>
      </c>
    </row>
    <row r="10" ht="14.25" customHeight="1">
      <c r="A10" s="68">
        <v>6.0</v>
      </c>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row>
    <row r="11" ht="14.25" customHeight="1">
      <c r="A11" s="68">
        <v>7.0</v>
      </c>
      <c r="B11" s="68"/>
      <c r="C11" s="68"/>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row>
    <row r="12" ht="14.25" customHeight="1">
      <c r="A12" s="68">
        <v>8.0</v>
      </c>
      <c r="B12" s="68"/>
      <c r="C12" s="68"/>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row>
    <row r="13" ht="14.25" customHeight="1">
      <c r="A13" s="68">
        <v>9.0</v>
      </c>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row>
    <row r="14" ht="14.25" customHeight="1">
      <c r="A14" s="68">
        <v>10.0</v>
      </c>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row>
    <row r="15" ht="14.25" customHeight="1">
      <c r="Z15" s="57"/>
      <c r="AA15" s="57"/>
      <c r="AB15" s="57"/>
      <c r="AC15" s="57"/>
      <c r="AD15" s="57"/>
      <c r="AE15" s="57"/>
      <c r="AF15" s="57"/>
      <c r="AG15" s="57"/>
      <c r="AH15" s="57"/>
      <c r="AI15" s="57"/>
    </row>
    <row r="16" ht="14.25" customHeight="1">
      <c r="Z16" s="57"/>
      <c r="AA16" s="57"/>
      <c r="AB16" s="57"/>
      <c r="AC16" s="57"/>
      <c r="AD16" s="57"/>
      <c r="AE16" s="57"/>
      <c r="AF16" s="57"/>
      <c r="AG16" s="57"/>
      <c r="AH16" s="57"/>
      <c r="AI16" s="57"/>
    </row>
    <row r="17" ht="14.25" customHeight="1">
      <c r="Z17" s="57"/>
      <c r="AA17" s="57"/>
      <c r="AB17" s="57"/>
      <c r="AC17" s="57"/>
      <c r="AD17" s="57"/>
      <c r="AE17" s="57"/>
      <c r="AF17" s="57"/>
      <c r="AG17" s="57"/>
      <c r="AH17" s="57"/>
      <c r="AI17" s="57"/>
    </row>
    <row r="18" ht="14.25" customHeight="1">
      <c r="Z18" s="57"/>
      <c r="AA18" s="57"/>
      <c r="AB18" s="57"/>
      <c r="AC18" s="57"/>
      <c r="AD18" s="57"/>
      <c r="AE18" s="57"/>
      <c r="AF18" s="57"/>
      <c r="AG18" s="57"/>
      <c r="AH18" s="57"/>
      <c r="AI18" s="57"/>
    </row>
    <row r="19" ht="14.25" customHeight="1">
      <c r="C19" s="62" t="s">
        <v>216</v>
      </c>
      <c r="D19" s="62">
        <v>3.0</v>
      </c>
      <c r="Z19" s="57"/>
      <c r="AA19" s="57"/>
      <c r="AB19" s="57"/>
      <c r="AC19" s="57"/>
      <c r="AD19" s="57"/>
      <c r="AE19" s="57"/>
      <c r="AF19" s="57"/>
      <c r="AG19" s="57"/>
      <c r="AH19" s="57"/>
      <c r="AI19" s="57"/>
    </row>
    <row r="20" ht="14.25" customHeight="1">
      <c r="C20" s="62" t="s">
        <v>217</v>
      </c>
      <c r="D20" s="62">
        <v>0.0</v>
      </c>
      <c r="Z20" s="57"/>
      <c r="AA20" s="57"/>
      <c r="AB20" s="57"/>
      <c r="AC20" s="57"/>
      <c r="AD20" s="57"/>
      <c r="AE20" s="57"/>
      <c r="AF20" s="57"/>
      <c r="AG20" s="57"/>
      <c r="AH20" s="57"/>
      <c r="AI20" s="57"/>
    </row>
    <row r="21" ht="14.25" customHeight="1">
      <c r="Z21" s="57"/>
      <c r="AA21" s="57"/>
      <c r="AB21" s="57"/>
      <c r="AC21" s="57"/>
      <c r="AD21" s="57"/>
      <c r="AE21" s="57"/>
      <c r="AF21" s="57"/>
      <c r="AG21" s="57"/>
      <c r="AH21" s="57"/>
      <c r="AI21" s="57"/>
    </row>
    <row r="22" ht="14.25" customHeight="1">
      <c r="Z22" s="57"/>
      <c r="AA22" s="57"/>
      <c r="AB22" s="57"/>
      <c r="AC22" s="57"/>
      <c r="AD22" s="57"/>
      <c r="AE22" s="57"/>
      <c r="AF22" s="57"/>
      <c r="AG22" s="57"/>
      <c r="AH22" s="57"/>
      <c r="AI22" s="57"/>
    </row>
    <row r="23" ht="14.25" customHeight="1">
      <c r="Z23" s="57"/>
      <c r="AA23" s="57"/>
      <c r="AB23" s="57"/>
      <c r="AC23" s="57"/>
      <c r="AD23" s="57"/>
      <c r="AE23" s="57"/>
      <c r="AF23" s="57"/>
      <c r="AG23" s="57"/>
      <c r="AH23" s="57"/>
      <c r="AI23" s="57"/>
    </row>
    <row r="24" ht="14.25" customHeight="1">
      <c r="Z24" s="57"/>
      <c r="AA24" s="57"/>
      <c r="AB24" s="57"/>
      <c r="AC24" s="57"/>
      <c r="AD24" s="57"/>
      <c r="AE24" s="57"/>
      <c r="AF24" s="57"/>
      <c r="AG24" s="57"/>
      <c r="AH24" s="57"/>
      <c r="AI24" s="57"/>
    </row>
    <row r="25" ht="14.25" customHeight="1">
      <c r="Z25" s="57"/>
      <c r="AA25" s="57"/>
      <c r="AB25" s="57"/>
      <c r="AC25" s="57"/>
      <c r="AD25" s="57"/>
      <c r="AE25" s="57"/>
      <c r="AF25" s="57"/>
      <c r="AG25" s="57"/>
      <c r="AH25" s="57"/>
      <c r="AI25" s="57"/>
    </row>
    <row r="26" ht="14.25" customHeight="1">
      <c r="Z26" s="57"/>
      <c r="AA26" s="57"/>
      <c r="AB26" s="57"/>
      <c r="AC26" s="57"/>
      <c r="AD26" s="57"/>
      <c r="AE26" s="57"/>
      <c r="AF26" s="57"/>
      <c r="AG26" s="57"/>
      <c r="AH26" s="57"/>
      <c r="AI26" s="57"/>
    </row>
    <row r="27" ht="14.25" customHeight="1">
      <c r="Z27" s="57"/>
      <c r="AA27" s="57"/>
      <c r="AB27" s="57"/>
      <c r="AC27" s="57"/>
      <c r="AD27" s="57"/>
      <c r="AE27" s="57"/>
      <c r="AF27" s="57"/>
      <c r="AG27" s="57"/>
      <c r="AH27" s="57"/>
      <c r="AI27" s="57"/>
    </row>
    <row r="28" ht="14.25" customHeight="1">
      <c r="Z28" s="57"/>
      <c r="AA28" s="57"/>
      <c r="AB28" s="57"/>
      <c r="AC28" s="57"/>
      <c r="AD28" s="57"/>
      <c r="AE28" s="57"/>
      <c r="AF28" s="57"/>
      <c r="AG28" s="57"/>
      <c r="AH28" s="57"/>
      <c r="AI28" s="57"/>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c r="R42" s="62"/>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H5 Z6:AI7 Z8:AH8 Z9:AI28">
      <formula1>"Ada,Belum Ada,Proses,Belum mengurus"</formula1>
    </dataValidation>
    <dataValidation type="list" allowBlank="1" showErrorMessage="1" sqref="AI8">
      <formula1>"Ada,Belum Ada,Proses,Belum mengurus,48"</formula1>
    </dataValidation>
    <dataValidation type="list" allowBlank="1" showErrorMessage="1" sqref="G5:G6">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1.57"/>
    <col customWidth="1" min="3" max="3" width="21.86"/>
    <col customWidth="1" min="4" max="4" width="11.86"/>
    <col customWidth="1" min="5" max="5" width="19.29"/>
    <col customWidth="1" min="6" max="7" width="15.86"/>
    <col customWidth="1" min="8" max="11" width="21.14"/>
    <col customWidth="1" min="12" max="12" width="30.29"/>
    <col customWidth="1" min="13" max="18" width="27.0"/>
    <col customWidth="1" min="19" max="24" width="26.43"/>
    <col customWidth="1" min="25" max="25" width="18.43"/>
    <col customWidth="1" min="26" max="26" width="15.86"/>
    <col customWidth="1" min="27" max="27" width="15.57"/>
    <col customWidth="1" min="28" max="28" width="15.14"/>
    <col customWidth="1" min="29" max="29" width="15.29"/>
    <col customWidth="1" min="30" max="30" width="16.43"/>
    <col customWidth="1" min="31" max="31" width="18.29"/>
    <col customWidth="1" min="32" max="32" width="16.14"/>
    <col customWidth="1" min="33" max="33" width="20.29"/>
    <col customWidth="1" min="34" max="34" width="17.0"/>
    <col customWidth="1" min="35" max="35" width="11.14"/>
  </cols>
  <sheetData>
    <row r="1" ht="14.25" customHeight="1">
      <c r="A1" s="62" t="s">
        <v>53</v>
      </c>
      <c r="L1" s="63" t="s">
        <v>1</v>
      </c>
    </row>
    <row r="2" ht="14.25" customHeight="1">
      <c r="A2" s="62" t="s">
        <v>218</v>
      </c>
      <c r="L2" s="64" t="s">
        <v>2</v>
      </c>
    </row>
    <row r="3" ht="14.25" customHeight="1"/>
    <row r="4" ht="40.5" customHeight="1">
      <c r="A4" s="65" t="s">
        <v>3</v>
      </c>
      <c r="B4" s="65" t="s">
        <v>4</v>
      </c>
      <c r="C4" s="65" t="s">
        <v>5</v>
      </c>
      <c r="D4" s="65" t="s">
        <v>6</v>
      </c>
      <c r="E4" s="65" t="s">
        <v>7</v>
      </c>
      <c r="F4" s="65" t="s">
        <v>8</v>
      </c>
      <c r="G4" s="65" t="s">
        <v>9</v>
      </c>
      <c r="H4" s="65" t="s">
        <v>219</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14.25" customHeight="1">
      <c r="A5" s="67">
        <v>1.0</v>
      </c>
      <c r="B5" s="67" t="s">
        <v>220</v>
      </c>
      <c r="C5" s="67" t="s">
        <v>221</v>
      </c>
      <c r="D5" s="67" t="s">
        <v>222</v>
      </c>
      <c r="E5" s="67" t="s">
        <v>223</v>
      </c>
      <c r="F5" s="67" t="s">
        <v>224</v>
      </c>
      <c r="G5" s="67" t="s">
        <v>43</v>
      </c>
      <c r="H5" s="79">
        <v>45959.0</v>
      </c>
      <c r="I5" s="67" t="s">
        <v>44</v>
      </c>
      <c r="J5" s="67" t="s">
        <v>225</v>
      </c>
      <c r="K5" s="80" t="s">
        <v>226</v>
      </c>
      <c r="L5" s="68">
        <v>2367.0</v>
      </c>
      <c r="M5" s="81" t="s">
        <v>227</v>
      </c>
      <c r="N5" s="81" t="s">
        <v>228</v>
      </c>
      <c r="O5" s="81"/>
      <c r="P5" s="81"/>
      <c r="Q5" s="70" t="s">
        <v>229</v>
      </c>
      <c r="R5" s="82" t="s">
        <v>230</v>
      </c>
      <c r="S5" s="70" t="s">
        <v>231</v>
      </c>
      <c r="T5" s="81">
        <v>26.0</v>
      </c>
      <c r="U5" s="81">
        <v>75.0</v>
      </c>
      <c r="V5" s="81">
        <v>182.0</v>
      </c>
      <c r="W5" s="67"/>
      <c r="X5" s="67"/>
      <c r="Y5" s="68"/>
      <c r="Z5" s="68" t="s">
        <v>54</v>
      </c>
      <c r="AA5" s="68" t="s">
        <v>54</v>
      </c>
      <c r="AB5" s="68" t="s">
        <v>54</v>
      </c>
      <c r="AC5" s="68" t="s">
        <v>54</v>
      </c>
      <c r="AD5" s="68" t="s">
        <v>54</v>
      </c>
      <c r="AE5" s="68" t="s">
        <v>146</v>
      </c>
      <c r="AF5" s="68" t="s">
        <v>145</v>
      </c>
      <c r="AG5" s="68" t="s">
        <v>54</v>
      </c>
      <c r="AH5" s="68" t="s">
        <v>146</v>
      </c>
      <c r="AI5" s="68" t="s">
        <v>54</v>
      </c>
    </row>
    <row r="6" ht="14.25" customHeight="1">
      <c r="A6" s="67"/>
      <c r="B6" s="67"/>
      <c r="C6" s="67"/>
      <c r="D6" s="67"/>
      <c r="E6" s="71"/>
      <c r="F6" s="67"/>
      <c r="G6" s="83"/>
      <c r="H6" s="67"/>
      <c r="I6" s="67"/>
      <c r="J6" s="67"/>
      <c r="K6" s="84"/>
      <c r="L6" s="67"/>
      <c r="M6" s="68">
        <v>19.0</v>
      </c>
      <c r="N6" s="68">
        <v>129.0</v>
      </c>
      <c r="O6" s="68">
        <v>0.0</v>
      </c>
      <c r="P6" s="68">
        <v>0.0</v>
      </c>
      <c r="Q6" s="85">
        <v>1065.0</v>
      </c>
      <c r="R6" s="68">
        <v>524.0</v>
      </c>
      <c r="S6" s="68">
        <v>587.0</v>
      </c>
      <c r="T6" s="68">
        <v>19.0</v>
      </c>
      <c r="U6" s="68">
        <v>78.0</v>
      </c>
      <c r="V6" s="68">
        <v>170.0</v>
      </c>
      <c r="W6" s="67"/>
      <c r="X6" s="67"/>
      <c r="Y6" s="67"/>
      <c r="Z6" s="68"/>
      <c r="AA6" s="68"/>
      <c r="AB6" s="68"/>
      <c r="AC6" s="68"/>
      <c r="AD6" s="68"/>
      <c r="AE6" s="68"/>
      <c r="AF6" s="68"/>
      <c r="AG6" s="68"/>
      <c r="AH6" s="68"/>
      <c r="AI6" s="68"/>
    </row>
    <row r="7" ht="14.25" customHeight="1">
      <c r="A7" s="68">
        <v>2.0</v>
      </c>
      <c r="B7" s="68" t="s">
        <v>220</v>
      </c>
      <c r="C7" s="68" t="s">
        <v>232</v>
      </c>
      <c r="D7" s="68" t="s">
        <v>233</v>
      </c>
      <c r="E7" s="68" t="s">
        <v>234</v>
      </c>
      <c r="F7" s="68" t="s">
        <v>235</v>
      </c>
      <c r="G7" s="67" t="s">
        <v>43</v>
      </c>
      <c r="H7" s="86">
        <v>46076.0</v>
      </c>
      <c r="I7" s="68" t="s">
        <v>44</v>
      </c>
      <c r="J7" s="68" t="s">
        <v>236</v>
      </c>
      <c r="K7" s="68">
        <v>8.5360067807E10</v>
      </c>
      <c r="L7" s="68">
        <v>2491.0</v>
      </c>
      <c r="M7" s="81" t="s">
        <v>237</v>
      </c>
      <c r="N7" s="68" t="s">
        <v>238</v>
      </c>
      <c r="O7" s="68" t="s">
        <v>239</v>
      </c>
      <c r="P7" s="68" t="s">
        <v>240</v>
      </c>
      <c r="Q7" s="68" t="s">
        <v>241</v>
      </c>
      <c r="R7" s="68" t="s">
        <v>242</v>
      </c>
      <c r="S7" s="68" t="s">
        <v>243</v>
      </c>
      <c r="T7" s="81">
        <v>42.0</v>
      </c>
      <c r="U7" s="68">
        <v>122.0</v>
      </c>
      <c r="V7" s="68">
        <v>351.0</v>
      </c>
      <c r="W7" s="68"/>
      <c r="X7" s="68"/>
      <c r="Y7" s="68"/>
      <c r="Z7" s="68"/>
      <c r="AA7" s="68"/>
      <c r="AB7" s="68"/>
      <c r="AC7" s="68"/>
      <c r="AD7" s="68"/>
      <c r="AE7" s="68"/>
      <c r="AF7" s="68"/>
      <c r="AG7" s="68"/>
      <c r="AH7" s="68"/>
      <c r="AI7" s="68"/>
    </row>
    <row r="8" ht="14.25" customHeight="1">
      <c r="A8" s="68"/>
      <c r="B8" s="68"/>
      <c r="C8" s="68"/>
      <c r="D8" s="68"/>
      <c r="E8" s="68"/>
      <c r="F8" s="68"/>
      <c r="G8" s="68"/>
      <c r="H8" s="68"/>
      <c r="I8" s="68"/>
      <c r="J8" s="68"/>
      <c r="K8" s="68"/>
      <c r="L8" s="68"/>
      <c r="M8" s="87">
        <v>37.0</v>
      </c>
      <c r="N8" s="68">
        <v>92.0</v>
      </c>
      <c r="O8" s="68">
        <v>53.0</v>
      </c>
      <c r="P8" s="68"/>
      <c r="Q8" s="68">
        <v>1104.0</v>
      </c>
      <c r="R8" s="68">
        <v>425.0</v>
      </c>
      <c r="S8" s="68">
        <v>203.0</v>
      </c>
      <c r="T8" s="68">
        <v>42.0</v>
      </c>
      <c r="U8" s="68">
        <v>122.0</v>
      </c>
      <c r="V8" s="68">
        <v>351.0</v>
      </c>
      <c r="W8" s="68"/>
      <c r="X8" s="68"/>
      <c r="Y8" s="68"/>
      <c r="Z8" s="68"/>
      <c r="AA8" s="68"/>
      <c r="AB8" s="68"/>
      <c r="AC8" s="68"/>
      <c r="AD8" s="68"/>
      <c r="AE8" s="68"/>
      <c r="AF8" s="68"/>
      <c r="AG8" s="68"/>
      <c r="AH8" s="68"/>
      <c r="AI8" s="68"/>
    </row>
    <row r="9" ht="14.25" customHeight="1">
      <c r="A9" s="68">
        <v>3.0</v>
      </c>
      <c r="B9" s="68" t="s">
        <v>244</v>
      </c>
      <c r="C9" s="68" t="s">
        <v>245</v>
      </c>
      <c r="D9" s="68" t="s">
        <v>246</v>
      </c>
      <c r="E9" s="68" t="s">
        <v>247</v>
      </c>
      <c r="F9" s="68" t="s">
        <v>248</v>
      </c>
      <c r="G9" s="67" t="s">
        <v>43</v>
      </c>
      <c r="H9" s="86">
        <v>46076.0</v>
      </c>
      <c r="I9" s="68" t="s">
        <v>44</v>
      </c>
      <c r="J9" s="68" t="s">
        <v>249</v>
      </c>
      <c r="K9" s="68">
        <v>8.5191147048E10</v>
      </c>
      <c r="L9" s="68">
        <v>2105.0</v>
      </c>
      <c r="M9" s="68" t="s">
        <v>250</v>
      </c>
      <c r="N9" s="68" t="s">
        <v>251</v>
      </c>
      <c r="O9" s="68"/>
      <c r="P9" s="68"/>
      <c r="Q9" s="68" t="s">
        <v>252</v>
      </c>
      <c r="R9" s="68" t="s">
        <v>253</v>
      </c>
      <c r="S9" s="68" t="s">
        <v>254</v>
      </c>
      <c r="T9" s="68">
        <v>28.0</v>
      </c>
      <c r="U9" s="68">
        <v>37.0</v>
      </c>
      <c r="V9" s="68">
        <v>263.0</v>
      </c>
      <c r="W9" s="68"/>
      <c r="X9" s="68"/>
      <c r="Y9" s="68"/>
      <c r="Z9" s="68" t="s">
        <v>54</v>
      </c>
      <c r="AA9" s="68" t="s">
        <v>54</v>
      </c>
      <c r="AB9" s="68" t="s">
        <v>54</v>
      </c>
      <c r="AC9" s="68" t="s">
        <v>145</v>
      </c>
      <c r="AD9" s="68" t="s">
        <v>54</v>
      </c>
      <c r="AE9" s="68" t="s">
        <v>54</v>
      </c>
      <c r="AF9" s="68" t="s">
        <v>145</v>
      </c>
      <c r="AG9" s="68" t="s">
        <v>145</v>
      </c>
      <c r="AH9" s="68" t="s">
        <v>145</v>
      </c>
      <c r="AI9" s="68" t="s">
        <v>54</v>
      </c>
    </row>
    <row r="10" ht="14.25" customHeight="1">
      <c r="A10" s="68">
        <v>4.0</v>
      </c>
      <c r="B10" s="68" t="s">
        <v>255</v>
      </c>
      <c r="C10" s="68" t="s">
        <v>256</v>
      </c>
      <c r="D10" s="68" t="s">
        <v>257</v>
      </c>
      <c r="E10" s="68" t="s">
        <v>258</v>
      </c>
      <c r="F10" s="68" t="s">
        <v>259</v>
      </c>
      <c r="G10" s="67" t="s">
        <v>43</v>
      </c>
      <c r="H10" s="78">
        <v>46118.0</v>
      </c>
      <c r="I10" s="68" t="s">
        <v>44</v>
      </c>
      <c r="J10" s="68" t="s">
        <v>260</v>
      </c>
      <c r="K10" s="80" t="s">
        <v>261</v>
      </c>
      <c r="L10" s="68">
        <v>1685.0</v>
      </c>
      <c r="M10" s="68">
        <v>19.0</v>
      </c>
      <c r="N10" s="68" t="s">
        <v>262</v>
      </c>
      <c r="O10" s="68" t="s">
        <v>263</v>
      </c>
      <c r="P10" s="68"/>
      <c r="Q10" s="68" t="s">
        <v>264</v>
      </c>
      <c r="R10" s="68" t="s">
        <v>265</v>
      </c>
      <c r="S10" s="68" t="s">
        <v>266</v>
      </c>
      <c r="T10" s="68">
        <v>43.0</v>
      </c>
      <c r="U10" s="68">
        <v>112.0</v>
      </c>
      <c r="V10" s="68">
        <v>412.0</v>
      </c>
      <c r="W10" s="68"/>
      <c r="X10" s="68"/>
      <c r="Y10" s="68"/>
      <c r="Z10" s="68" t="s">
        <v>54</v>
      </c>
      <c r="AA10" s="68" t="s">
        <v>54</v>
      </c>
      <c r="AB10" s="68" t="s">
        <v>54</v>
      </c>
      <c r="AC10" s="68" t="s">
        <v>54</v>
      </c>
      <c r="AD10" s="68" t="s">
        <v>54</v>
      </c>
      <c r="AE10" s="68" t="s">
        <v>145</v>
      </c>
      <c r="AF10" s="68" t="s">
        <v>145</v>
      </c>
      <c r="AG10" s="68" t="s">
        <v>54</v>
      </c>
      <c r="AH10" s="68" t="s">
        <v>146</v>
      </c>
      <c r="AI10" s="68" t="s">
        <v>54</v>
      </c>
    </row>
    <row r="11" ht="14.25" customHeight="1">
      <c r="A11" s="68"/>
      <c r="B11" s="68"/>
      <c r="C11" s="68"/>
      <c r="D11" s="68"/>
      <c r="E11" s="68"/>
      <c r="F11" s="68"/>
      <c r="G11" s="68"/>
      <c r="H11" s="68"/>
      <c r="I11" s="68"/>
      <c r="J11" s="68"/>
      <c r="K11" s="68"/>
      <c r="L11" s="68"/>
      <c r="M11" s="88"/>
      <c r="N11" s="68"/>
      <c r="O11" s="68"/>
      <c r="P11" s="68"/>
      <c r="Q11" s="68"/>
      <c r="R11" s="68"/>
      <c r="S11" s="68"/>
      <c r="T11" s="68"/>
      <c r="U11" s="68"/>
      <c r="V11" s="68"/>
      <c r="W11" s="68"/>
      <c r="X11" s="68"/>
      <c r="Y11" s="68"/>
      <c r="Z11" s="68"/>
      <c r="AA11" s="68"/>
      <c r="AB11" s="68"/>
      <c r="AC11" s="68"/>
      <c r="AD11" s="68"/>
      <c r="AE11" s="68"/>
      <c r="AF11" s="68"/>
      <c r="AG11" s="68"/>
      <c r="AH11" s="68"/>
      <c r="AI11" s="68"/>
    </row>
    <row r="12" ht="14.25" customHeight="1">
      <c r="A12" s="68">
        <v>5.0</v>
      </c>
      <c r="B12" s="68"/>
      <c r="C12" s="68"/>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row>
    <row r="13" ht="14.25" customHeight="1">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row>
    <row r="14" ht="14.25" customHeight="1">
      <c r="Z14" s="57"/>
      <c r="AA14" s="57"/>
      <c r="AB14" s="57"/>
      <c r="AC14" s="57"/>
      <c r="AD14" s="57"/>
      <c r="AE14" s="57"/>
      <c r="AF14" s="57"/>
      <c r="AG14" s="57"/>
      <c r="AH14" s="57"/>
      <c r="AI14" s="57"/>
    </row>
    <row r="15" ht="14.25" customHeight="1">
      <c r="Z15" s="57"/>
      <c r="AA15" s="57"/>
      <c r="AB15" s="57"/>
      <c r="AC15" s="57"/>
      <c r="AD15" s="57"/>
      <c r="AE15" s="57"/>
      <c r="AF15" s="57"/>
      <c r="AG15" s="57"/>
      <c r="AH15" s="57"/>
      <c r="AI15" s="57"/>
    </row>
    <row r="16" ht="14.25" customHeight="1">
      <c r="Z16" s="57"/>
      <c r="AA16" s="57"/>
      <c r="AB16" s="57"/>
      <c r="AC16" s="57"/>
      <c r="AD16" s="57"/>
      <c r="AE16" s="57"/>
      <c r="AF16" s="57"/>
      <c r="AG16" s="57"/>
      <c r="AH16" s="57"/>
      <c r="AI16" s="57"/>
    </row>
    <row r="17" ht="14.25" customHeight="1">
      <c r="C17" s="62" t="s">
        <v>216</v>
      </c>
      <c r="D17" s="89">
        <v>4.0</v>
      </c>
      <c r="Z17" s="57"/>
      <c r="AA17" s="57"/>
      <c r="AB17" s="57"/>
      <c r="AC17" s="57"/>
      <c r="AD17" s="57"/>
      <c r="AE17" s="57"/>
      <c r="AF17" s="57"/>
      <c r="AG17" s="57"/>
      <c r="AH17" s="57"/>
      <c r="AI17" s="57"/>
    </row>
    <row r="18" ht="14.25" customHeight="1">
      <c r="C18" s="62" t="s">
        <v>217</v>
      </c>
      <c r="D18" s="62">
        <v>0.0</v>
      </c>
      <c r="Z18" s="57"/>
      <c r="AA18" s="57"/>
      <c r="AB18" s="57"/>
      <c r="AC18" s="57"/>
      <c r="AD18" s="57"/>
      <c r="AE18" s="57"/>
      <c r="AF18" s="57"/>
      <c r="AG18" s="57"/>
      <c r="AH18" s="57"/>
      <c r="AI18" s="57"/>
    </row>
    <row r="19" ht="14.25" customHeight="1">
      <c r="Z19" s="57"/>
      <c r="AA19" s="57"/>
      <c r="AB19" s="57"/>
      <c r="AC19" s="57"/>
      <c r="AD19" s="57"/>
      <c r="AE19" s="57"/>
      <c r="AF19" s="57"/>
      <c r="AG19" s="57"/>
      <c r="AH19" s="57"/>
      <c r="AI19" s="57"/>
    </row>
    <row r="20" ht="14.25" customHeight="1">
      <c r="Z20" s="57"/>
      <c r="AA20" s="57"/>
      <c r="AB20" s="57"/>
      <c r="AC20" s="57"/>
      <c r="AD20" s="57"/>
      <c r="AE20" s="57"/>
      <c r="AF20" s="57"/>
      <c r="AG20" s="57"/>
      <c r="AH20" s="57"/>
      <c r="AI20" s="57"/>
    </row>
    <row r="21" ht="14.25" customHeight="1">
      <c r="Z21" s="57"/>
      <c r="AA21" s="57"/>
      <c r="AB21" s="57"/>
      <c r="AC21" s="57"/>
      <c r="AD21" s="57"/>
      <c r="AE21" s="57"/>
      <c r="AF21" s="57"/>
      <c r="AG21" s="57"/>
      <c r="AH21" s="57"/>
      <c r="AI21" s="57"/>
    </row>
    <row r="22" ht="14.25" customHeight="1">
      <c r="Z22" s="57"/>
      <c r="AA22" s="57"/>
      <c r="AB22" s="57"/>
      <c r="AC22" s="57"/>
      <c r="AD22" s="57"/>
      <c r="AE22" s="57"/>
      <c r="AF22" s="57"/>
      <c r="AG22" s="57"/>
      <c r="AH22" s="57"/>
      <c r="AI22" s="57"/>
    </row>
    <row r="23" ht="14.25" customHeight="1">
      <c r="Z23" s="57"/>
      <c r="AA23" s="57"/>
      <c r="AB23" s="57"/>
      <c r="AC23" s="57"/>
      <c r="AD23" s="57"/>
      <c r="AE23" s="57"/>
      <c r="AF23" s="57"/>
      <c r="AG23" s="57"/>
      <c r="AH23" s="57"/>
      <c r="AI23" s="57"/>
    </row>
    <row r="24" ht="14.25" customHeight="1">
      <c r="Z24" s="57"/>
      <c r="AA24" s="57"/>
      <c r="AB24" s="57"/>
      <c r="AC24" s="57"/>
      <c r="AD24" s="57"/>
      <c r="AE24" s="57"/>
      <c r="AF24" s="57"/>
      <c r="AG24" s="57"/>
      <c r="AH24" s="57"/>
      <c r="AI24" s="57"/>
    </row>
    <row r="25" ht="14.25" customHeight="1">
      <c r="Z25" s="57"/>
      <c r="AA25" s="57"/>
      <c r="AB25" s="57"/>
      <c r="AC25" s="57"/>
      <c r="AD25" s="57"/>
      <c r="AE25" s="57"/>
      <c r="AF25" s="57"/>
      <c r="AG25" s="57"/>
      <c r="AH25" s="57"/>
      <c r="AI25" s="57"/>
    </row>
    <row r="26" ht="14.25" customHeight="1">
      <c r="Z26" s="57"/>
      <c r="AA26" s="57"/>
      <c r="AB26" s="57"/>
      <c r="AC26" s="57"/>
      <c r="AD26" s="57"/>
      <c r="AE26" s="57"/>
      <c r="AF26" s="57"/>
      <c r="AG26" s="57"/>
      <c r="AH26" s="57"/>
      <c r="AI26" s="57"/>
    </row>
    <row r="27" ht="14.25" customHeight="1">
      <c r="Z27" s="57"/>
      <c r="AA27" s="57"/>
      <c r="AB27" s="57"/>
      <c r="AC27" s="57"/>
      <c r="AD27" s="57"/>
      <c r="AE27" s="57"/>
      <c r="AF27" s="57"/>
      <c r="AG27" s="57"/>
      <c r="AH27" s="57"/>
      <c r="AI27" s="57"/>
    </row>
    <row r="28" ht="14.25" customHeight="1">
      <c r="Z28" s="57"/>
      <c r="AA28" s="57"/>
      <c r="AB28" s="57"/>
      <c r="AC28" s="57"/>
      <c r="AD28" s="57"/>
      <c r="AE28" s="57"/>
      <c r="AF28" s="57"/>
      <c r="AG28" s="57"/>
      <c r="AH28" s="57"/>
      <c r="AI28" s="57"/>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I28">
      <formula1>"Ada,Belum Ada,Proses,Belum mengurus"</formula1>
    </dataValidation>
    <dataValidation type="list" allowBlank="1" showErrorMessage="1" sqref="G5 G7 G9:G10">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3.14"/>
    <col customWidth="1" min="3" max="3" width="31.29"/>
    <col customWidth="1" min="4" max="4" width="11.86"/>
    <col customWidth="1" min="5" max="5" width="19.29"/>
    <col customWidth="1" min="6" max="7" width="15.86"/>
    <col customWidth="1" min="8" max="11" width="21.14"/>
    <col customWidth="1" min="12" max="17" width="27.0"/>
    <col customWidth="1" min="18" max="18" width="28.43"/>
    <col customWidth="1" min="19" max="24" width="26.43"/>
    <col customWidth="1" min="25" max="25" width="18.43"/>
    <col customWidth="1" min="26" max="26" width="15.86"/>
    <col customWidth="1" min="27" max="27" width="15.57"/>
    <col customWidth="1" min="28" max="28" width="15.14"/>
    <col customWidth="1" min="29" max="29" width="15.29"/>
    <col customWidth="1" min="30" max="30" width="16.43"/>
    <col customWidth="1" min="31" max="31" width="18.29"/>
    <col customWidth="1" min="32" max="32" width="16.14"/>
    <col customWidth="1" min="33" max="33" width="20.29"/>
    <col customWidth="1" min="34" max="34" width="17.0"/>
    <col customWidth="1" min="35" max="35" width="11.14"/>
  </cols>
  <sheetData>
    <row r="1" ht="14.25" customHeight="1">
      <c r="A1" s="62" t="s">
        <v>267</v>
      </c>
      <c r="L1" s="63" t="s">
        <v>1</v>
      </c>
    </row>
    <row r="2" ht="14.25" customHeight="1">
      <c r="L2" s="64" t="s">
        <v>2</v>
      </c>
    </row>
    <row r="3" ht="14.25" customHeight="1"/>
    <row r="4" ht="40.5" customHeight="1">
      <c r="A4" s="65" t="s">
        <v>3</v>
      </c>
      <c r="B4" s="65" t="s">
        <v>4</v>
      </c>
      <c r="C4" s="65" t="s">
        <v>5</v>
      </c>
      <c r="D4" s="65" t="s">
        <v>6</v>
      </c>
      <c r="E4" s="65" t="s">
        <v>7</v>
      </c>
      <c r="F4" s="65" t="s">
        <v>8</v>
      </c>
      <c r="G4" s="65" t="s">
        <v>9</v>
      </c>
      <c r="H4" s="65" t="s">
        <v>10</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14.25" customHeight="1">
      <c r="A5" s="67">
        <v>1.0</v>
      </c>
      <c r="B5" s="67" t="s">
        <v>268</v>
      </c>
      <c r="C5" s="67" t="s">
        <v>269</v>
      </c>
      <c r="D5" s="67" t="s">
        <v>270</v>
      </c>
      <c r="E5" s="67" t="s">
        <v>271</v>
      </c>
      <c r="F5" s="67" t="s">
        <v>272</v>
      </c>
      <c r="G5" s="67" t="s">
        <v>43</v>
      </c>
      <c r="H5" s="67">
        <v>2025.0</v>
      </c>
      <c r="I5" s="67" t="s">
        <v>44</v>
      </c>
      <c r="J5" s="67" t="s">
        <v>273</v>
      </c>
      <c r="K5" s="67" t="s">
        <v>274</v>
      </c>
      <c r="L5" s="68">
        <v>3285.0</v>
      </c>
      <c r="M5" s="67" t="s">
        <v>275</v>
      </c>
      <c r="N5" s="67" t="s">
        <v>276</v>
      </c>
      <c r="O5" s="67" t="s">
        <v>277</v>
      </c>
      <c r="P5" s="67" t="s">
        <v>53</v>
      </c>
      <c r="Q5" s="67" t="s">
        <v>278</v>
      </c>
      <c r="R5" s="67" t="s">
        <v>279</v>
      </c>
      <c r="S5" s="67" t="s">
        <v>280</v>
      </c>
      <c r="T5" s="90" t="s">
        <v>281</v>
      </c>
      <c r="U5" s="90" t="s">
        <v>282</v>
      </c>
      <c r="V5" s="90" t="s">
        <v>283</v>
      </c>
      <c r="W5" s="67"/>
      <c r="X5" s="67"/>
      <c r="Y5" s="68"/>
      <c r="Z5" s="68" t="s">
        <v>54</v>
      </c>
      <c r="AA5" s="76" t="s">
        <v>54</v>
      </c>
      <c r="AB5" s="76" t="s">
        <v>54</v>
      </c>
      <c r="AC5" s="76" t="s">
        <v>54</v>
      </c>
      <c r="AD5" s="76" t="s">
        <v>54</v>
      </c>
      <c r="AE5" s="76" t="s">
        <v>54</v>
      </c>
      <c r="AF5" s="76" t="s">
        <v>145</v>
      </c>
      <c r="AG5" s="76" t="s">
        <v>54</v>
      </c>
      <c r="AH5" s="76" t="s">
        <v>54</v>
      </c>
      <c r="AI5" s="76" t="s">
        <v>54</v>
      </c>
    </row>
    <row r="6" ht="14.25" customHeight="1">
      <c r="A6" s="68"/>
      <c r="B6" s="68"/>
      <c r="C6" s="68"/>
      <c r="D6" s="68"/>
      <c r="E6" s="68"/>
      <c r="F6" s="68"/>
      <c r="G6" s="68"/>
      <c r="H6" s="68"/>
      <c r="I6" s="68"/>
      <c r="J6" s="68"/>
      <c r="K6" s="68"/>
      <c r="L6" s="68" t="s">
        <v>55</v>
      </c>
      <c r="M6" s="68">
        <v>47.0</v>
      </c>
      <c r="N6" s="68">
        <v>122.0</v>
      </c>
      <c r="O6" s="68">
        <v>26.0</v>
      </c>
      <c r="P6" s="68" t="s">
        <v>53</v>
      </c>
      <c r="Q6" s="68">
        <v>950.0</v>
      </c>
      <c r="R6" s="68">
        <v>688.0</v>
      </c>
      <c r="S6" s="68">
        <v>1157.0</v>
      </c>
      <c r="T6" s="76">
        <v>35.0</v>
      </c>
      <c r="U6" s="76">
        <v>35.0</v>
      </c>
      <c r="V6" s="76">
        <v>231.0</v>
      </c>
      <c r="W6" s="68" t="s">
        <v>53</v>
      </c>
      <c r="X6" s="68" t="s">
        <v>53</v>
      </c>
      <c r="Y6" s="68"/>
      <c r="Z6" s="68"/>
      <c r="AA6" s="68"/>
      <c r="AB6" s="68"/>
      <c r="AC6" s="68"/>
      <c r="AD6" s="68"/>
      <c r="AE6" s="68"/>
      <c r="AF6" s="68"/>
      <c r="AG6" s="68"/>
      <c r="AH6" s="68"/>
      <c r="AI6" s="68"/>
    </row>
    <row r="7" ht="14.25" customHeight="1">
      <c r="A7" s="67">
        <v>2.0</v>
      </c>
      <c r="B7" s="67" t="s">
        <v>284</v>
      </c>
      <c r="C7" s="68" t="s">
        <v>285</v>
      </c>
      <c r="D7" s="67" t="s">
        <v>286</v>
      </c>
      <c r="E7" s="91" t="s">
        <v>287</v>
      </c>
      <c r="F7" s="67" t="s">
        <v>288</v>
      </c>
      <c r="G7" s="67" t="s">
        <v>43</v>
      </c>
      <c r="H7" s="67">
        <v>2025.0</v>
      </c>
      <c r="I7" s="68" t="s">
        <v>44</v>
      </c>
      <c r="J7" s="67" t="s">
        <v>289</v>
      </c>
      <c r="K7" s="72" t="s">
        <v>290</v>
      </c>
      <c r="L7" s="68">
        <v>2067.0</v>
      </c>
      <c r="M7" s="67"/>
      <c r="N7" s="67"/>
      <c r="O7" s="67"/>
      <c r="P7" s="67"/>
      <c r="Q7" s="67" t="s">
        <v>291</v>
      </c>
      <c r="R7" s="67" t="s">
        <v>292</v>
      </c>
      <c r="S7" s="67" t="s">
        <v>293</v>
      </c>
      <c r="T7" s="67" t="s">
        <v>294</v>
      </c>
      <c r="U7" s="67" t="s">
        <v>295</v>
      </c>
      <c r="V7" s="67" t="s">
        <v>296</v>
      </c>
      <c r="W7" s="67"/>
      <c r="X7" s="67"/>
      <c r="Y7" s="67"/>
      <c r="Z7" s="68" t="s">
        <v>54</v>
      </c>
      <c r="AA7" s="68" t="s">
        <v>54</v>
      </c>
      <c r="AB7" s="68" t="s">
        <v>54</v>
      </c>
      <c r="AC7" s="68" t="s">
        <v>54</v>
      </c>
      <c r="AD7" s="68" t="s">
        <v>54</v>
      </c>
      <c r="AE7" s="68" t="s">
        <v>54</v>
      </c>
      <c r="AF7" s="68" t="s">
        <v>54</v>
      </c>
      <c r="AG7" s="68" t="s">
        <v>54</v>
      </c>
      <c r="AH7" s="68" t="s">
        <v>145</v>
      </c>
      <c r="AI7" s="68" t="s">
        <v>54</v>
      </c>
    </row>
    <row r="8" ht="14.25" customHeight="1">
      <c r="A8" s="68"/>
      <c r="B8" s="68"/>
      <c r="C8" s="68"/>
      <c r="D8" s="68"/>
      <c r="E8" s="68"/>
      <c r="F8" s="68"/>
      <c r="G8" s="68"/>
      <c r="H8" s="68"/>
      <c r="I8" s="68"/>
      <c r="J8" s="68"/>
      <c r="K8" s="68"/>
      <c r="L8" s="68" t="s">
        <v>79</v>
      </c>
      <c r="M8" s="68"/>
      <c r="N8" s="68"/>
      <c r="O8" s="68"/>
      <c r="P8" s="68"/>
      <c r="Q8" s="68">
        <v>225.0</v>
      </c>
      <c r="R8" s="68">
        <v>386.0</v>
      </c>
      <c r="S8" s="68">
        <v>1038.0</v>
      </c>
      <c r="T8" s="68">
        <v>20.0</v>
      </c>
      <c r="U8" s="68">
        <v>159.0</v>
      </c>
      <c r="V8" s="68">
        <v>239.0</v>
      </c>
      <c r="W8" s="68"/>
      <c r="X8" s="68"/>
      <c r="Y8" s="68"/>
      <c r="Z8" s="68"/>
      <c r="AA8" s="68"/>
      <c r="AB8" s="68"/>
      <c r="AC8" s="68"/>
      <c r="AD8" s="68"/>
      <c r="AE8" s="68"/>
      <c r="AF8" s="68"/>
      <c r="AG8" s="68"/>
      <c r="AH8" s="68"/>
      <c r="AI8" s="68"/>
    </row>
    <row r="9" ht="14.25" customHeight="1">
      <c r="A9" s="68">
        <v>3.0</v>
      </c>
      <c r="B9" s="67" t="s">
        <v>297</v>
      </c>
      <c r="C9" s="68" t="s">
        <v>298</v>
      </c>
      <c r="D9" s="68" t="s">
        <v>299</v>
      </c>
      <c r="E9" s="68" t="s">
        <v>300</v>
      </c>
      <c r="F9" s="68" t="s">
        <v>301</v>
      </c>
      <c r="G9" s="67" t="s">
        <v>43</v>
      </c>
      <c r="H9" s="67">
        <v>2025.0</v>
      </c>
      <c r="I9" s="68" t="s">
        <v>44</v>
      </c>
      <c r="J9" s="68" t="s">
        <v>302</v>
      </c>
      <c r="K9" s="67" t="s">
        <v>303</v>
      </c>
      <c r="L9" s="68">
        <v>2123.0</v>
      </c>
      <c r="M9" s="68"/>
      <c r="N9" s="67" t="s">
        <v>304</v>
      </c>
      <c r="O9" s="68"/>
      <c r="P9" s="67" t="s">
        <v>305</v>
      </c>
      <c r="Q9" s="67" t="s">
        <v>306</v>
      </c>
      <c r="R9" s="67" t="s">
        <v>307</v>
      </c>
      <c r="S9" s="67" t="s">
        <v>308</v>
      </c>
      <c r="T9" s="67" t="s">
        <v>309</v>
      </c>
      <c r="U9" s="67" t="s">
        <v>310</v>
      </c>
      <c r="V9" s="67" t="s">
        <v>311</v>
      </c>
      <c r="W9" s="68"/>
      <c r="X9" s="68"/>
      <c r="Y9" s="68"/>
      <c r="Z9" s="68" t="s">
        <v>54</v>
      </c>
      <c r="AA9" s="68" t="s">
        <v>54</v>
      </c>
      <c r="AB9" s="68" t="s">
        <v>54</v>
      </c>
      <c r="AC9" s="68" t="s">
        <v>54</v>
      </c>
      <c r="AD9" s="68" t="s">
        <v>54</v>
      </c>
      <c r="AE9" s="68" t="s">
        <v>145</v>
      </c>
      <c r="AF9" s="68" t="s">
        <v>145</v>
      </c>
      <c r="AG9" s="68" t="s">
        <v>54</v>
      </c>
      <c r="AH9" s="68" t="s">
        <v>146</v>
      </c>
      <c r="AI9" s="68" t="s">
        <v>54</v>
      </c>
    </row>
    <row r="10" ht="14.25" customHeight="1">
      <c r="A10" s="68"/>
      <c r="B10" s="68"/>
      <c r="C10" s="68"/>
      <c r="D10" s="68"/>
      <c r="E10" s="68"/>
      <c r="F10" s="68"/>
      <c r="G10" s="67"/>
      <c r="H10" s="68"/>
      <c r="I10" s="68"/>
      <c r="J10" s="68"/>
      <c r="K10" s="68"/>
      <c r="L10" s="68" t="s">
        <v>79</v>
      </c>
      <c r="M10" s="68"/>
      <c r="N10" s="68">
        <v>18.0</v>
      </c>
      <c r="O10" s="68"/>
      <c r="P10" s="68">
        <v>46.0</v>
      </c>
      <c r="Q10" s="68">
        <v>688.0</v>
      </c>
      <c r="R10" s="68">
        <v>350.0</v>
      </c>
      <c r="S10" s="68">
        <v>269.0</v>
      </c>
      <c r="T10" s="68">
        <v>59.0</v>
      </c>
      <c r="U10" s="68">
        <v>155.0</v>
      </c>
      <c r="V10" s="68">
        <v>551.0</v>
      </c>
      <c r="W10" s="68"/>
      <c r="X10" s="68"/>
      <c r="Y10" s="68"/>
      <c r="Z10" s="68"/>
      <c r="AA10" s="68"/>
      <c r="AB10" s="68"/>
      <c r="AC10" s="68"/>
      <c r="AD10" s="68"/>
      <c r="AE10" s="68"/>
      <c r="AF10" s="68"/>
      <c r="AG10" s="68"/>
      <c r="AH10" s="68"/>
      <c r="AI10" s="68"/>
    </row>
    <row r="11" ht="14.25" customHeight="1">
      <c r="A11" s="68">
        <v>4.0</v>
      </c>
      <c r="B11" s="68" t="s">
        <v>284</v>
      </c>
      <c r="C11" s="68" t="s">
        <v>312</v>
      </c>
      <c r="D11" s="68" t="s">
        <v>313</v>
      </c>
      <c r="E11" s="68" t="s">
        <v>314</v>
      </c>
      <c r="F11" s="68" t="s">
        <v>315</v>
      </c>
      <c r="G11" s="67" t="s">
        <v>43</v>
      </c>
      <c r="H11" s="67">
        <v>2025.0</v>
      </c>
      <c r="I11" s="68" t="s">
        <v>44</v>
      </c>
      <c r="J11" s="68" t="s">
        <v>316</v>
      </c>
      <c r="K11" s="68" t="s">
        <v>317</v>
      </c>
      <c r="L11" s="68">
        <v>2019.0</v>
      </c>
      <c r="M11" s="68"/>
      <c r="N11" s="68" t="s">
        <v>318</v>
      </c>
      <c r="O11" s="68" t="s">
        <v>319</v>
      </c>
      <c r="P11" s="68" t="s">
        <v>320</v>
      </c>
      <c r="Q11" s="68" t="s">
        <v>321</v>
      </c>
      <c r="R11" s="68" t="s">
        <v>322</v>
      </c>
      <c r="S11" s="68" t="s">
        <v>323</v>
      </c>
      <c r="T11" s="68" t="s">
        <v>324</v>
      </c>
      <c r="U11" s="68" t="s">
        <v>325</v>
      </c>
      <c r="V11" s="68" t="s">
        <v>326</v>
      </c>
      <c r="W11" s="68"/>
      <c r="X11" s="68"/>
      <c r="Y11" s="68"/>
      <c r="Z11" s="68" t="s">
        <v>54</v>
      </c>
      <c r="AA11" s="68" t="s">
        <v>54</v>
      </c>
      <c r="AB11" s="68" t="s">
        <v>54</v>
      </c>
      <c r="AC11" s="68" t="s">
        <v>54</v>
      </c>
      <c r="AD11" s="68" t="s">
        <v>54</v>
      </c>
      <c r="AE11" s="68" t="s">
        <v>146</v>
      </c>
      <c r="AF11" s="68" t="s">
        <v>145</v>
      </c>
      <c r="AG11" s="68" t="s">
        <v>54</v>
      </c>
      <c r="AH11" s="68" t="s">
        <v>146</v>
      </c>
      <c r="AI11" s="68" t="s">
        <v>54</v>
      </c>
    </row>
    <row r="12" ht="15.75" customHeight="1">
      <c r="A12" s="68"/>
      <c r="B12" s="68"/>
      <c r="C12" s="68"/>
      <c r="D12" s="68"/>
      <c r="E12" s="68"/>
      <c r="F12" s="68"/>
      <c r="G12" s="68"/>
      <c r="H12" s="68"/>
      <c r="I12" s="68"/>
      <c r="J12" s="68"/>
      <c r="K12" s="92"/>
      <c r="L12" s="68" t="s">
        <v>79</v>
      </c>
      <c r="M12" s="68"/>
      <c r="N12" s="68">
        <v>73.0</v>
      </c>
      <c r="O12" s="68">
        <v>41.0</v>
      </c>
      <c r="P12" s="68">
        <v>57.0</v>
      </c>
      <c r="Q12" s="68">
        <v>828.0</v>
      </c>
      <c r="R12" s="68">
        <v>850.0</v>
      </c>
      <c r="S12" s="68">
        <v>130.0</v>
      </c>
      <c r="T12" s="68">
        <v>55.0</v>
      </c>
      <c r="U12" s="68">
        <v>63.0</v>
      </c>
      <c r="V12" s="68">
        <v>379.0</v>
      </c>
      <c r="W12" s="68"/>
      <c r="X12" s="68"/>
      <c r="Y12" s="68"/>
      <c r="Z12" s="68"/>
      <c r="AA12" s="68"/>
      <c r="AB12" s="68"/>
      <c r="AC12" s="68"/>
      <c r="AD12" s="68"/>
      <c r="AE12" s="68"/>
      <c r="AF12" s="68"/>
      <c r="AG12" s="68"/>
      <c r="AH12" s="68"/>
      <c r="AI12" s="68"/>
    </row>
    <row r="13" ht="83.25" customHeight="1">
      <c r="A13" s="68">
        <v>5.0</v>
      </c>
      <c r="B13" s="68" t="s">
        <v>327</v>
      </c>
      <c r="C13" s="68" t="s">
        <v>328</v>
      </c>
      <c r="D13" s="68" t="s">
        <v>329</v>
      </c>
      <c r="E13" s="68" t="s">
        <v>330</v>
      </c>
      <c r="F13" s="68" t="s">
        <v>331</v>
      </c>
      <c r="G13" s="67" t="s">
        <v>43</v>
      </c>
      <c r="H13" s="93">
        <v>46055.0</v>
      </c>
      <c r="I13" s="68" t="s">
        <v>44</v>
      </c>
      <c r="J13" s="68" t="s">
        <v>332</v>
      </c>
      <c r="K13" s="92">
        <v>0.0</v>
      </c>
      <c r="L13" s="68">
        <v>2057.0</v>
      </c>
      <c r="M13" s="68"/>
      <c r="N13" s="68"/>
      <c r="O13" s="67" t="s">
        <v>333</v>
      </c>
      <c r="P13" s="68"/>
      <c r="Q13" s="67" t="s">
        <v>334</v>
      </c>
      <c r="R13" s="67" t="s">
        <v>335</v>
      </c>
      <c r="S13" s="67" t="s">
        <v>336</v>
      </c>
      <c r="T13" s="68"/>
      <c r="U13" s="68"/>
      <c r="V13" s="68"/>
      <c r="W13" s="68"/>
      <c r="X13" s="68"/>
      <c r="Y13" s="68"/>
      <c r="Z13" s="68"/>
      <c r="AA13" s="68"/>
      <c r="AB13" s="68"/>
      <c r="AC13" s="68"/>
      <c r="AD13" s="68"/>
      <c r="AE13" s="68"/>
      <c r="AF13" s="68"/>
      <c r="AG13" s="68"/>
      <c r="AH13" s="68"/>
      <c r="AI13" s="68"/>
    </row>
    <row r="14" ht="14.25" customHeight="1">
      <c r="A14" s="68"/>
      <c r="B14" s="68"/>
      <c r="C14" s="68"/>
      <c r="D14" s="68"/>
      <c r="E14" s="68"/>
      <c r="F14" s="68"/>
      <c r="G14" s="67"/>
      <c r="H14" s="68"/>
      <c r="I14" s="68"/>
      <c r="J14" s="68"/>
      <c r="K14" s="68"/>
      <c r="L14" s="68" t="s">
        <v>79</v>
      </c>
      <c r="M14" s="73"/>
      <c r="N14" s="68"/>
      <c r="O14" s="68">
        <v>130.0</v>
      </c>
      <c r="P14" s="68"/>
      <c r="Q14" s="68">
        <v>749.0</v>
      </c>
      <c r="R14" s="68">
        <v>493.0</v>
      </c>
      <c r="S14" s="68">
        <v>366.0</v>
      </c>
      <c r="T14" s="68"/>
      <c r="U14" s="68"/>
      <c r="V14" s="68"/>
      <c r="W14" s="68"/>
      <c r="X14" s="68"/>
      <c r="Y14" s="68"/>
      <c r="Z14" s="68"/>
      <c r="AA14" s="68"/>
      <c r="AB14" s="68"/>
      <c r="AC14" s="68"/>
      <c r="AD14" s="68"/>
      <c r="AE14" s="68"/>
      <c r="AF14" s="68"/>
      <c r="AG14" s="68"/>
      <c r="AH14" s="68"/>
      <c r="AI14" s="68"/>
    </row>
    <row r="15" ht="14.25" customHeight="1">
      <c r="A15" s="68">
        <v>6.0</v>
      </c>
      <c r="B15" s="68" t="s">
        <v>337</v>
      </c>
      <c r="C15" s="68" t="s">
        <v>338</v>
      </c>
      <c r="D15" s="68" t="s">
        <v>339</v>
      </c>
      <c r="E15" s="68" t="s">
        <v>340</v>
      </c>
      <c r="F15" s="68" t="s">
        <v>341</v>
      </c>
      <c r="G15" s="67" t="s">
        <v>43</v>
      </c>
      <c r="H15" s="68"/>
      <c r="I15" s="68" t="s">
        <v>44</v>
      </c>
      <c r="J15" s="68" t="s">
        <v>342</v>
      </c>
      <c r="K15" s="68">
        <v>8.2125582399E10</v>
      </c>
      <c r="L15" s="68">
        <v>2761.0</v>
      </c>
      <c r="M15" s="83"/>
      <c r="N15" s="68" t="s">
        <v>343</v>
      </c>
      <c r="O15" s="68"/>
      <c r="P15" s="68" t="s">
        <v>344</v>
      </c>
      <c r="Q15" s="68" t="s">
        <v>345</v>
      </c>
      <c r="R15" s="68" t="s">
        <v>346</v>
      </c>
      <c r="S15" s="68" t="s">
        <v>347</v>
      </c>
      <c r="T15" s="68" t="s">
        <v>348</v>
      </c>
      <c r="U15" s="68" t="s">
        <v>349</v>
      </c>
      <c r="V15" s="68" t="s">
        <v>350</v>
      </c>
      <c r="W15" s="68"/>
      <c r="X15" s="68"/>
      <c r="Y15" s="68"/>
      <c r="Z15" s="68"/>
      <c r="AA15" s="68"/>
      <c r="AB15" s="68"/>
      <c r="AC15" s="68"/>
      <c r="AD15" s="68"/>
      <c r="AE15" s="68"/>
      <c r="AF15" s="68"/>
      <c r="AG15" s="68"/>
      <c r="AH15" s="68"/>
      <c r="AI15" s="68"/>
    </row>
    <row r="16" ht="14.25" customHeight="1">
      <c r="A16" s="68">
        <v>7.0</v>
      </c>
      <c r="B16" s="68"/>
      <c r="C16" s="68"/>
      <c r="D16" s="68"/>
      <c r="E16" s="68"/>
      <c r="F16" s="94"/>
      <c r="G16" s="67"/>
      <c r="H16" s="68"/>
      <c r="I16" s="68"/>
      <c r="J16" s="68"/>
      <c r="K16" s="68"/>
      <c r="L16" s="68" t="s">
        <v>79</v>
      </c>
      <c r="M16" s="68"/>
      <c r="N16" s="68">
        <v>138.0</v>
      </c>
      <c r="O16" s="68"/>
      <c r="P16" s="68">
        <v>173.0</v>
      </c>
      <c r="Q16" s="68">
        <v>1186.0</v>
      </c>
      <c r="R16" s="68">
        <v>410.0</v>
      </c>
      <c r="S16" s="68">
        <v>100.0</v>
      </c>
      <c r="T16" s="68">
        <v>77.0</v>
      </c>
      <c r="U16" s="68">
        <v>126.0</v>
      </c>
      <c r="V16" s="68">
        <v>522.0</v>
      </c>
      <c r="W16" s="68"/>
      <c r="X16" s="68"/>
      <c r="Y16" s="68"/>
      <c r="Z16" s="68"/>
      <c r="AA16" s="68"/>
      <c r="AB16" s="68"/>
      <c r="AC16" s="68"/>
      <c r="AD16" s="68"/>
      <c r="AE16" s="68"/>
      <c r="AF16" s="68"/>
      <c r="AG16" s="68"/>
      <c r="AH16" s="68"/>
      <c r="AI16" s="68"/>
    </row>
    <row r="17" ht="14.25" customHeight="1">
      <c r="A17" s="68">
        <v>8.0</v>
      </c>
      <c r="B17" s="68" t="s">
        <v>284</v>
      </c>
      <c r="C17" s="68" t="s">
        <v>351</v>
      </c>
      <c r="D17" s="68" t="s">
        <v>352</v>
      </c>
      <c r="E17" s="68" t="s">
        <v>353</v>
      </c>
      <c r="F17" s="68" t="s">
        <v>354</v>
      </c>
      <c r="G17" s="67" t="s">
        <v>43</v>
      </c>
      <c r="H17" s="93">
        <v>46114.0</v>
      </c>
      <c r="I17" s="68" t="s">
        <v>44</v>
      </c>
      <c r="J17" s="68" t="s">
        <v>355</v>
      </c>
      <c r="K17" s="68">
        <v>8.1990406776E10</v>
      </c>
      <c r="L17" s="85">
        <v>2107.0</v>
      </c>
      <c r="M17" s="68"/>
      <c r="N17" s="68" t="s">
        <v>356</v>
      </c>
      <c r="O17" s="68"/>
      <c r="P17" s="68" t="s">
        <v>357</v>
      </c>
      <c r="Q17" s="68" t="s">
        <v>358</v>
      </c>
      <c r="R17" s="68" t="s">
        <v>359</v>
      </c>
      <c r="S17" s="68" t="s">
        <v>360</v>
      </c>
      <c r="T17" s="68" t="s">
        <v>361</v>
      </c>
      <c r="U17" s="68" t="s">
        <v>362</v>
      </c>
      <c r="V17" s="68" t="s">
        <v>363</v>
      </c>
      <c r="W17" s="68"/>
      <c r="X17" s="68"/>
      <c r="Y17" s="68"/>
      <c r="Z17" s="68" t="s">
        <v>54</v>
      </c>
      <c r="AA17" s="68" t="s">
        <v>54</v>
      </c>
      <c r="AB17" s="68" t="s">
        <v>54</v>
      </c>
      <c r="AC17" s="68" t="s">
        <v>145</v>
      </c>
      <c r="AD17" s="68" t="s">
        <v>54</v>
      </c>
      <c r="AE17" s="68" t="s">
        <v>54</v>
      </c>
      <c r="AF17" s="68" t="s">
        <v>54</v>
      </c>
      <c r="AG17" s="68" t="s">
        <v>54</v>
      </c>
      <c r="AH17" s="68" t="s">
        <v>145</v>
      </c>
      <c r="AI17" s="68" t="s">
        <v>54</v>
      </c>
    </row>
    <row r="18" ht="14.25" customHeight="1">
      <c r="A18" s="68">
        <v>9.0</v>
      </c>
      <c r="B18" s="68" t="s">
        <v>364</v>
      </c>
      <c r="C18" s="68" t="s">
        <v>365</v>
      </c>
      <c r="D18" s="68" t="s">
        <v>366</v>
      </c>
      <c r="E18" s="68" t="s">
        <v>367</v>
      </c>
      <c r="F18" s="68" t="s">
        <v>368</v>
      </c>
      <c r="G18" s="67" t="s">
        <v>43</v>
      </c>
      <c r="H18" s="68">
        <v>2026.0</v>
      </c>
      <c r="I18" s="68" t="s">
        <v>44</v>
      </c>
      <c r="J18" s="68" t="s">
        <v>369</v>
      </c>
      <c r="K18" s="68">
        <v>8.1350077187E10</v>
      </c>
      <c r="L18" s="68">
        <v>1971.0</v>
      </c>
      <c r="M18" s="68"/>
      <c r="N18" s="68" t="s">
        <v>370</v>
      </c>
      <c r="O18" s="68"/>
      <c r="P18" s="68" t="s">
        <v>371</v>
      </c>
      <c r="Q18" s="68" t="s">
        <v>372</v>
      </c>
      <c r="R18" s="68" t="s">
        <v>373</v>
      </c>
      <c r="S18" s="68" t="s">
        <v>374</v>
      </c>
      <c r="T18" s="68" t="s">
        <v>375</v>
      </c>
      <c r="U18" s="68" t="s">
        <v>376</v>
      </c>
      <c r="V18" s="68" t="s">
        <v>377</v>
      </c>
      <c r="W18" s="68"/>
      <c r="X18" s="68"/>
      <c r="Y18" s="68"/>
      <c r="Z18" s="68" t="s">
        <v>54</v>
      </c>
      <c r="AA18" s="68" t="s">
        <v>54</v>
      </c>
      <c r="AB18" s="68" t="s">
        <v>146</v>
      </c>
      <c r="AC18" s="68" t="s">
        <v>146</v>
      </c>
      <c r="AD18" s="68" t="s">
        <v>54</v>
      </c>
      <c r="AE18" s="68" t="s">
        <v>54</v>
      </c>
      <c r="AF18" s="68" t="s">
        <v>54</v>
      </c>
      <c r="AG18" s="68" t="s">
        <v>54</v>
      </c>
      <c r="AH18" s="68" t="s">
        <v>146</v>
      </c>
      <c r="AI18" s="68" t="s">
        <v>54</v>
      </c>
    </row>
    <row r="19" ht="14.25" customHeight="1">
      <c r="A19" s="68"/>
      <c r="B19" s="68"/>
      <c r="C19" s="68"/>
      <c r="D19" s="68"/>
      <c r="E19" s="68"/>
      <c r="F19" s="68"/>
      <c r="G19" s="68"/>
      <c r="H19" s="68"/>
      <c r="I19" s="68"/>
      <c r="J19" s="68"/>
      <c r="K19" s="68"/>
      <c r="L19" s="85"/>
      <c r="M19" s="68"/>
      <c r="N19" s="68"/>
      <c r="O19" s="68"/>
      <c r="P19" s="68"/>
      <c r="Q19" s="68"/>
      <c r="R19" s="68"/>
      <c r="S19" s="68"/>
      <c r="T19" s="68"/>
      <c r="U19" s="68"/>
      <c r="V19" s="68"/>
      <c r="W19" s="68"/>
      <c r="X19" s="68"/>
      <c r="Y19" s="68"/>
      <c r="Z19" s="68"/>
      <c r="AA19" s="68"/>
      <c r="AB19" s="68"/>
      <c r="AC19" s="68"/>
      <c r="AD19" s="68"/>
      <c r="AE19" s="68"/>
      <c r="AF19" s="68"/>
      <c r="AG19" s="68"/>
      <c r="AH19" s="68"/>
      <c r="AI19" s="68"/>
    </row>
    <row r="20" ht="14.25" customHeight="1">
      <c r="Z20" s="57"/>
      <c r="AA20" s="57"/>
      <c r="AB20" s="57"/>
      <c r="AC20" s="57"/>
      <c r="AD20" s="57"/>
      <c r="AE20" s="57"/>
      <c r="AF20" s="57"/>
      <c r="AG20" s="57"/>
      <c r="AH20" s="57"/>
      <c r="AI20" s="57"/>
    </row>
    <row r="21" ht="14.25" customHeight="1">
      <c r="S21" s="62">
        <v>684.0</v>
      </c>
      <c r="Z21" s="57"/>
      <c r="AA21" s="57"/>
      <c r="AB21" s="57"/>
      <c r="AC21" s="57"/>
      <c r="AD21" s="57"/>
      <c r="AE21" s="57"/>
      <c r="AF21" s="57"/>
      <c r="AG21" s="57"/>
      <c r="AH21" s="57"/>
      <c r="AI21" s="57"/>
    </row>
    <row r="22" ht="14.25" customHeight="1">
      <c r="Z22" s="57"/>
      <c r="AA22" s="57"/>
      <c r="AB22" s="57"/>
      <c r="AC22" s="57"/>
      <c r="AD22" s="57"/>
      <c r="AE22" s="57"/>
      <c r="AF22" s="57"/>
      <c r="AG22" s="57"/>
      <c r="AH22" s="57"/>
      <c r="AI22" s="57"/>
    </row>
    <row r="23" ht="14.25" customHeight="1">
      <c r="C23" s="62" t="s">
        <v>216</v>
      </c>
      <c r="D23" s="45">
        <v>8.0</v>
      </c>
      <c r="Z23" s="57"/>
      <c r="AA23" s="57"/>
      <c r="AB23" s="57"/>
      <c r="AC23" s="57"/>
      <c r="AD23" s="57"/>
      <c r="AE23" s="57"/>
      <c r="AF23" s="57"/>
      <c r="AG23" s="57"/>
      <c r="AH23" s="57"/>
      <c r="AI23" s="57"/>
    </row>
    <row r="24" ht="14.25" customHeight="1">
      <c r="C24" s="62" t="s">
        <v>217</v>
      </c>
      <c r="D24" s="45">
        <v>1.0</v>
      </c>
      <c r="Z24" s="57"/>
      <c r="AA24" s="57"/>
      <c r="AB24" s="57"/>
      <c r="AC24" s="57"/>
      <c r="AD24" s="57"/>
      <c r="AE24" s="57"/>
      <c r="AF24" s="57"/>
      <c r="AG24" s="57"/>
      <c r="AH24" s="57"/>
      <c r="AI24" s="57"/>
    </row>
    <row r="25" ht="14.25" customHeight="1">
      <c r="Z25" s="57"/>
      <c r="AA25" s="57"/>
      <c r="AB25" s="57"/>
      <c r="AC25" s="57"/>
      <c r="AD25" s="57"/>
      <c r="AE25" s="57"/>
      <c r="AF25" s="57"/>
      <c r="AG25" s="57"/>
      <c r="AH25" s="57"/>
      <c r="AI25" s="57"/>
    </row>
    <row r="26" ht="14.25" customHeight="1">
      <c r="Z26" s="57"/>
      <c r="AA26" s="57"/>
      <c r="AB26" s="57"/>
      <c r="AC26" s="57"/>
      <c r="AD26" s="57"/>
      <c r="AE26" s="57"/>
      <c r="AF26" s="57"/>
      <c r="AG26" s="57"/>
      <c r="AH26" s="57"/>
      <c r="AI26" s="57"/>
    </row>
    <row r="27" ht="14.25" customHeight="1">
      <c r="Z27" s="57"/>
      <c r="AA27" s="57"/>
      <c r="AB27" s="57"/>
      <c r="AC27" s="57"/>
      <c r="AD27" s="57"/>
      <c r="AE27" s="57"/>
      <c r="AF27" s="57"/>
      <c r="AG27" s="57"/>
      <c r="AH27" s="57"/>
      <c r="AI27" s="57"/>
    </row>
    <row r="28" ht="14.25" customHeight="1">
      <c r="Z28" s="57"/>
      <c r="AA28" s="57"/>
      <c r="AB28" s="57"/>
      <c r="AC28" s="57"/>
      <c r="AD28" s="57"/>
      <c r="AE28" s="57"/>
      <c r="AF28" s="57"/>
      <c r="AG28" s="57"/>
      <c r="AH28" s="57"/>
      <c r="AI28" s="57"/>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I28">
      <formula1>"Ada,Belum Ada,Proses,Belum mengurus"</formula1>
    </dataValidation>
    <dataValidation type="list" allowBlank="1" showErrorMessage="1" sqref="G5 G7:G18">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1.57"/>
    <col customWidth="1" min="3" max="3" width="21.86"/>
    <col customWidth="1" min="4" max="4" width="11.86"/>
    <col customWidth="1" min="5" max="5" width="19.29"/>
    <col customWidth="1" min="6" max="7" width="15.86"/>
    <col customWidth="1" min="8" max="10" width="41.71"/>
    <col customWidth="1" min="11" max="11" width="21.14"/>
    <col customWidth="1" min="12" max="18" width="27.0"/>
    <col customWidth="1" min="19" max="24" width="26.43"/>
    <col customWidth="1" min="25" max="25" width="18.43"/>
    <col customWidth="1" min="26" max="26" width="15.86"/>
    <col customWidth="1" min="27" max="27" width="15.57"/>
    <col customWidth="1" min="28" max="28" width="15.14"/>
    <col customWidth="1" min="29" max="29" width="15.29"/>
    <col customWidth="1" min="30" max="30" width="16.43"/>
    <col customWidth="1" min="31" max="31" width="18.29"/>
    <col customWidth="1" min="32" max="32" width="16.14"/>
    <col customWidth="1" min="33" max="33" width="20.29"/>
    <col customWidth="1" min="34" max="34" width="17.0"/>
    <col customWidth="1" min="35" max="35" width="11.14"/>
  </cols>
  <sheetData>
    <row r="1" ht="14.25" customHeight="1">
      <c r="L1" s="63" t="s">
        <v>1</v>
      </c>
    </row>
    <row r="2" ht="14.25" customHeight="1">
      <c r="L2" s="64" t="s">
        <v>2</v>
      </c>
    </row>
    <row r="3" ht="14.25" customHeight="1"/>
    <row r="4" ht="40.5" customHeight="1">
      <c r="A4" s="65" t="s">
        <v>3</v>
      </c>
      <c r="B4" s="65" t="s">
        <v>4</v>
      </c>
      <c r="C4" s="65" t="s">
        <v>5</v>
      </c>
      <c r="D4" s="65" t="s">
        <v>6</v>
      </c>
      <c r="E4" s="65" t="s">
        <v>7</v>
      </c>
      <c r="F4" s="65" t="s">
        <v>8</v>
      </c>
      <c r="G4" s="65" t="s">
        <v>9</v>
      </c>
      <c r="H4" s="65" t="s">
        <v>378</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14.25" customHeight="1">
      <c r="A5" s="67">
        <v>1.0</v>
      </c>
      <c r="B5" s="67" t="s">
        <v>379</v>
      </c>
      <c r="C5" s="67" t="s">
        <v>380</v>
      </c>
      <c r="D5" s="68" t="s">
        <v>381</v>
      </c>
      <c r="E5" s="67" t="s">
        <v>382</v>
      </c>
      <c r="F5" s="67" t="s">
        <v>383</v>
      </c>
      <c r="G5" s="67" t="s">
        <v>43</v>
      </c>
      <c r="H5" s="67">
        <v>2025.0</v>
      </c>
      <c r="I5" s="67" t="s">
        <v>44</v>
      </c>
      <c r="J5" s="67" t="s">
        <v>384</v>
      </c>
      <c r="K5" s="67">
        <v>8.1384372124E10</v>
      </c>
      <c r="L5" s="67">
        <v>2970.0</v>
      </c>
      <c r="M5" s="67" t="s">
        <v>385</v>
      </c>
      <c r="N5" s="67" t="s">
        <v>386</v>
      </c>
      <c r="O5" s="67"/>
      <c r="P5" s="67" t="s">
        <v>387</v>
      </c>
      <c r="Q5" s="67" t="s">
        <v>388</v>
      </c>
      <c r="R5" s="67" t="s">
        <v>389</v>
      </c>
      <c r="S5" s="67" t="s">
        <v>390</v>
      </c>
      <c r="T5" s="67" t="s">
        <v>391</v>
      </c>
      <c r="U5" s="67" t="s">
        <v>392</v>
      </c>
      <c r="V5" s="67" t="s">
        <v>393</v>
      </c>
      <c r="W5" s="67"/>
      <c r="X5" s="67"/>
      <c r="Y5" s="68"/>
      <c r="Z5" s="68" t="s">
        <v>54</v>
      </c>
      <c r="AA5" s="68" t="s">
        <v>54</v>
      </c>
      <c r="AB5" s="68" t="s">
        <v>54</v>
      </c>
      <c r="AC5" s="68" t="s">
        <v>54</v>
      </c>
      <c r="AD5" s="68" t="s">
        <v>54</v>
      </c>
      <c r="AE5" s="68" t="s">
        <v>146</v>
      </c>
      <c r="AF5" s="68" t="s">
        <v>145</v>
      </c>
      <c r="AG5" s="68" t="s">
        <v>54</v>
      </c>
      <c r="AH5" s="68" t="s">
        <v>146</v>
      </c>
      <c r="AI5" s="68" t="s">
        <v>54</v>
      </c>
    </row>
    <row r="6" ht="14.25" customHeight="1">
      <c r="A6" s="67">
        <v>2.0</v>
      </c>
      <c r="B6" s="67" t="s">
        <v>394</v>
      </c>
      <c r="C6" s="67" t="s">
        <v>395</v>
      </c>
      <c r="D6" s="67" t="s">
        <v>396</v>
      </c>
      <c r="E6" s="95" t="s">
        <v>397</v>
      </c>
      <c r="F6" s="67" t="s">
        <v>398</v>
      </c>
      <c r="G6" s="67" t="s">
        <v>43</v>
      </c>
      <c r="H6" s="67" t="s">
        <v>399</v>
      </c>
      <c r="I6" s="67" t="s">
        <v>44</v>
      </c>
      <c r="J6" s="67" t="s">
        <v>400</v>
      </c>
      <c r="K6" s="96" t="s">
        <v>401</v>
      </c>
      <c r="L6" s="67">
        <v>2543.0</v>
      </c>
      <c r="M6" s="67" t="s">
        <v>402</v>
      </c>
      <c r="N6" s="67" t="s">
        <v>403</v>
      </c>
      <c r="O6" s="67"/>
      <c r="P6" s="67" t="s">
        <v>404</v>
      </c>
      <c r="Q6" s="67" t="s">
        <v>405</v>
      </c>
      <c r="R6" s="67" t="s">
        <v>406</v>
      </c>
      <c r="S6" s="67" t="s">
        <v>407</v>
      </c>
      <c r="T6" s="67" t="s">
        <v>408</v>
      </c>
      <c r="U6" s="67" t="s">
        <v>409</v>
      </c>
      <c r="V6" s="67" t="s">
        <v>410</v>
      </c>
      <c r="W6" s="67"/>
      <c r="X6" s="67"/>
      <c r="Y6" s="67"/>
      <c r="Z6" s="68" t="s">
        <v>54</v>
      </c>
      <c r="AA6" s="68" t="s">
        <v>54</v>
      </c>
      <c r="AB6" s="68" t="s">
        <v>54</v>
      </c>
      <c r="AC6" s="68" t="s">
        <v>54</v>
      </c>
      <c r="AD6" s="68" t="s">
        <v>54</v>
      </c>
      <c r="AE6" s="68" t="s">
        <v>54</v>
      </c>
      <c r="AF6" s="68" t="s">
        <v>54</v>
      </c>
      <c r="AG6" s="68" t="s">
        <v>54</v>
      </c>
      <c r="AH6" s="68" t="s">
        <v>146</v>
      </c>
      <c r="AI6" s="68" t="s">
        <v>54</v>
      </c>
    </row>
    <row r="7" ht="14.25" customHeight="1">
      <c r="A7" s="68">
        <v>3.0</v>
      </c>
      <c r="B7" s="68" t="s">
        <v>411</v>
      </c>
      <c r="C7" s="67" t="s">
        <v>412</v>
      </c>
      <c r="D7" s="68" t="s">
        <v>413</v>
      </c>
      <c r="E7" s="67" t="s">
        <v>414</v>
      </c>
      <c r="F7" s="67" t="s">
        <v>415</v>
      </c>
      <c r="G7" s="67" t="s">
        <v>43</v>
      </c>
      <c r="H7" s="67"/>
      <c r="I7" s="67" t="s">
        <v>416</v>
      </c>
      <c r="J7" s="67" t="s">
        <v>417</v>
      </c>
      <c r="K7" s="67">
        <v>8.52103135E10</v>
      </c>
      <c r="L7" s="67">
        <v>2465.0</v>
      </c>
      <c r="M7" s="67" t="s">
        <v>418</v>
      </c>
      <c r="N7" s="67" t="s">
        <v>419</v>
      </c>
      <c r="O7" s="68"/>
      <c r="P7" s="68"/>
      <c r="Q7" s="67" t="s">
        <v>420</v>
      </c>
      <c r="R7" s="67" t="s">
        <v>421</v>
      </c>
      <c r="S7" s="67" t="s">
        <v>422</v>
      </c>
      <c r="T7" s="68" t="s">
        <v>423</v>
      </c>
      <c r="U7" s="68" t="s">
        <v>424</v>
      </c>
      <c r="V7" s="68" t="s">
        <v>425</v>
      </c>
      <c r="W7" s="68"/>
      <c r="X7" s="68"/>
      <c r="Y7" s="68"/>
      <c r="Z7" s="68"/>
      <c r="AA7" s="68"/>
      <c r="AB7" s="68"/>
      <c r="AC7" s="68"/>
      <c r="AD7" s="68"/>
      <c r="AE7" s="68"/>
      <c r="AF7" s="68"/>
      <c r="AG7" s="68"/>
      <c r="AH7" s="68"/>
      <c r="AI7" s="68"/>
    </row>
    <row r="8" ht="14.25" customHeight="1">
      <c r="A8" s="68">
        <v>4.0</v>
      </c>
      <c r="B8" s="68" t="s">
        <v>379</v>
      </c>
      <c r="C8" s="68" t="s">
        <v>426</v>
      </c>
      <c r="D8" s="68" t="s">
        <v>427</v>
      </c>
      <c r="E8" s="68" t="s">
        <v>428</v>
      </c>
      <c r="F8" s="68" t="s">
        <v>429</v>
      </c>
      <c r="G8" s="67" t="s">
        <v>43</v>
      </c>
      <c r="H8" s="86">
        <v>46045.0</v>
      </c>
      <c r="I8" s="68" t="s">
        <v>44</v>
      </c>
      <c r="J8" s="68" t="s">
        <v>430</v>
      </c>
      <c r="K8" s="68">
        <v>8.779329732E10</v>
      </c>
      <c r="L8" s="67">
        <v>2312.0</v>
      </c>
      <c r="M8" s="67" t="s">
        <v>431</v>
      </c>
      <c r="N8" s="67" t="s">
        <v>432</v>
      </c>
      <c r="O8" s="68"/>
      <c r="P8" s="67" t="s">
        <v>433</v>
      </c>
      <c r="Q8" s="67" t="s">
        <v>434</v>
      </c>
      <c r="R8" s="67" t="s">
        <v>435</v>
      </c>
      <c r="S8" s="67" t="s">
        <v>436</v>
      </c>
      <c r="T8" s="67" t="s">
        <v>437</v>
      </c>
      <c r="U8" s="67" t="s">
        <v>438</v>
      </c>
      <c r="V8" s="67" t="s">
        <v>439</v>
      </c>
      <c r="W8" s="68"/>
      <c r="X8" s="68"/>
      <c r="Y8" s="68"/>
      <c r="Z8" s="68" t="s">
        <v>54</v>
      </c>
      <c r="AA8" s="68" t="s">
        <v>54</v>
      </c>
      <c r="AB8" s="68" t="s">
        <v>146</v>
      </c>
      <c r="AC8" s="68" t="s">
        <v>54</v>
      </c>
      <c r="AD8" s="68" t="s">
        <v>54</v>
      </c>
      <c r="AE8" s="68" t="s">
        <v>146</v>
      </c>
      <c r="AF8" s="68" t="s">
        <v>54</v>
      </c>
      <c r="AG8" s="68" t="s">
        <v>54</v>
      </c>
      <c r="AH8" s="68" t="s">
        <v>146</v>
      </c>
      <c r="AI8" s="68" t="s">
        <v>54</v>
      </c>
    </row>
    <row r="9" ht="14.25" customHeight="1">
      <c r="A9" s="68">
        <v>5.0</v>
      </c>
      <c r="B9" s="68" t="s">
        <v>440</v>
      </c>
      <c r="C9" s="68"/>
      <c r="D9" s="68" t="s">
        <v>441</v>
      </c>
      <c r="E9" s="68" t="s">
        <v>442</v>
      </c>
      <c r="F9" s="68" t="s">
        <v>443</v>
      </c>
      <c r="G9" s="68" t="s">
        <v>444</v>
      </c>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row>
    <row r="10" ht="14.25" customHeight="1">
      <c r="A10" s="68">
        <v>6.0</v>
      </c>
      <c r="B10" s="68" t="s">
        <v>445</v>
      </c>
      <c r="C10" s="68" t="s">
        <v>446</v>
      </c>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row>
    <row r="11" ht="14.25" customHeight="1">
      <c r="A11" s="68">
        <v>7.0</v>
      </c>
      <c r="B11" s="68" t="s">
        <v>447</v>
      </c>
      <c r="C11" s="68" t="s">
        <v>446</v>
      </c>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row>
    <row r="12" ht="14.25" customHeight="1">
      <c r="A12" s="68">
        <v>8.0</v>
      </c>
      <c r="B12" s="68" t="s">
        <v>448</v>
      </c>
      <c r="C12" s="68" t="s">
        <v>446</v>
      </c>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row>
    <row r="13" ht="14.25" customHeight="1">
      <c r="A13" s="68">
        <v>9.0</v>
      </c>
      <c r="B13" s="68" t="s">
        <v>449</v>
      </c>
      <c r="C13" s="68" t="s">
        <v>446</v>
      </c>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row>
    <row r="14" ht="14.25" customHeight="1">
      <c r="A14" s="68">
        <v>10.0</v>
      </c>
      <c r="B14" s="68" t="s">
        <v>450</v>
      </c>
      <c r="C14" s="68" t="s">
        <v>446</v>
      </c>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row>
    <row r="15" ht="14.25" customHeight="1">
      <c r="Z15" s="57"/>
      <c r="AA15" s="57"/>
      <c r="AB15" s="57"/>
      <c r="AC15" s="57"/>
      <c r="AD15" s="57"/>
      <c r="AE15" s="57"/>
      <c r="AF15" s="57"/>
      <c r="AG15" s="57"/>
      <c r="AH15" s="57"/>
      <c r="AI15" s="57"/>
    </row>
    <row r="16" ht="14.25" customHeight="1">
      <c r="Z16" s="57"/>
      <c r="AA16" s="57"/>
      <c r="AB16" s="57"/>
      <c r="AC16" s="57"/>
      <c r="AD16" s="57"/>
      <c r="AE16" s="57"/>
      <c r="AF16" s="57"/>
      <c r="AG16" s="57"/>
      <c r="AH16" s="57"/>
      <c r="AI16" s="57"/>
    </row>
    <row r="17" ht="14.25" customHeight="1">
      <c r="Z17" s="57"/>
      <c r="AA17" s="57"/>
      <c r="AB17" s="57"/>
      <c r="AC17" s="57"/>
      <c r="AD17" s="57"/>
      <c r="AE17" s="57"/>
      <c r="AF17" s="57"/>
      <c r="AG17" s="57"/>
      <c r="AH17" s="57"/>
      <c r="AI17" s="57"/>
    </row>
    <row r="18" ht="14.25" customHeight="1">
      <c r="Z18" s="57"/>
      <c r="AA18" s="57"/>
      <c r="AB18" s="57"/>
      <c r="AC18" s="57"/>
      <c r="AD18" s="57"/>
      <c r="AE18" s="57"/>
      <c r="AF18" s="57"/>
      <c r="AG18" s="57"/>
      <c r="AH18" s="57"/>
      <c r="AI18" s="57"/>
    </row>
    <row r="19" ht="14.25" customHeight="1">
      <c r="Z19" s="57"/>
      <c r="AA19" s="57"/>
      <c r="AB19" s="57"/>
      <c r="AC19" s="57"/>
      <c r="AD19" s="57"/>
      <c r="AE19" s="57"/>
      <c r="AF19" s="57"/>
      <c r="AG19" s="57"/>
      <c r="AH19" s="57"/>
      <c r="AI19" s="57"/>
    </row>
    <row r="20" ht="14.25" customHeight="1">
      <c r="H20" s="62"/>
      <c r="I20" s="62"/>
      <c r="J20" s="62" t="s">
        <v>216</v>
      </c>
      <c r="K20" s="62">
        <v>4.0</v>
      </c>
      <c r="Z20" s="57"/>
      <c r="AA20" s="57"/>
      <c r="AB20" s="57"/>
      <c r="AC20" s="57"/>
      <c r="AD20" s="57"/>
      <c r="AE20" s="57"/>
      <c r="AF20" s="57"/>
      <c r="AG20" s="57"/>
      <c r="AH20" s="57"/>
      <c r="AI20" s="57"/>
    </row>
    <row r="21" ht="14.25" customHeight="1">
      <c r="H21" s="62"/>
      <c r="I21" s="62"/>
      <c r="J21" s="62" t="s">
        <v>217</v>
      </c>
      <c r="K21" s="62">
        <v>0.0</v>
      </c>
      <c r="Z21" s="57"/>
      <c r="AA21" s="57"/>
      <c r="AB21" s="57"/>
      <c r="AC21" s="57"/>
      <c r="AD21" s="57"/>
      <c r="AE21" s="57"/>
      <c r="AF21" s="57"/>
      <c r="AG21" s="57"/>
      <c r="AH21" s="57"/>
      <c r="AI21" s="57"/>
    </row>
    <row r="22" ht="14.25" customHeight="1">
      <c r="Z22" s="57"/>
      <c r="AA22" s="57"/>
      <c r="AB22" s="57"/>
      <c r="AC22" s="57"/>
      <c r="AD22" s="57"/>
      <c r="AE22" s="57"/>
      <c r="AF22" s="57"/>
      <c r="AG22" s="57"/>
      <c r="AH22" s="57"/>
      <c r="AI22" s="57"/>
    </row>
    <row r="23" ht="14.25" customHeight="1">
      <c r="Z23" s="57"/>
      <c r="AA23" s="57"/>
      <c r="AB23" s="57"/>
      <c r="AC23" s="57"/>
      <c r="AD23" s="57"/>
      <c r="AE23" s="57"/>
      <c r="AF23" s="57"/>
      <c r="AG23" s="57"/>
      <c r="AH23" s="57"/>
      <c r="AI23" s="57"/>
    </row>
    <row r="24" ht="14.25" customHeight="1">
      <c r="Z24" s="57"/>
      <c r="AA24" s="57"/>
      <c r="AB24" s="57"/>
      <c r="AC24" s="57"/>
      <c r="AD24" s="57"/>
      <c r="AE24" s="57"/>
      <c r="AF24" s="57"/>
      <c r="AG24" s="57"/>
      <c r="AH24" s="57"/>
      <c r="AI24" s="57"/>
    </row>
    <row r="25" ht="14.25" customHeight="1">
      <c r="Z25" s="57"/>
      <c r="AA25" s="57"/>
      <c r="AB25" s="57"/>
      <c r="AC25" s="57"/>
      <c r="AD25" s="57"/>
      <c r="AE25" s="57"/>
      <c r="AF25" s="57"/>
      <c r="AG25" s="57"/>
      <c r="AH25" s="57"/>
      <c r="AI25" s="57"/>
    </row>
    <row r="26" ht="14.25" customHeight="1">
      <c r="Z26" s="57"/>
      <c r="AA26" s="57"/>
      <c r="AB26" s="57"/>
      <c r="AC26" s="57"/>
      <c r="AD26" s="57"/>
      <c r="AE26" s="57"/>
      <c r="AF26" s="57"/>
      <c r="AG26" s="57"/>
      <c r="AH26" s="57"/>
      <c r="AI26" s="57"/>
    </row>
    <row r="27" ht="14.25" customHeight="1">
      <c r="Z27" s="57"/>
      <c r="AA27" s="57"/>
      <c r="AB27" s="57"/>
      <c r="AC27" s="57"/>
      <c r="AD27" s="57"/>
      <c r="AE27" s="57"/>
      <c r="AF27" s="57"/>
      <c r="AG27" s="57"/>
      <c r="AH27" s="57"/>
      <c r="AI27" s="57"/>
    </row>
    <row r="28" ht="14.25" customHeight="1">
      <c r="Z28" s="57"/>
      <c r="AA28" s="57"/>
      <c r="AB28" s="57"/>
      <c r="AC28" s="57"/>
      <c r="AD28" s="57"/>
      <c r="AE28" s="57"/>
      <c r="AF28" s="57"/>
      <c r="AG28" s="57"/>
      <c r="AH28" s="57"/>
      <c r="AI28" s="57"/>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I28">
      <formula1>"Ada,Belum Ada,Proses,Belum mengurus"</formula1>
    </dataValidation>
    <dataValidation type="list" allowBlank="1" showErrorMessage="1" sqref="G5:G8">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6"/>
    <col customWidth="1" min="2" max="2" width="14.14"/>
    <col customWidth="1" min="3" max="3" width="21.86"/>
    <col customWidth="1" min="4" max="4" width="11.86"/>
    <col customWidth="1" min="5" max="5" width="19.29"/>
    <col customWidth="1" min="6" max="7" width="15.86"/>
    <col customWidth="1" min="8" max="10" width="38.14"/>
    <col customWidth="1" min="11" max="11" width="21.14"/>
    <col customWidth="1" min="12" max="14" width="27.0"/>
    <col customWidth="1" min="15" max="15" width="34.71"/>
    <col customWidth="1" min="16" max="16" width="27.0"/>
    <col customWidth="1" min="17" max="17" width="33.86"/>
    <col customWidth="1" min="18" max="18" width="40.0"/>
    <col customWidth="1" min="19" max="19" width="33.86"/>
    <col customWidth="1" min="20" max="20" width="32.71"/>
    <col customWidth="1" min="21" max="21" width="34.0"/>
    <col customWidth="1" min="22" max="22" width="33.0"/>
    <col customWidth="1" min="23" max="24" width="26.43"/>
    <col customWidth="1" min="25" max="25" width="18.43"/>
    <col customWidth="1" min="26" max="26" width="15.86"/>
    <col customWidth="1" min="27" max="27" width="15.57"/>
    <col customWidth="1" min="28" max="28" width="15.14"/>
    <col customWidth="1" min="29" max="29" width="15.29"/>
    <col customWidth="1" min="30" max="30" width="16.43"/>
    <col customWidth="1" min="31" max="31" width="18.29"/>
    <col customWidth="1" min="32" max="32" width="16.14"/>
    <col customWidth="1" min="33" max="33" width="20.29"/>
    <col customWidth="1" min="34" max="34" width="17.0"/>
    <col customWidth="1" min="35" max="35" width="11.14"/>
  </cols>
  <sheetData>
    <row r="1" ht="14.25" customHeight="1">
      <c r="A1" s="62"/>
      <c r="L1" s="63" t="s">
        <v>1</v>
      </c>
    </row>
    <row r="2" ht="14.25" customHeight="1">
      <c r="L2" s="64" t="s">
        <v>2</v>
      </c>
    </row>
    <row r="3" ht="14.25" customHeight="1"/>
    <row r="4" ht="40.5" customHeight="1">
      <c r="A4" s="65" t="s">
        <v>3</v>
      </c>
      <c r="B4" s="65" t="s">
        <v>4</v>
      </c>
      <c r="C4" s="65" t="s">
        <v>5</v>
      </c>
      <c r="D4" s="65" t="s">
        <v>6</v>
      </c>
      <c r="E4" s="65" t="s">
        <v>7</v>
      </c>
      <c r="F4" s="65" t="s">
        <v>8</v>
      </c>
      <c r="G4" s="65" t="s">
        <v>9</v>
      </c>
      <c r="H4" s="65" t="s">
        <v>10</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14.25" customHeight="1">
      <c r="A5" s="67">
        <v>1.0</v>
      </c>
      <c r="B5" s="67" t="s">
        <v>451</v>
      </c>
      <c r="C5" s="67" t="s">
        <v>452</v>
      </c>
      <c r="D5" s="67" t="s">
        <v>453</v>
      </c>
      <c r="E5" s="67" t="s">
        <v>454</v>
      </c>
      <c r="F5" s="67" t="s">
        <v>455</v>
      </c>
      <c r="G5" s="97" t="s">
        <v>43</v>
      </c>
      <c r="H5" s="67" t="s">
        <v>456</v>
      </c>
      <c r="I5" s="67" t="s">
        <v>44</v>
      </c>
      <c r="J5" s="67" t="s">
        <v>457</v>
      </c>
      <c r="K5" s="67" t="s">
        <v>458</v>
      </c>
      <c r="L5" s="76">
        <v>2532.0</v>
      </c>
      <c r="M5" s="67" t="s">
        <v>459</v>
      </c>
      <c r="N5" s="67" t="s">
        <v>460</v>
      </c>
      <c r="O5" s="67">
        <v>0.0</v>
      </c>
      <c r="P5" s="67">
        <v>0.0</v>
      </c>
      <c r="Q5" s="67" t="s">
        <v>461</v>
      </c>
      <c r="R5" s="67">
        <v>0.0</v>
      </c>
      <c r="S5" s="67" t="s">
        <v>462</v>
      </c>
      <c r="T5" s="90" t="s">
        <v>463</v>
      </c>
      <c r="U5" s="90" t="s">
        <v>464</v>
      </c>
      <c r="V5" s="90" t="s">
        <v>465</v>
      </c>
      <c r="W5" s="67">
        <v>0.0</v>
      </c>
      <c r="X5" s="67">
        <v>0.0</v>
      </c>
      <c r="Y5" s="68" t="s">
        <v>466</v>
      </c>
      <c r="Z5" s="68" t="s">
        <v>54</v>
      </c>
      <c r="AA5" s="76" t="s">
        <v>54</v>
      </c>
      <c r="AB5" s="76" t="s">
        <v>54</v>
      </c>
      <c r="AC5" s="76" t="s">
        <v>54</v>
      </c>
      <c r="AD5" s="76" t="s">
        <v>145</v>
      </c>
      <c r="AE5" s="76" t="s">
        <v>145</v>
      </c>
      <c r="AF5" s="76" t="s">
        <v>145</v>
      </c>
      <c r="AG5" s="76" t="s">
        <v>54</v>
      </c>
      <c r="AH5" s="76" t="s">
        <v>146</v>
      </c>
      <c r="AI5" s="76" t="s">
        <v>54</v>
      </c>
    </row>
    <row r="6" ht="14.25" customHeight="1">
      <c r="A6" s="67">
        <v>2.0</v>
      </c>
      <c r="B6" s="68" t="s">
        <v>467</v>
      </c>
      <c r="C6" s="67" t="s">
        <v>468</v>
      </c>
      <c r="D6" s="67" t="s">
        <v>469</v>
      </c>
      <c r="E6" s="71" t="s">
        <v>470</v>
      </c>
      <c r="F6" s="67" t="s">
        <v>471</v>
      </c>
      <c r="G6" s="67" t="s">
        <v>43</v>
      </c>
      <c r="H6" s="67"/>
      <c r="I6" s="67" t="s">
        <v>44</v>
      </c>
      <c r="J6" s="67" t="s">
        <v>472</v>
      </c>
      <c r="K6" s="72" t="s">
        <v>473</v>
      </c>
      <c r="L6" s="68">
        <v>2830.0</v>
      </c>
      <c r="M6" s="98" t="s">
        <v>474</v>
      </c>
      <c r="N6" s="68" t="s">
        <v>475</v>
      </c>
      <c r="O6" s="97" t="s">
        <v>476</v>
      </c>
      <c r="P6" s="67">
        <v>0.0</v>
      </c>
      <c r="Q6" s="67" t="s">
        <v>477</v>
      </c>
      <c r="R6" s="67" t="s">
        <v>478</v>
      </c>
      <c r="S6" s="67" t="s">
        <v>479</v>
      </c>
      <c r="T6" s="68" t="s">
        <v>480</v>
      </c>
      <c r="U6" s="67" t="s">
        <v>481</v>
      </c>
      <c r="V6" s="67" t="s">
        <v>482</v>
      </c>
      <c r="W6" s="68">
        <v>0.0</v>
      </c>
      <c r="X6" s="68">
        <v>0.0</v>
      </c>
      <c r="Y6" s="67" t="s">
        <v>483</v>
      </c>
      <c r="Z6" s="68"/>
      <c r="AA6" s="68"/>
      <c r="AB6" s="68"/>
      <c r="AC6" s="68"/>
      <c r="AD6" s="68"/>
      <c r="AE6" s="68"/>
      <c r="AF6" s="68"/>
      <c r="AG6" s="68"/>
      <c r="AH6" s="68"/>
      <c r="AI6" s="68"/>
    </row>
    <row r="7" ht="119.25" customHeight="1">
      <c r="A7" s="68">
        <v>3.0</v>
      </c>
      <c r="B7" s="68" t="s">
        <v>484</v>
      </c>
      <c r="C7" s="68" t="s">
        <v>485</v>
      </c>
      <c r="D7" s="68" t="s">
        <v>486</v>
      </c>
      <c r="E7" s="68" t="s">
        <v>487</v>
      </c>
      <c r="F7" s="68" t="s">
        <v>488</v>
      </c>
      <c r="G7" s="68" t="s">
        <v>43</v>
      </c>
      <c r="H7" s="86">
        <v>46048.0</v>
      </c>
      <c r="I7" s="68" t="s">
        <v>44</v>
      </c>
      <c r="J7" s="68" t="s">
        <v>489</v>
      </c>
      <c r="K7" s="99" t="s">
        <v>490</v>
      </c>
      <c r="L7" s="100">
        <v>2892.0</v>
      </c>
      <c r="M7" s="76" t="s">
        <v>491</v>
      </c>
      <c r="N7" s="76" t="s">
        <v>492</v>
      </c>
      <c r="O7" s="68" t="s">
        <v>493</v>
      </c>
      <c r="P7" s="68" t="s">
        <v>494</v>
      </c>
      <c r="Q7" s="68" t="s">
        <v>495</v>
      </c>
      <c r="R7" s="68" t="s">
        <v>496</v>
      </c>
      <c r="S7" s="68" t="s">
        <v>497</v>
      </c>
      <c r="T7" s="68" t="s">
        <v>498</v>
      </c>
      <c r="U7" s="68" t="s">
        <v>499</v>
      </c>
      <c r="V7" s="68" t="s">
        <v>500</v>
      </c>
      <c r="W7" s="68">
        <v>0.0</v>
      </c>
      <c r="X7" s="68">
        <v>0.0</v>
      </c>
      <c r="Y7" s="68" t="s">
        <v>466</v>
      </c>
      <c r="Z7" s="68" t="s">
        <v>54</v>
      </c>
      <c r="AA7" s="68" t="s">
        <v>54</v>
      </c>
      <c r="AB7" s="68" t="s">
        <v>54</v>
      </c>
      <c r="AC7" s="68" t="s">
        <v>54</v>
      </c>
      <c r="AD7" s="68" t="s">
        <v>54</v>
      </c>
      <c r="AE7" s="68" t="s">
        <v>146</v>
      </c>
      <c r="AF7" s="68" t="s">
        <v>145</v>
      </c>
      <c r="AG7" s="68" t="s">
        <v>54</v>
      </c>
      <c r="AH7" s="68" t="s">
        <v>146</v>
      </c>
      <c r="AI7" s="68" t="s">
        <v>54</v>
      </c>
    </row>
    <row r="8" ht="14.25" customHeight="1">
      <c r="A8" s="68">
        <v>4.0</v>
      </c>
      <c r="B8" s="68" t="s">
        <v>501</v>
      </c>
      <c r="C8" s="68" t="s">
        <v>502</v>
      </c>
      <c r="D8" s="68" t="s">
        <v>503</v>
      </c>
      <c r="E8" s="68" t="s">
        <v>504</v>
      </c>
      <c r="F8" s="68" t="s">
        <v>505</v>
      </c>
      <c r="G8" s="68"/>
      <c r="H8" s="68" t="s">
        <v>506</v>
      </c>
      <c r="I8" s="68" t="s">
        <v>416</v>
      </c>
      <c r="J8" s="68" t="s">
        <v>507</v>
      </c>
      <c r="K8" s="80" t="s">
        <v>508</v>
      </c>
      <c r="L8" s="99" t="s">
        <v>509</v>
      </c>
      <c r="M8" s="68">
        <v>0.0</v>
      </c>
      <c r="N8" s="67" t="s">
        <v>510</v>
      </c>
      <c r="O8" s="68" t="s">
        <v>511</v>
      </c>
      <c r="P8" s="68">
        <v>0.0</v>
      </c>
      <c r="Q8" s="82" t="s">
        <v>512</v>
      </c>
      <c r="R8" s="67" t="s">
        <v>513</v>
      </c>
      <c r="S8" s="68">
        <v>0.0</v>
      </c>
      <c r="T8" s="67" t="s">
        <v>514</v>
      </c>
      <c r="U8" s="67" t="s">
        <v>515</v>
      </c>
      <c r="V8" s="67" t="s">
        <v>516</v>
      </c>
      <c r="W8" s="68">
        <v>0.0</v>
      </c>
      <c r="X8" s="68">
        <v>17.0</v>
      </c>
      <c r="Y8" s="68" t="s">
        <v>517</v>
      </c>
      <c r="Z8" s="68" t="s">
        <v>54</v>
      </c>
      <c r="AA8" s="68" t="s">
        <v>54</v>
      </c>
      <c r="AB8" s="68" t="s">
        <v>54</v>
      </c>
      <c r="AC8" s="68" t="s">
        <v>54</v>
      </c>
      <c r="AD8" s="68" t="s">
        <v>54</v>
      </c>
      <c r="AE8" s="68" t="s">
        <v>54</v>
      </c>
      <c r="AF8" s="68" t="s">
        <v>145</v>
      </c>
      <c r="AG8" s="68" t="s">
        <v>54</v>
      </c>
      <c r="AH8" s="68" t="s">
        <v>54</v>
      </c>
      <c r="AI8" s="68" t="s">
        <v>54</v>
      </c>
    </row>
    <row r="9" ht="14.25" customHeight="1">
      <c r="A9" s="68">
        <v>5.0</v>
      </c>
      <c r="B9" s="68" t="s">
        <v>518</v>
      </c>
      <c r="C9" s="68" t="s">
        <v>519</v>
      </c>
      <c r="D9" s="68" t="s">
        <v>520</v>
      </c>
      <c r="E9" s="68" t="s">
        <v>521</v>
      </c>
      <c r="F9" s="68" t="s">
        <v>522</v>
      </c>
      <c r="G9" s="68" t="s">
        <v>43</v>
      </c>
      <c r="H9" s="68"/>
      <c r="I9" s="68" t="s">
        <v>416</v>
      </c>
      <c r="J9" s="68" t="s">
        <v>523</v>
      </c>
      <c r="K9" s="68">
        <v>8.1288003928E10</v>
      </c>
      <c r="L9" s="68">
        <v>1265.0</v>
      </c>
      <c r="M9" s="68"/>
      <c r="N9" s="68" t="s">
        <v>524</v>
      </c>
      <c r="O9" s="68"/>
      <c r="P9" s="68" t="s">
        <v>525</v>
      </c>
      <c r="Q9" s="81" t="s">
        <v>526</v>
      </c>
      <c r="R9" s="68"/>
      <c r="S9" s="68"/>
      <c r="T9" s="68"/>
      <c r="U9" s="68"/>
      <c r="V9" s="68"/>
      <c r="W9" s="68"/>
      <c r="X9" s="68"/>
      <c r="Y9" s="68" t="s">
        <v>466</v>
      </c>
      <c r="Z9" s="68"/>
      <c r="AA9" s="68"/>
      <c r="AB9" s="68"/>
      <c r="AC9" s="68"/>
      <c r="AD9" s="68"/>
      <c r="AE9" s="68"/>
      <c r="AF9" s="68"/>
      <c r="AG9" s="68"/>
      <c r="AH9" s="68"/>
      <c r="AI9" s="68"/>
    </row>
    <row r="10" ht="14.25" customHeight="1">
      <c r="A10" s="68">
        <v>6.0</v>
      </c>
      <c r="B10" s="68" t="s">
        <v>451</v>
      </c>
      <c r="C10" s="68" t="s">
        <v>527</v>
      </c>
      <c r="D10" s="68" t="s">
        <v>528</v>
      </c>
      <c r="E10" s="68" t="s">
        <v>529</v>
      </c>
      <c r="F10" s="68" t="s">
        <v>530</v>
      </c>
      <c r="G10" s="68" t="s">
        <v>531</v>
      </c>
      <c r="H10" s="68"/>
      <c r="I10" s="68" t="s">
        <v>416</v>
      </c>
      <c r="J10" s="68" t="s">
        <v>532</v>
      </c>
      <c r="K10" s="68">
        <v>8.2267225457E10</v>
      </c>
      <c r="L10" s="68">
        <v>2456.0</v>
      </c>
      <c r="M10" s="68" t="s">
        <v>533</v>
      </c>
      <c r="N10" s="68" t="s">
        <v>534</v>
      </c>
      <c r="O10" s="67" t="s">
        <v>535</v>
      </c>
      <c r="P10" s="68"/>
      <c r="Q10" s="101" t="s">
        <v>536</v>
      </c>
      <c r="R10" s="102" t="s">
        <v>537</v>
      </c>
      <c r="S10" s="102" t="s">
        <v>538</v>
      </c>
      <c r="T10" s="102" t="s">
        <v>539</v>
      </c>
      <c r="U10" s="67" t="s">
        <v>540</v>
      </c>
      <c r="V10" s="102" t="s">
        <v>541</v>
      </c>
      <c r="W10" s="68">
        <v>0.0</v>
      </c>
      <c r="X10" s="68">
        <v>0.0</v>
      </c>
      <c r="Y10" s="68" t="s">
        <v>542</v>
      </c>
      <c r="Z10" s="68" t="s">
        <v>54</v>
      </c>
      <c r="AA10" s="68" t="s">
        <v>54</v>
      </c>
      <c r="AB10" s="68" t="s">
        <v>146</v>
      </c>
      <c r="AC10" s="68" t="s">
        <v>54</v>
      </c>
      <c r="AD10" s="68" t="s">
        <v>54</v>
      </c>
      <c r="AE10" s="68" t="s">
        <v>146</v>
      </c>
      <c r="AF10" s="68" t="s">
        <v>146</v>
      </c>
      <c r="AG10" s="68" t="s">
        <v>54</v>
      </c>
      <c r="AH10" s="68" t="s">
        <v>146</v>
      </c>
      <c r="AI10" s="68"/>
    </row>
    <row r="11" ht="14.25" customHeight="1">
      <c r="A11" s="68">
        <v>7.0</v>
      </c>
      <c r="B11" s="68" t="s">
        <v>451</v>
      </c>
      <c r="C11" s="68" t="s">
        <v>543</v>
      </c>
      <c r="D11" s="68" t="s">
        <v>544</v>
      </c>
      <c r="E11" s="68" t="s">
        <v>545</v>
      </c>
      <c r="F11" s="68" t="s">
        <v>546</v>
      </c>
      <c r="G11" s="68" t="s">
        <v>43</v>
      </c>
      <c r="H11" s="68" t="s">
        <v>547</v>
      </c>
      <c r="I11" s="68" t="s">
        <v>44</v>
      </c>
      <c r="J11" s="68" t="s">
        <v>548</v>
      </c>
      <c r="K11" s="68">
        <v>8.5215616894E10</v>
      </c>
      <c r="L11" s="68">
        <v>2.666</v>
      </c>
      <c r="M11" s="68" t="s">
        <v>549</v>
      </c>
      <c r="N11" s="68" t="s">
        <v>550</v>
      </c>
      <c r="O11" s="68" t="s">
        <v>551</v>
      </c>
      <c r="P11" s="68">
        <v>0.0</v>
      </c>
      <c r="Q11" s="81" t="s">
        <v>552</v>
      </c>
      <c r="R11" s="68" t="s">
        <v>553</v>
      </c>
      <c r="S11" s="68" t="s">
        <v>554</v>
      </c>
      <c r="T11" s="68" t="s">
        <v>555</v>
      </c>
      <c r="U11" s="68" t="s">
        <v>556</v>
      </c>
      <c r="V11" s="68" t="s">
        <v>557</v>
      </c>
      <c r="W11" s="68">
        <v>0.0</v>
      </c>
      <c r="X11" s="68">
        <v>0.0</v>
      </c>
      <c r="Y11" s="68" t="s">
        <v>542</v>
      </c>
      <c r="Z11" s="68"/>
      <c r="AA11" s="68"/>
      <c r="AB11" s="68"/>
      <c r="AC11" s="68"/>
      <c r="AD11" s="68"/>
      <c r="AE11" s="68"/>
      <c r="AF11" s="68"/>
      <c r="AG11" s="68"/>
      <c r="AH11" s="68"/>
      <c r="AI11" s="68"/>
    </row>
    <row r="12" ht="14.25" customHeight="1">
      <c r="A12" s="68">
        <v>8.0</v>
      </c>
      <c r="B12" s="68" t="s">
        <v>558</v>
      </c>
      <c r="C12" s="69" t="s">
        <v>559</v>
      </c>
      <c r="D12" s="68" t="s">
        <v>560</v>
      </c>
      <c r="E12" s="68" t="s">
        <v>561</v>
      </c>
      <c r="F12" s="68" t="s">
        <v>562</v>
      </c>
      <c r="G12" s="68" t="s">
        <v>43</v>
      </c>
      <c r="H12" s="93">
        <v>46083.0</v>
      </c>
      <c r="I12" s="68" t="s">
        <v>563</v>
      </c>
      <c r="J12" s="68" t="s">
        <v>564</v>
      </c>
      <c r="K12" s="68" t="s">
        <v>565</v>
      </c>
      <c r="L12" s="85">
        <v>2301.0</v>
      </c>
      <c r="M12" s="68" t="s">
        <v>566</v>
      </c>
      <c r="N12" s="68" t="s">
        <v>567</v>
      </c>
      <c r="O12" s="68"/>
      <c r="P12" s="68"/>
      <c r="Q12" s="73" t="s">
        <v>568</v>
      </c>
      <c r="R12" s="68" t="s">
        <v>569</v>
      </c>
      <c r="S12" s="68"/>
      <c r="T12" s="68"/>
      <c r="U12" s="68"/>
      <c r="V12" s="68"/>
      <c r="W12" s="68"/>
      <c r="X12" s="68"/>
      <c r="Y12" s="68"/>
      <c r="Z12" s="68"/>
      <c r="AA12" s="68"/>
      <c r="AB12" s="68"/>
      <c r="AC12" s="68"/>
      <c r="AD12" s="68"/>
      <c r="AE12" s="68"/>
      <c r="AF12" s="68"/>
      <c r="AG12" s="68"/>
      <c r="AH12" s="68"/>
      <c r="AI12" s="68"/>
    </row>
    <row r="13" ht="120.0" customHeight="1">
      <c r="A13" s="68">
        <v>9.0</v>
      </c>
      <c r="B13" s="81" t="s">
        <v>570</v>
      </c>
      <c r="C13" s="68" t="s">
        <v>571</v>
      </c>
      <c r="D13" s="68" t="s">
        <v>572</v>
      </c>
      <c r="E13" s="68" t="s">
        <v>573</v>
      </c>
      <c r="F13" s="68" t="s">
        <v>574</v>
      </c>
      <c r="G13" s="68" t="s">
        <v>43</v>
      </c>
      <c r="H13" s="68"/>
      <c r="I13" s="68" t="s">
        <v>44</v>
      </c>
      <c r="J13" s="68" t="s">
        <v>575</v>
      </c>
      <c r="K13" s="80" t="s">
        <v>576</v>
      </c>
      <c r="L13" s="68">
        <v>2460.0</v>
      </c>
      <c r="M13" s="68" t="s">
        <v>53</v>
      </c>
      <c r="N13" s="68" t="s">
        <v>53</v>
      </c>
      <c r="O13" s="68" t="s">
        <v>53</v>
      </c>
      <c r="P13" s="68" t="s">
        <v>53</v>
      </c>
      <c r="Q13" s="73" t="s">
        <v>577</v>
      </c>
      <c r="R13" s="67" t="s">
        <v>578</v>
      </c>
      <c r="S13" s="68" t="s">
        <v>579</v>
      </c>
      <c r="T13" s="81" t="s">
        <v>580</v>
      </c>
      <c r="U13" s="81" t="s">
        <v>581</v>
      </c>
      <c r="V13" s="81" t="s">
        <v>582</v>
      </c>
      <c r="W13" s="68" t="s">
        <v>53</v>
      </c>
      <c r="X13" s="68" t="s">
        <v>53</v>
      </c>
      <c r="Y13" s="68" t="s">
        <v>583</v>
      </c>
      <c r="Z13" s="68"/>
      <c r="AA13" s="68"/>
      <c r="AB13" s="68"/>
      <c r="AC13" s="68"/>
      <c r="AD13" s="68"/>
      <c r="AE13" s="68"/>
      <c r="AF13" s="68"/>
      <c r="AG13" s="68"/>
      <c r="AH13" s="68"/>
      <c r="AI13" s="68"/>
    </row>
    <row r="14" ht="159.0" customHeight="1">
      <c r="A14" s="68">
        <v>10.0</v>
      </c>
      <c r="B14" s="68" t="s">
        <v>584</v>
      </c>
      <c r="C14" s="68" t="s">
        <v>585</v>
      </c>
      <c r="D14" s="103" t="s">
        <v>586</v>
      </c>
      <c r="E14" s="68" t="s">
        <v>587</v>
      </c>
      <c r="F14" s="68" t="s">
        <v>588</v>
      </c>
      <c r="G14" s="68" t="s">
        <v>43</v>
      </c>
      <c r="H14" s="76" t="s">
        <v>589</v>
      </c>
      <c r="I14" s="68" t="s">
        <v>44</v>
      </c>
      <c r="J14" s="68" t="s">
        <v>590</v>
      </c>
      <c r="K14" s="80" t="s">
        <v>591</v>
      </c>
      <c r="L14" s="76">
        <v>2790.0</v>
      </c>
      <c r="M14" s="76" t="s">
        <v>592</v>
      </c>
      <c r="N14" s="76" t="s">
        <v>53</v>
      </c>
      <c r="O14" s="68" t="s">
        <v>593</v>
      </c>
      <c r="P14" s="68"/>
      <c r="Q14" s="104" t="s">
        <v>594</v>
      </c>
      <c r="R14" s="76" t="s">
        <v>595</v>
      </c>
      <c r="S14" s="76" t="s">
        <v>596</v>
      </c>
      <c r="T14" s="76" t="s">
        <v>597</v>
      </c>
      <c r="U14" s="76" t="s">
        <v>598</v>
      </c>
      <c r="V14" s="76" t="s">
        <v>599</v>
      </c>
      <c r="W14" s="76">
        <v>0.0</v>
      </c>
      <c r="X14" s="76" t="s">
        <v>600</v>
      </c>
      <c r="Y14" s="68" t="s">
        <v>583</v>
      </c>
      <c r="Z14" s="76" t="s">
        <v>54</v>
      </c>
      <c r="AA14" s="76" t="s">
        <v>54</v>
      </c>
      <c r="AB14" s="76" t="s">
        <v>54</v>
      </c>
      <c r="AC14" s="76" t="s">
        <v>54</v>
      </c>
      <c r="AD14" s="76" t="s">
        <v>54</v>
      </c>
      <c r="AE14" s="76" t="s">
        <v>145</v>
      </c>
      <c r="AF14" s="76" t="s">
        <v>145</v>
      </c>
      <c r="AG14" s="76" t="s">
        <v>54</v>
      </c>
      <c r="AH14" s="76" t="s">
        <v>146</v>
      </c>
      <c r="AI14" s="76" t="s">
        <v>54</v>
      </c>
    </row>
    <row r="15" ht="14.25" customHeight="1">
      <c r="A15" s="68">
        <v>11.0</v>
      </c>
      <c r="B15" s="68"/>
      <c r="C15" s="68"/>
      <c r="D15" s="68"/>
      <c r="E15" s="68"/>
      <c r="F15" s="68"/>
      <c r="G15" s="68"/>
      <c r="H15" s="68"/>
      <c r="I15" s="68"/>
      <c r="J15" s="68"/>
      <c r="K15" s="68"/>
      <c r="L15" s="85"/>
      <c r="M15" s="68"/>
      <c r="N15" s="68"/>
      <c r="O15" s="68"/>
      <c r="P15" s="68"/>
      <c r="Q15" s="83"/>
      <c r="R15" s="68"/>
      <c r="S15" s="68"/>
      <c r="T15" s="68"/>
      <c r="U15" s="68"/>
      <c r="V15" s="68"/>
      <c r="W15" s="68"/>
      <c r="X15" s="68"/>
      <c r="Y15" s="68"/>
      <c r="Z15" s="68"/>
      <c r="AA15" s="68"/>
      <c r="AB15" s="68"/>
      <c r="AC15" s="68"/>
      <c r="AD15" s="68"/>
      <c r="AE15" s="68"/>
      <c r="AF15" s="68"/>
      <c r="AG15" s="68"/>
      <c r="AH15" s="68"/>
      <c r="AI15" s="68"/>
    </row>
    <row r="16" ht="14.25" customHeight="1">
      <c r="A16" s="68"/>
      <c r="B16" s="68"/>
      <c r="C16" s="68"/>
      <c r="D16" s="68"/>
      <c r="E16" s="68"/>
      <c r="F16" s="68"/>
      <c r="G16" s="68"/>
      <c r="H16" s="68"/>
      <c r="I16" s="68"/>
      <c r="J16" s="68"/>
      <c r="K16" s="68"/>
      <c r="L16" s="68"/>
      <c r="M16" s="68"/>
      <c r="N16" s="68"/>
      <c r="O16" s="68"/>
      <c r="P16" s="68"/>
      <c r="Q16" s="83"/>
      <c r="R16" s="68"/>
      <c r="S16" s="68"/>
      <c r="T16" s="68"/>
      <c r="U16" s="68"/>
      <c r="V16" s="68"/>
      <c r="W16" s="68"/>
      <c r="X16" s="68"/>
      <c r="Y16" s="68"/>
      <c r="Z16" s="68"/>
      <c r="AA16" s="68"/>
      <c r="AB16" s="68"/>
      <c r="AC16" s="68"/>
      <c r="AD16" s="68"/>
      <c r="AE16" s="68"/>
      <c r="AF16" s="68"/>
      <c r="AG16" s="68"/>
      <c r="AH16" s="68"/>
      <c r="AI16" s="68"/>
    </row>
    <row r="17" ht="14.25" customHeight="1">
      <c r="A17" s="68"/>
      <c r="B17" s="68"/>
      <c r="C17" s="68"/>
      <c r="D17" s="68"/>
      <c r="E17" s="68"/>
      <c r="F17" s="68"/>
      <c r="G17" s="68"/>
      <c r="H17" s="68"/>
      <c r="I17" s="68"/>
      <c r="J17" s="68"/>
      <c r="K17" s="68"/>
      <c r="L17" s="68"/>
      <c r="M17" s="68"/>
      <c r="N17" s="68"/>
      <c r="O17" s="68"/>
      <c r="P17" s="68"/>
      <c r="Q17" s="83"/>
      <c r="R17" s="68"/>
      <c r="S17" s="68"/>
      <c r="T17" s="68"/>
      <c r="U17" s="68"/>
      <c r="V17" s="68"/>
      <c r="W17" s="68"/>
      <c r="X17" s="68"/>
      <c r="Y17" s="68"/>
      <c r="Z17" s="68"/>
      <c r="AA17" s="68"/>
      <c r="AB17" s="68"/>
      <c r="AC17" s="68"/>
      <c r="AD17" s="68"/>
      <c r="AE17" s="68"/>
      <c r="AF17" s="68"/>
      <c r="AG17" s="68"/>
      <c r="AH17" s="68"/>
      <c r="AI17" s="68"/>
    </row>
    <row r="18" ht="14.25" customHeight="1">
      <c r="A18" s="68"/>
      <c r="B18" s="68"/>
      <c r="C18" s="68"/>
      <c r="D18" s="68"/>
      <c r="E18" s="68"/>
      <c r="F18" s="68"/>
      <c r="G18" s="68"/>
      <c r="H18" s="68"/>
      <c r="I18" s="68"/>
      <c r="J18" s="68"/>
      <c r="K18" s="68"/>
      <c r="L18" s="68"/>
      <c r="M18" s="68"/>
      <c r="N18" s="68"/>
      <c r="O18" s="68"/>
      <c r="P18" s="68"/>
      <c r="Q18" s="83"/>
      <c r="R18" s="68"/>
      <c r="S18" s="68"/>
      <c r="T18" s="68"/>
      <c r="U18" s="68"/>
      <c r="V18" s="68"/>
      <c r="W18" s="68"/>
      <c r="X18" s="68"/>
      <c r="Y18" s="68"/>
      <c r="Z18" s="68"/>
      <c r="AA18" s="68"/>
      <c r="AB18" s="68"/>
      <c r="AC18" s="68"/>
      <c r="AD18" s="68"/>
      <c r="AE18" s="68"/>
      <c r="AF18" s="68"/>
      <c r="AG18" s="68"/>
      <c r="AH18" s="68"/>
      <c r="AI18" s="68"/>
    </row>
    <row r="19" ht="14.25" customHeight="1">
      <c r="A19" s="68"/>
      <c r="B19" s="68"/>
      <c r="C19" s="68"/>
      <c r="D19" s="68"/>
      <c r="E19" s="68"/>
      <c r="F19" s="68"/>
      <c r="G19" s="68"/>
      <c r="H19" s="68"/>
      <c r="I19" s="68"/>
      <c r="J19" s="68"/>
      <c r="K19" s="68"/>
      <c r="L19" s="68"/>
      <c r="M19" s="68"/>
      <c r="N19" s="68"/>
      <c r="O19" s="68"/>
      <c r="P19" s="68"/>
      <c r="Q19" s="83"/>
      <c r="R19" s="68"/>
      <c r="S19" s="68"/>
      <c r="T19" s="68"/>
      <c r="U19" s="68"/>
      <c r="V19" s="68"/>
      <c r="W19" s="68"/>
      <c r="X19" s="68"/>
      <c r="Y19" s="68"/>
      <c r="Z19" s="68"/>
      <c r="AA19" s="68"/>
      <c r="AB19" s="68"/>
      <c r="AC19" s="68"/>
      <c r="AD19" s="68"/>
      <c r="AE19" s="68"/>
      <c r="AF19" s="68"/>
      <c r="AG19" s="68"/>
      <c r="AH19" s="68"/>
      <c r="AI19" s="68"/>
    </row>
    <row r="20" ht="14.25" customHeight="1">
      <c r="A20" s="68"/>
      <c r="B20" s="68"/>
      <c r="C20" s="68"/>
      <c r="D20" s="68"/>
      <c r="E20" s="68"/>
      <c r="F20" s="68"/>
      <c r="G20" s="68"/>
      <c r="H20" s="68"/>
      <c r="I20" s="68"/>
      <c r="J20" s="68"/>
      <c r="K20" s="68"/>
      <c r="L20" s="68"/>
      <c r="M20" s="68"/>
      <c r="N20" s="68"/>
      <c r="O20" s="68"/>
      <c r="P20" s="68"/>
      <c r="Q20" s="83"/>
      <c r="R20" s="68"/>
      <c r="S20" s="68"/>
      <c r="T20" s="68"/>
      <c r="U20" s="68"/>
      <c r="V20" s="68"/>
      <c r="W20" s="68"/>
      <c r="X20" s="68"/>
      <c r="Y20" s="68"/>
      <c r="Z20" s="68"/>
      <c r="AA20" s="68"/>
      <c r="AB20" s="68"/>
      <c r="AC20" s="68"/>
      <c r="AD20" s="68"/>
      <c r="AE20" s="68"/>
      <c r="AF20" s="68"/>
      <c r="AG20" s="68"/>
      <c r="AH20" s="68"/>
      <c r="AI20" s="68"/>
    </row>
    <row r="21" ht="14.25" customHeight="1">
      <c r="A21" s="68"/>
      <c r="B21" s="68"/>
      <c r="C21" s="68"/>
      <c r="D21" s="68"/>
      <c r="E21" s="68"/>
      <c r="F21" s="68"/>
      <c r="G21" s="68"/>
      <c r="H21" s="68"/>
      <c r="I21" s="68"/>
      <c r="J21" s="68"/>
      <c r="K21" s="68"/>
      <c r="L21" s="68"/>
      <c r="M21" s="68"/>
      <c r="N21" s="68"/>
      <c r="O21" s="68"/>
      <c r="P21" s="68"/>
      <c r="Q21" s="83"/>
      <c r="R21" s="68"/>
      <c r="S21" s="68"/>
      <c r="T21" s="68"/>
      <c r="U21" s="68"/>
      <c r="V21" s="68"/>
      <c r="W21" s="68"/>
      <c r="X21" s="68"/>
      <c r="Y21" s="68"/>
      <c r="Z21" s="68"/>
      <c r="AA21" s="68"/>
      <c r="AB21" s="68"/>
      <c r="AC21" s="68"/>
      <c r="AD21" s="68"/>
      <c r="AE21" s="68"/>
      <c r="AF21" s="68"/>
      <c r="AG21" s="68"/>
      <c r="AH21" s="68"/>
      <c r="AI21" s="68"/>
    </row>
    <row r="22" ht="14.25" customHeight="1">
      <c r="A22" s="68"/>
      <c r="B22" s="68"/>
      <c r="C22" s="68"/>
      <c r="D22" s="68"/>
      <c r="E22" s="68"/>
      <c r="F22" s="68"/>
      <c r="G22" s="68"/>
      <c r="H22" s="68"/>
      <c r="I22" s="68"/>
      <c r="J22" s="68"/>
      <c r="K22" s="68"/>
      <c r="L22" s="68"/>
      <c r="M22" s="68"/>
      <c r="N22" s="68"/>
      <c r="O22" s="68"/>
      <c r="P22" s="68"/>
      <c r="Q22" s="83"/>
      <c r="R22" s="68"/>
      <c r="S22" s="68"/>
      <c r="T22" s="68"/>
      <c r="U22" s="68"/>
      <c r="V22" s="68"/>
      <c r="W22" s="68"/>
      <c r="X22" s="68"/>
      <c r="Y22" s="68"/>
      <c r="Z22" s="68"/>
      <c r="AA22" s="68"/>
      <c r="AB22" s="68"/>
      <c r="AC22" s="68"/>
      <c r="AD22" s="68"/>
      <c r="AE22" s="68"/>
      <c r="AF22" s="68"/>
      <c r="AG22" s="68"/>
      <c r="AH22" s="68"/>
      <c r="AI22" s="68"/>
    </row>
    <row r="23" ht="14.25" customHeight="1">
      <c r="A23" s="68"/>
      <c r="B23" s="68"/>
      <c r="C23" s="68"/>
      <c r="D23" s="68"/>
      <c r="E23" s="68"/>
      <c r="F23" s="68"/>
      <c r="G23" s="68"/>
      <c r="H23" s="68"/>
      <c r="I23" s="68"/>
      <c r="J23" s="68"/>
      <c r="K23" s="68"/>
      <c r="L23" s="68"/>
      <c r="M23" s="68"/>
      <c r="N23" s="68"/>
      <c r="O23" s="68"/>
      <c r="P23" s="68"/>
      <c r="Q23" s="83"/>
      <c r="R23" s="68"/>
      <c r="S23" s="68"/>
      <c r="T23" s="68"/>
      <c r="U23" s="68"/>
      <c r="V23" s="68"/>
      <c r="W23" s="68"/>
      <c r="X23" s="68"/>
      <c r="Y23" s="68"/>
      <c r="Z23" s="68"/>
      <c r="AA23" s="68"/>
      <c r="AB23" s="68"/>
      <c r="AC23" s="68"/>
      <c r="AD23" s="68"/>
      <c r="AE23" s="68"/>
      <c r="AF23" s="68"/>
      <c r="AG23" s="68"/>
      <c r="AH23" s="68"/>
      <c r="AI23" s="68"/>
    </row>
    <row r="24" ht="14.25" customHeight="1">
      <c r="A24" s="68"/>
      <c r="B24" s="83"/>
      <c r="C24" s="83"/>
      <c r="D24" s="83"/>
      <c r="E24" s="83"/>
      <c r="F24" s="83"/>
      <c r="G24" s="83"/>
      <c r="H24" s="83"/>
      <c r="I24" s="83"/>
      <c r="J24" s="83"/>
      <c r="K24" s="83"/>
      <c r="L24" s="83"/>
      <c r="M24" s="83"/>
      <c r="N24" s="83"/>
      <c r="O24" s="83"/>
      <c r="P24" s="83"/>
      <c r="Q24" s="83"/>
      <c r="R24" s="83"/>
      <c r="S24" s="83"/>
      <c r="T24" s="83"/>
      <c r="U24" s="83"/>
      <c r="V24" s="83"/>
      <c r="W24" s="83"/>
      <c r="X24" s="83"/>
      <c r="Y24" s="83"/>
      <c r="Z24" s="68"/>
      <c r="AA24" s="68"/>
      <c r="AB24" s="68"/>
      <c r="AC24" s="68"/>
      <c r="AD24" s="68"/>
      <c r="AE24" s="68"/>
      <c r="AF24" s="68"/>
      <c r="AG24" s="68"/>
      <c r="AH24" s="68"/>
      <c r="AI24" s="68"/>
    </row>
    <row r="25" ht="14.25" customHeight="1">
      <c r="Z25" s="57"/>
      <c r="AA25" s="57"/>
      <c r="AB25" s="57"/>
      <c r="AC25" s="57"/>
      <c r="AD25" s="57"/>
      <c r="AE25" s="57"/>
      <c r="AF25" s="57"/>
      <c r="AG25" s="57"/>
      <c r="AH25" s="57"/>
      <c r="AI25" s="57"/>
    </row>
    <row r="26" ht="14.25" customHeight="1">
      <c r="Z26" s="57"/>
      <c r="AA26" s="57"/>
      <c r="AB26" s="57"/>
      <c r="AC26" s="57"/>
      <c r="AD26" s="57"/>
      <c r="AE26" s="57"/>
      <c r="AF26" s="57"/>
      <c r="AG26" s="57"/>
      <c r="AH26" s="57"/>
      <c r="AI26" s="57"/>
    </row>
    <row r="27" ht="14.25" customHeight="1">
      <c r="Z27" s="57"/>
      <c r="AA27" s="57"/>
      <c r="AB27" s="57"/>
      <c r="AC27" s="57"/>
      <c r="AD27" s="57"/>
      <c r="AE27" s="57"/>
      <c r="AF27" s="57"/>
      <c r="AG27" s="57"/>
      <c r="AH27" s="57"/>
      <c r="AI27" s="57"/>
    </row>
    <row r="28" ht="14.25" customHeight="1">
      <c r="Z28" s="57"/>
      <c r="AA28" s="57"/>
      <c r="AB28" s="57"/>
      <c r="AC28" s="57"/>
      <c r="AD28" s="57"/>
      <c r="AE28" s="57"/>
      <c r="AF28" s="57"/>
      <c r="AG28" s="57"/>
      <c r="AH28" s="57"/>
      <c r="AI28" s="57"/>
    </row>
    <row r="29" ht="14.25" customHeight="1">
      <c r="H29" s="62"/>
      <c r="I29" s="62"/>
      <c r="J29" s="62" t="s">
        <v>216</v>
      </c>
      <c r="K29" s="62">
        <v>9.0</v>
      </c>
    </row>
    <row r="30" ht="14.25" customHeight="1">
      <c r="H30" s="62"/>
      <c r="I30" s="62"/>
      <c r="J30" s="62" t="s">
        <v>217</v>
      </c>
      <c r="K30" s="62">
        <v>1.0</v>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I28">
      <formula1>"Ada,Belum Ada,Proses,Belum mengurus"</formula1>
    </dataValidation>
    <dataValidation type="list" allowBlank="1" showErrorMessage="1" sqref="G5:G6">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4.71"/>
    <col customWidth="1" min="3" max="3" width="34.43"/>
    <col customWidth="1" min="4" max="4" width="11.86"/>
    <col customWidth="1" min="5" max="5" width="19.29"/>
    <col customWidth="1" min="6" max="7" width="15.86"/>
    <col customWidth="1" min="8" max="11" width="21.14"/>
    <col customWidth="1" min="12" max="17" width="30.86"/>
    <col customWidth="1" min="18" max="18" width="28.57"/>
    <col customWidth="1" min="19" max="19" width="28.86"/>
    <col customWidth="1" min="20" max="20" width="29.14"/>
    <col customWidth="1" min="21" max="21" width="29.0"/>
    <col customWidth="1" min="22" max="22" width="29.43"/>
    <col customWidth="1" min="23" max="24" width="26.43"/>
    <col customWidth="1" min="25" max="25" width="18.43"/>
    <col customWidth="1" min="26" max="26" width="15.86"/>
    <col customWidth="1" min="27" max="27" width="15.57"/>
    <col customWidth="1" min="28" max="28" width="15.14"/>
    <col customWidth="1" min="29" max="29" width="15.29"/>
    <col customWidth="1" min="30" max="30" width="16.43"/>
    <col customWidth="1" min="31" max="31" width="18.29"/>
    <col customWidth="1" min="32" max="32" width="16.14"/>
    <col customWidth="1" min="33" max="33" width="20.29"/>
    <col customWidth="1" min="34" max="34" width="17.0"/>
    <col customWidth="1" min="35" max="35" width="11.14"/>
  </cols>
  <sheetData>
    <row r="1" ht="14.25" customHeight="1">
      <c r="G1" s="3"/>
      <c r="L1" s="63" t="s">
        <v>1</v>
      </c>
    </row>
    <row r="2" ht="14.25" customHeight="1">
      <c r="G2" s="3"/>
      <c r="L2" s="64" t="s">
        <v>2</v>
      </c>
    </row>
    <row r="3" ht="14.25" customHeight="1">
      <c r="G3" s="3"/>
    </row>
    <row r="4" ht="40.5" customHeight="1">
      <c r="A4" s="65" t="s">
        <v>3</v>
      </c>
      <c r="B4" s="65" t="s">
        <v>4</v>
      </c>
      <c r="C4" s="65" t="s">
        <v>5</v>
      </c>
      <c r="D4" s="65" t="s">
        <v>6</v>
      </c>
      <c r="E4" s="65" t="s">
        <v>7</v>
      </c>
      <c r="F4" s="65" t="s">
        <v>8</v>
      </c>
      <c r="G4" s="65" t="s">
        <v>9</v>
      </c>
      <c r="H4" s="65" t="s">
        <v>10</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58.5" customHeight="1">
      <c r="A5" s="67">
        <v>1.0</v>
      </c>
      <c r="B5" s="68" t="s">
        <v>601</v>
      </c>
      <c r="C5" s="68" t="s">
        <v>602</v>
      </c>
      <c r="D5" s="67" t="s">
        <v>603</v>
      </c>
      <c r="E5" s="95" t="s">
        <v>604</v>
      </c>
      <c r="F5" s="67" t="s">
        <v>605</v>
      </c>
      <c r="G5" s="68" t="s">
        <v>43</v>
      </c>
      <c r="H5" s="67" t="s">
        <v>606</v>
      </c>
      <c r="I5" s="67" t="s">
        <v>44</v>
      </c>
      <c r="J5" s="67" t="s">
        <v>607</v>
      </c>
      <c r="K5" s="105" t="s">
        <v>608</v>
      </c>
      <c r="L5" s="76">
        <v>2269.0</v>
      </c>
      <c r="M5" s="68">
        <v>0.0</v>
      </c>
      <c r="N5" s="68">
        <v>0.0</v>
      </c>
      <c r="O5" s="68">
        <v>0.0</v>
      </c>
      <c r="P5" s="68">
        <v>0.0</v>
      </c>
      <c r="Q5" s="67" t="s">
        <v>609</v>
      </c>
      <c r="R5" s="67" t="s">
        <v>610</v>
      </c>
      <c r="S5" s="67" t="s">
        <v>611</v>
      </c>
      <c r="T5" s="90" t="s">
        <v>612</v>
      </c>
      <c r="U5" s="90" t="s">
        <v>613</v>
      </c>
      <c r="V5" s="90" t="s">
        <v>614</v>
      </c>
      <c r="W5" s="68">
        <v>0.0</v>
      </c>
      <c r="X5" s="68">
        <v>0.0</v>
      </c>
      <c r="Y5" s="68"/>
      <c r="Z5" s="68" t="s">
        <v>54</v>
      </c>
      <c r="AA5" s="76" t="s">
        <v>54</v>
      </c>
      <c r="AB5" s="76" t="s">
        <v>54</v>
      </c>
      <c r="AC5" s="76" t="s">
        <v>54</v>
      </c>
      <c r="AD5" s="76" t="s">
        <v>54</v>
      </c>
      <c r="AE5" s="76" t="s">
        <v>146</v>
      </c>
      <c r="AF5" s="76" t="s">
        <v>146</v>
      </c>
      <c r="AG5" s="76" t="s">
        <v>54</v>
      </c>
      <c r="AH5" s="76" t="s">
        <v>146</v>
      </c>
      <c r="AI5" s="76" t="s">
        <v>54</v>
      </c>
    </row>
    <row r="6" ht="14.25" customHeight="1">
      <c r="A6" s="68"/>
      <c r="B6" s="68"/>
      <c r="C6" s="68"/>
      <c r="D6" s="68"/>
      <c r="E6" s="68"/>
      <c r="F6" s="68"/>
      <c r="G6" s="68"/>
      <c r="H6" s="68"/>
      <c r="I6" s="68"/>
      <c r="J6" s="68"/>
      <c r="K6" s="68"/>
      <c r="L6" s="68"/>
      <c r="M6" s="68">
        <v>0.0</v>
      </c>
      <c r="N6" s="68">
        <v>0.0</v>
      </c>
      <c r="O6" s="68">
        <v>0.0</v>
      </c>
      <c r="P6" s="68">
        <v>0.0</v>
      </c>
      <c r="Q6" s="68">
        <v>747.0</v>
      </c>
      <c r="R6" s="68">
        <v>599.0</v>
      </c>
      <c r="S6" s="68">
        <v>548.0</v>
      </c>
      <c r="T6" s="76">
        <v>36.0</v>
      </c>
      <c r="U6" s="76">
        <v>76.0</v>
      </c>
      <c r="V6" s="76">
        <v>263.0</v>
      </c>
      <c r="W6" s="68">
        <v>0.0</v>
      </c>
      <c r="X6" s="68">
        <v>0.0</v>
      </c>
      <c r="Y6" s="68"/>
      <c r="Z6" s="68"/>
      <c r="AA6" s="68"/>
      <c r="AB6" s="68"/>
      <c r="AC6" s="68"/>
      <c r="AD6" s="68"/>
      <c r="AE6" s="68"/>
      <c r="AF6" s="68"/>
      <c r="AG6" s="68"/>
      <c r="AH6" s="68"/>
      <c r="AI6" s="68"/>
    </row>
    <row r="7" ht="291.0" customHeight="1">
      <c r="A7" s="67">
        <v>2.0</v>
      </c>
      <c r="B7" s="68" t="s">
        <v>615</v>
      </c>
      <c r="C7" s="68" t="s">
        <v>616</v>
      </c>
      <c r="D7" s="68" t="s">
        <v>617</v>
      </c>
      <c r="E7" s="106" t="s">
        <v>618</v>
      </c>
      <c r="F7" s="68" t="s">
        <v>619</v>
      </c>
      <c r="G7" s="68" t="s">
        <v>43</v>
      </c>
      <c r="H7" s="67" t="s">
        <v>620</v>
      </c>
      <c r="I7" s="67" t="s">
        <v>44</v>
      </c>
      <c r="J7" s="67" t="s">
        <v>621</v>
      </c>
      <c r="K7" s="105" t="s">
        <v>622</v>
      </c>
      <c r="L7" s="68">
        <v>2749.0</v>
      </c>
      <c r="M7" s="102" t="s">
        <v>623</v>
      </c>
      <c r="N7" s="102" t="s">
        <v>624</v>
      </c>
      <c r="O7" s="102" t="s">
        <v>625</v>
      </c>
      <c r="P7" s="102" t="s">
        <v>626</v>
      </c>
      <c r="Q7" s="102" t="s">
        <v>627</v>
      </c>
      <c r="R7" s="102" t="s">
        <v>628</v>
      </c>
      <c r="S7" s="102" t="s">
        <v>629</v>
      </c>
      <c r="T7" s="102" t="s">
        <v>630</v>
      </c>
      <c r="U7" s="102" t="s">
        <v>631</v>
      </c>
      <c r="V7" s="102" t="s">
        <v>632</v>
      </c>
      <c r="W7" s="68"/>
      <c r="X7" s="68"/>
      <c r="Y7" s="69"/>
      <c r="Z7" s="68"/>
      <c r="AA7" s="68"/>
      <c r="AB7" s="68"/>
      <c r="AC7" s="68"/>
      <c r="AD7" s="68"/>
      <c r="AE7" s="68"/>
      <c r="AF7" s="68"/>
      <c r="AG7" s="68"/>
      <c r="AH7" s="68"/>
      <c r="AI7" s="68"/>
    </row>
    <row r="8" ht="1.5" customHeight="1">
      <c r="A8" s="67"/>
      <c r="B8" s="68"/>
      <c r="C8" s="68"/>
      <c r="D8" s="67"/>
      <c r="E8" s="67"/>
      <c r="F8" s="67"/>
      <c r="G8" s="68"/>
      <c r="H8" s="67"/>
      <c r="I8" s="67"/>
      <c r="J8" s="67"/>
      <c r="K8" s="68"/>
      <c r="L8" s="68"/>
      <c r="M8" s="68">
        <v>25.0</v>
      </c>
      <c r="N8" s="107">
        <v>118.0</v>
      </c>
      <c r="O8" s="107">
        <v>28.0</v>
      </c>
      <c r="P8" s="107">
        <v>39.0</v>
      </c>
      <c r="Q8" s="107">
        <v>1237.0</v>
      </c>
      <c r="R8" s="107">
        <v>1028.0</v>
      </c>
      <c r="S8" s="107">
        <v>352.0</v>
      </c>
      <c r="T8" s="107">
        <v>37.0</v>
      </c>
      <c r="U8" s="107">
        <v>71.0</v>
      </c>
      <c r="V8" s="68">
        <v>282.0</v>
      </c>
      <c r="W8" s="68"/>
      <c r="X8" s="68"/>
      <c r="Y8" s="69"/>
      <c r="Z8" s="68"/>
      <c r="AA8" s="68"/>
      <c r="AB8" s="68"/>
      <c r="AC8" s="68"/>
      <c r="AD8" s="68"/>
      <c r="AE8" s="68"/>
      <c r="AF8" s="68"/>
      <c r="AG8" s="68"/>
      <c r="AH8" s="68"/>
      <c r="AI8" s="68"/>
    </row>
    <row r="9" ht="66.75" customHeight="1">
      <c r="A9" s="68">
        <v>3.0</v>
      </c>
      <c r="B9" s="68" t="s">
        <v>633</v>
      </c>
      <c r="C9" s="68" t="s">
        <v>634</v>
      </c>
      <c r="D9" s="67" t="s">
        <v>635</v>
      </c>
      <c r="E9" s="67" t="s">
        <v>636</v>
      </c>
      <c r="F9" s="67" t="s">
        <v>637</v>
      </c>
      <c r="G9" s="68" t="s">
        <v>43</v>
      </c>
      <c r="H9" s="67"/>
      <c r="I9" s="67" t="s">
        <v>416</v>
      </c>
      <c r="J9" s="67" t="s">
        <v>638</v>
      </c>
      <c r="K9" s="68" t="s">
        <v>639</v>
      </c>
      <c r="L9" s="67">
        <v>3320.0</v>
      </c>
      <c r="M9" s="67" t="s">
        <v>640</v>
      </c>
      <c r="N9" s="67" t="s">
        <v>641</v>
      </c>
      <c r="O9" s="67" t="s">
        <v>642</v>
      </c>
      <c r="P9" s="67" t="s">
        <v>643</v>
      </c>
      <c r="Q9" s="67" t="s">
        <v>644</v>
      </c>
      <c r="R9" s="67" t="s">
        <v>645</v>
      </c>
      <c r="S9" s="67" t="s">
        <v>646</v>
      </c>
      <c r="T9" s="67" t="s">
        <v>647</v>
      </c>
      <c r="U9" s="67" t="s">
        <v>648</v>
      </c>
      <c r="V9" s="67" t="s">
        <v>649</v>
      </c>
      <c r="W9" s="67">
        <v>0.0</v>
      </c>
      <c r="X9" s="67">
        <v>0.0</v>
      </c>
      <c r="Y9" s="67"/>
      <c r="Z9" s="68"/>
      <c r="AA9" s="68"/>
      <c r="AB9" s="68"/>
      <c r="AC9" s="68"/>
      <c r="AD9" s="68"/>
      <c r="AE9" s="68"/>
      <c r="AF9" s="68"/>
      <c r="AG9" s="68"/>
      <c r="AH9" s="68"/>
      <c r="AI9" s="68"/>
    </row>
    <row r="10" ht="15.0" customHeight="1">
      <c r="A10" s="68"/>
      <c r="B10" s="68"/>
      <c r="C10" s="68"/>
      <c r="D10" s="68"/>
      <c r="E10" s="68"/>
      <c r="F10" s="68"/>
      <c r="G10" s="68"/>
      <c r="H10" s="68"/>
      <c r="I10" s="68"/>
      <c r="J10" s="68"/>
      <c r="K10" s="68"/>
      <c r="L10" s="68"/>
      <c r="M10" s="68">
        <v>0.0</v>
      </c>
      <c r="N10" s="68"/>
      <c r="O10" s="68"/>
      <c r="P10" s="68" t="s">
        <v>650</v>
      </c>
      <c r="Q10" s="68"/>
      <c r="R10" s="68"/>
      <c r="S10" s="68"/>
      <c r="T10" s="68"/>
      <c r="U10" s="68"/>
      <c r="V10" s="68"/>
      <c r="W10" s="68"/>
      <c r="X10" s="68"/>
      <c r="Y10" s="68"/>
      <c r="Z10" s="68"/>
      <c r="AA10" s="68"/>
      <c r="AB10" s="68"/>
      <c r="AC10" s="68"/>
      <c r="AD10" s="68"/>
      <c r="AE10" s="68"/>
      <c r="AF10" s="68"/>
      <c r="AG10" s="68"/>
      <c r="AH10" s="68"/>
      <c r="AI10" s="68"/>
    </row>
    <row r="11" ht="14.25" customHeight="1">
      <c r="A11" s="68">
        <v>4.0</v>
      </c>
      <c r="B11" s="68" t="s">
        <v>651</v>
      </c>
      <c r="C11" s="68" t="s">
        <v>652</v>
      </c>
      <c r="D11" s="68" t="s">
        <v>653</v>
      </c>
      <c r="E11" s="68" t="s">
        <v>654</v>
      </c>
      <c r="F11" s="68" t="s">
        <v>655</v>
      </c>
      <c r="G11" s="68" t="s">
        <v>43</v>
      </c>
      <c r="H11" s="67"/>
      <c r="I11" s="67" t="s">
        <v>416</v>
      </c>
      <c r="J11" s="67" t="s">
        <v>656</v>
      </c>
      <c r="K11" s="80" t="s">
        <v>657</v>
      </c>
      <c r="L11" s="68">
        <v>2572.0</v>
      </c>
      <c r="M11" s="68" t="s">
        <v>658</v>
      </c>
      <c r="N11" s="68" t="s">
        <v>659</v>
      </c>
      <c r="O11" s="68" t="s">
        <v>660</v>
      </c>
      <c r="P11" s="108" t="s">
        <v>661</v>
      </c>
      <c r="Q11" s="68" t="s">
        <v>662</v>
      </c>
      <c r="R11" s="68" t="s">
        <v>663</v>
      </c>
      <c r="S11" s="68" t="s">
        <v>664</v>
      </c>
      <c r="T11" s="68">
        <v>0.0</v>
      </c>
      <c r="U11" s="68">
        <v>0.0</v>
      </c>
      <c r="V11" s="68"/>
      <c r="W11" s="68" t="s">
        <v>665</v>
      </c>
      <c r="X11" s="68">
        <v>0.0</v>
      </c>
      <c r="Y11" s="68"/>
      <c r="Z11" s="68"/>
      <c r="AA11" s="68"/>
      <c r="AB11" s="68"/>
      <c r="AC11" s="68"/>
      <c r="AD11" s="68"/>
      <c r="AE11" s="68"/>
      <c r="AF11" s="68"/>
      <c r="AG11" s="68"/>
      <c r="AH11" s="68"/>
      <c r="AI11" s="68"/>
    </row>
    <row r="12" ht="14.25" customHeight="1">
      <c r="A12" s="68"/>
      <c r="B12" s="68"/>
      <c r="C12" s="68"/>
      <c r="D12" s="68"/>
      <c r="E12" s="68"/>
      <c r="F12" s="68"/>
      <c r="G12" s="68"/>
      <c r="H12" s="68"/>
      <c r="I12" s="68"/>
      <c r="J12" s="68"/>
      <c r="K12" s="68"/>
      <c r="L12" s="68"/>
      <c r="M12" s="68"/>
      <c r="N12" s="68"/>
      <c r="O12" s="68"/>
      <c r="P12" s="68" t="s">
        <v>666</v>
      </c>
      <c r="Q12" s="68"/>
      <c r="R12" s="68"/>
      <c r="S12" s="68"/>
      <c r="T12" s="68"/>
      <c r="U12" s="68"/>
      <c r="V12" s="68"/>
      <c r="W12" s="68"/>
      <c r="X12" s="68"/>
      <c r="Y12" s="68"/>
      <c r="Z12" s="68"/>
      <c r="AA12" s="68"/>
      <c r="AB12" s="68"/>
      <c r="AC12" s="68"/>
      <c r="AD12" s="68"/>
      <c r="AE12" s="68"/>
      <c r="AF12" s="68"/>
      <c r="AG12" s="68"/>
      <c r="AH12" s="68"/>
      <c r="AI12" s="68"/>
    </row>
    <row r="13" ht="14.25" customHeight="1">
      <c r="A13" s="68">
        <v>5.0</v>
      </c>
      <c r="B13" s="68" t="s">
        <v>667</v>
      </c>
      <c r="C13" s="68" t="s">
        <v>668</v>
      </c>
      <c r="D13" s="68" t="s">
        <v>669</v>
      </c>
      <c r="E13" s="68" t="s">
        <v>670</v>
      </c>
      <c r="F13" s="68" t="s">
        <v>671</v>
      </c>
      <c r="G13" s="68" t="s">
        <v>43</v>
      </c>
      <c r="H13" s="67"/>
      <c r="I13" s="67" t="s">
        <v>72</v>
      </c>
      <c r="J13" s="67" t="s">
        <v>672</v>
      </c>
      <c r="K13" s="80" t="s">
        <v>673</v>
      </c>
      <c r="L13" s="68">
        <v>1755.0</v>
      </c>
      <c r="M13" s="68">
        <v>0.0</v>
      </c>
      <c r="N13" s="68" t="s">
        <v>674</v>
      </c>
      <c r="O13" s="68"/>
      <c r="P13" s="68" t="s">
        <v>675</v>
      </c>
      <c r="Q13" s="68"/>
      <c r="R13" s="68" t="s">
        <v>676</v>
      </c>
      <c r="S13" s="68" t="s">
        <v>677</v>
      </c>
      <c r="T13" s="68">
        <v>0.0</v>
      </c>
      <c r="U13" s="68">
        <v>0.0</v>
      </c>
      <c r="V13" s="68"/>
      <c r="W13" s="68">
        <v>0.0</v>
      </c>
      <c r="X13" s="68">
        <v>0.0</v>
      </c>
      <c r="Y13" s="68"/>
      <c r="Z13" s="68"/>
      <c r="AA13" s="68"/>
      <c r="AB13" s="68"/>
      <c r="AC13" s="68"/>
      <c r="AD13" s="68"/>
      <c r="AE13" s="68"/>
      <c r="AF13" s="68"/>
      <c r="AG13" s="68"/>
      <c r="AH13" s="68"/>
      <c r="AI13" s="68"/>
    </row>
    <row r="14" ht="14.25" customHeight="1">
      <c r="A14" s="68"/>
      <c r="B14" s="68"/>
      <c r="C14" s="83"/>
      <c r="D14" s="68"/>
      <c r="E14" s="68"/>
      <c r="F14" s="68"/>
      <c r="G14" s="83"/>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row>
    <row r="15" ht="14.25" customHeight="1">
      <c r="A15" s="68">
        <v>6.0</v>
      </c>
      <c r="B15" s="68" t="s">
        <v>678</v>
      </c>
      <c r="C15" s="68" t="s">
        <v>679</v>
      </c>
      <c r="D15" s="68" t="s">
        <v>680</v>
      </c>
      <c r="E15" s="68" t="s">
        <v>681</v>
      </c>
      <c r="F15" s="68" t="s">
        <v>682</v>
      </c>
      <c r="G15" s="68" t="s">
        <v>43</v>
      </c>
      <c r="H15" s="86">
        <v>46125.0</v>
      </c>
      <c r="I15" s="68" t="s">
        <v>44</v>
      </c>
      <c r="J15" s="68" t="s">
        <v>683</v>
      </c>
      <c r="K15" s="68">
        <v>8.2182603237E10</v>
      </c>
      <c r="L15" s="68">
        <v>1494.0</v>
      </c>
      <c r="M15" s="67" t="s">
        <v>684</v>
      </c>
      <c r="N15" s="68">
        <v>0.0</v>
      </c>
      <c r="O15" s="68">
        <v>0.0</v>
      </c>
      <c r="P15" s="68">
        <v>0.0</v>
      </c>
      <c r="Q15" s="67" t="s">
        <v>685</v>
      </c>
      <c r="R15" s="67" t="s">
        <v>686</v>
      </c>
      <c r="S15" s="68" t="s">
        <v>687</v>
      </c>
      <c r="T15" s="68" t="s">
        <v>688</v>
      </c>
      <c r="U15" s="68" t="s">
        <v>689</v>
      </c>
      <c r="V15" s="68" t="s">
        <v>690</v>
      </c>
      <c r="W15" s="68">
        <v>0.0</v>
      </c>
      <c r="X15" s="68">
        <v>0.0</v>
      </c>
      <c r="Y15" s="68"/>
      <c r="Z15" s="68"/>
      <c r="AA15" s="68"/>
      <c r="AB15" s="68"/>
      <c r="AC15" s="68"/>
      <c r="AD15" s="68"/>
      <c r="AE15" s="68"/>
      <c r="AF15" s="68"/>
      <c r="AG15" s="68"/>
      <c r="AH15" s="68"/>
      <c r="AI15" s="68"/>
    </row>
    <row r="16" ht="14.25" customHeight="1">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row>
    <row r="17" ht="14.25" customHeight="1">
      <c r="A17" s="68">
        <v>7.0</v>
      </c>
      <c r="B17" s="68" t="s">
        <v>691</v>
      </c>
      <c r="C17" s="68" t="s">
        <v>692</v>
      </c>
      <c r="D17" s="68" t="s">
        <v>693</v>
      </c>
      <c r="E17" s="68" t="s">
        <v>428</v>
      </c>
      <c r="F17" s="68" t="s">
        <v>694</v>
      </c>
      <c r="G17" s="68" t="s">
        <v>695</v>
      </c>
      <c r="H17" s="86">
        <v>46139.0</v>
      </c>
      <c r="I17" s="68" t="s">
        <v>696</v>
      </c>
      <c r="J17" s="68" t="s">
        <v>697</v>
      </c>
      <c r="K17" s="68">
        <v>8.2291347681E10</v>
      </c>
      <c r="L17" s="68">
        <v>1060.0</v>
      </c>
      <c r="M17" s="68"/>
      <c r="N17" s="67" t="s">
        <v>698</v>
      </c>
      <c r="O17" s="68"/>
      <c r="P17" s="67" t="s">
        <v>699</v>
      </c>
      <c r="Q17" s="67" t="s">
        <v>700</v>
      </c>
      <c r="R17" s="68"/>
      <c r="S17" s="68"/>
      <c r="T17" s="68"/>
      <c r="U17" s="68"/>
      <c r="V17" s="68"/>
      <c r="W17" s="68"/>
      <c r="X17" s="68"/>
      <c r="Y17" s="68"/>
      <c r="Z17" s="68"/>
      <c r="AA17" s="68"/>
      <c r="AB17" s="68"/>
      <c r="AC17" s="68"/>
      <c r="AD17" s="68"/>
      <c r="AE17" s="68"/>
      <c r="AF17" s="68"/>
      <c r="AG17" s="68"/>
      <c r="AH17" s="68"/>
      <c r="AI17" s="68"/>
    </row>
    <row r="18" ht="14.25" customHeight="1">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row>
    <row r="19" ht="14.25" customHeight="1">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row>
    <row r="20" ht="14.25" customHeight="1">
      <c r="G20" s="3"/>
      <c r="Z20" s="57"/>
      <c r="AA20" s="57"/>
      <c r="AB20" s="57"/>
      <c r="AC20" s="57"/>
      <c r="AD20" s="57"/>
      <c r="AE20" s="57"/>
      <c r="AF20" s="57"/>
      <c r="AG20" s="57"/>
      <c r="AH20" s="57"/>
      <c r="AI20" s="57"/>
    </row>
    <row r="21" ht="14.25" customHeight="1">
      <c r="G21" s="3"/>
      <c r="Z21" s="57"/>
      <c r="AA21" s="57"/>
      <c r="AB21" s="57"/>
      <c r="AC21" s="57"/>
      <c r="AD21" s="57"/>
      <c r="AE21" s="57"/>
      <c r="AF21" s="57"/>
      <c r="AG21" s="57"/>
      <c r="AH21" s="57"/>
      <c r="AI21" s="57"/>
    </row>
    <row r="22" ht="14.25" customHeight="1">
      <c r="G22" s="3"/>
      <c r="Z22" s="57"/>
      <c r="AA22" s="57"/>
      <c r="AB22" s="57"/>
      <c r="AC22" s="57"/>
      <c r="AD22" s="57"/>
      <c r="AE22" s="57"/>
      <c r="AF22" s="57"/>
      <c r="AG22" s="57"/>
      <c r="AH22" s="57"/>
      <c r="AI22" s="57"/>
    </row>
    <row r="23" ht="14.25" customHeight="1">
      <c r="G23" s="3"/>
      <c r="Z23" s="57"/>
      <c r="AA23" s="57"/>
      <c r="AB23" s="57"/>
      <c r="AC23" s="57"/>
      <c r="AD23" s="57"/>
      <c r="AE23" s="57"/>
      <c r="AF23" s="57"/>
      <c r="AG23" s="57"/>
      <c r="AH23" s="57"/>
      <c r="AI23" s="57"/>
    </row>
    <row r="24" ht="14.25" customHeight="1">
      <c r="C24" s="62" t="s">
        <v>216</v>
      </c>
      <c r="D24" s="62">
        <v>6.0</v>
      </c>
      <c r="G24" s="3"/>
      <c r="Z24" s="57"/>
      <c r="AA24" s="57"/>
      <c r="AB24" s="57"/>
      <c r="AC24" s="57"/>
      <c r="AD24" s="57"/>
      <c r="AE24" s="57"/>
      <c r="AF24" s="57"/>
      <c r="AG24" s="57"/>
      <c r="AH24" s="57"/>
      <c r="AI24" s="57"/>
    </row>
    <row r="25" ht="14.25" customHeight="1">
      <c r="C25" s="62" t="s">
        <v>217</v>
      </c>
      <c r="D25" s="62">
        <v>1.0</v>
      </c>
      <c r="G25" s="3"/>
      <c r="Z25" s="57"/>
      <c r="AA25" s="57"/>
      <c r="AB25" s="57"/>
      <c r="AC25" s="57"/>
      <c r="AD25" s="57"/>
      <c r="AE25" s="57"/>
      <c r="AF25" s="57"/>
      <c r="AG25" s="57"/>
      <c r="AH25" s="57"/>
      <c r="AI25" s="57"/>
    </row>
    <row r="26" ht="14.25" customHeight="1">
      <c r="G26" s="3"/>
      <c r="Z26" s="57"/>
      <c r="AA26" s="57"/>
      <c r="AB26" s="57"/>
      <c r="AC26" s="57"/>
      <c r="AD26" s="57"/>
      <c r="AE26" s="57"/>
      <c r="AF26" s="57"/>
      <c r="AG26" s="57"/>
      <c r="AH26" s="57"/>
      <c r="AI26" s="57"/>
    </row>
    <row r="27" ht="14.25" customHeight="1">
      <c r="G27" s="3"/>
      <c r="Z27" s="57"/>
      <c r="AA27" s="57"/>
      <c r="AB27" s="57"/>
      <c r="AC27" s="57"/>
      <c r="AD27" s="57"/>
      <c r="AE27" s="57"/>
      <c r="AF27" s="57"/>
      <c r="AG27" s="57"/>
      <c r="AH27" s="57"/>
      <c r="AI27" s="57"/>
    </row>
    <row r="28" ht="14.25" customHeight="1">
      <c r="G28" s="3"/>
      <c r="Z28" s="57"/>
      <c r="AA28" s="57"/>
      <c r="AB28" s="57"/>
      <c r="AC28" s="57"/>
      <c r="AD28" s="57"/>
      <c r="AE28" s="57"/>
      <c r="AF28" s="57"/>
      <c r="AG28" s="57"/>
      <c r="AH28" s="57"/>
      <c r="AI28" s="57"/>
    </row>
    <row r="29" ht="14.25" customHeight="1">
      <c r="G29" s="3"/>
    </row>
    <row r="30" ht="14.25" customHeight="1">
      <c r="G30" s="3"/>
    </row>
    <row r="31" ht="14.25" customHeight="1">
      <c r="G31" s="3"/>
    </row>
    <row r="32" ht="14.25" customHeight="1">
      <c r="G32" s="3"/>
    </row>
    <row r="33" ht="14.25" customHeight="1">
      <c r="G33" s="3"/>
    </row>
    <row r="34" ht="14.25" customHeight="1">
      <c r="G34" s="3"/>
    </row>
    <row r="35" ht="14.25" customHeight="1">
      <c r="G35" s="3"/>
    </row>
    <row r="36" ht="14.25" customHeight="1">
      <c r="G36" s="3"/>
    </row>
    <row r="37" ht="14.25" customHeight="1">
      <c r="G37" s="3"/>
    </row>
    <row r="38" ht="14.25" customHeight="1">
      <c r="G38" s="3"/>
    </row>
    <row r="39" ht="14.25" customHeight="1">
      <c r="G39" s="3"/>
    </row>
    <row r="40" ht="14.25" customHeight="1">
      <c r="G40" s="3"/>
    </row>
    <row r="41" ht="14.25" customHeight="1">
      <c r="G41" s="3"/>
    </row>
    <row r="42" ht="14.25" customHeight="1">
      <c r="G42" s="3"/>
    </row>
    <row r="43" ht="14.25" customHeight="1">
      <c r="G43" s="3"/>
    </row>
    <row r="44" ht="14.25" customHeight="1">
      <c r="G44" s="3"/>
    </row>
    <row r="45" ht="14.25" customHeight="1">
      <c r="G45" s="3"/>
    </row>
    <row r="46" ht="14.25" customHeight="1">
      <c r="G46" s="3"/>
    </row>
    <row r="47" ht="14.25" customHeight="1">
      <c r="G47" s="3"/>
    </row>
    <row r="48" ht="14.25" customHeight="1">
      <c r="G48" s="3"/>
    </row>
    <row r="49" ht="14.25" customHeight="1">
      <c r="G49" s="3"/>
    </row>
    <row r="50" ht="14.25" customHeight="1">
      <c r="G50" s="3"/>
    </row>
    <row r="51" ht="14.25" customHeight="1">
      <c r="G51" s="3"/>
    </row>
    <row r="52" ht="14.25" customHeight="1">
      <c r="G52" s="3"/>
    </row>
    <row r="53" ht="14.25" customHeight="1">
      <c r="G53" s="3"/>
    </row>
    <row r="54" ht="14.25" customHeight="1">
      <c r="G54" s="3"/>
    </row>
    <row r="55" ht="14.25" customHeight="1">
      <c r="G55" s="3"/>
    </row>
    <row r="56" ht="14.25" customHeight="1">
      <c r="G56" s="3"/>
    </row>
    <row r="57" ht="14.25" customHeight="1">
      <c r="G57" s="3"/>
    </row>
    <row r="58" ht="14.25" customHeight="1">
      <c r="G58" s="3"/>
    </row>
    <row r="59" ht="14.25" customHeight="1">
      <c r="G59" s="3"/>
    </row>
    <row r="60" ht="14.25" customHeight="1">
      <c r="G60" s="3"/>
    </row>
    <row r="61" ht="14.25" customHeight="1">
      <c r="G61" s="3"/>
    </row>
    <row r="62" ht="14.25" customHeight="1">
      <c r="G62" s="3"/>
    </row>
    <row r="63" ht="14.25" customHeight="1">
      <c r="G63" s="3"/>
    </row>
    <row r="64" ht="14.25" customHeight="1">
      <c r="G64" s="3"/>
    </row>
    <row r="65" ht="14.25" customHeight="1">
      <c r="G65" s="3"/>
    </row>
    <row r="66" ht="14.25" customHeight="1">
      <c r="G66" s="3"/>
    </row>
    <row r="67" ht="14.25" customHeight="1">
      <c r="G67" s="3"/>
    </row>
    <row r="68" ht="14.25" customHeight="1">
      <c r="G68" s="3"/>
    </row>
    <row r="69" ht="14.25" customHeight="1">
      <c r="G69" s="3"/>
    </row>
    <row r="70" ht="14.25" customHeight="1">
      <c r="G70" s="3"/>
    </row>
    <row r="71" ht="14.25" customHeight="1">
      <c r="G71" s="3"/>
    </row>
    <row r="72" ht="14.25" customHeight="1">
      <c r="G72" s="3"/>
    </row>
    <row r="73" ht="14.25" customHeight="1">
      <c r="G73" s="3"/>
    </row>
    <row r="74" ht="14.25" customHeight="1">
      <c r="G74" s="3"/>
    </row>
    <row r="75" ht="14.25" customHeight="1">
      <c r="G75" s="3"/>
    </row>
    <row r="76" ht="14.25" customHeight="1">
      <c r="G76" s="3"/>
    </row>
    <row r="77" ht="14.25" customHeight="1">
      <c r="G77" s="3"/>
    </row>
    <row r="78" ht="14.25" customHeight="1">
      <c r="G78" s="3"/>
    </row>
    <row r="79" ht="14.25" customHeight="1">
      <c r="G79" s="3"/>
    </row>
    <row r="80" ht="14.25" customHeight="1">
      <c r="G80" s="3"/>
    </row>
    <row r="81" ht="14.25" customHeight="1">
      <c r="G81" s="3"/>
    </row>
    <row r="82" ht="14.25" customHeight="1">
      <c r="G82" s="3"/>
    </row>
    <row r="83" ht="14.25" customHeight="1">
      <c r="G83" s="3"/>
    </row>
    <row r="84" ht="14.25" customHeight="1">
      <c r="G84" s="3"/>
    </row>
    <row r="85" ht="14.25" customHeight="1">
      <c r="G85" s="3"/>
    </row>
    <row r="86" ht="14.25" customHeight="1">
      <c r="G86" s="3"/>
    </row>
    <row r="87" ht="14.25" customHeight="1">
      <c r="G87" s="3"/>
    </row>
    <row r="88" ht="14.25" customHeight="1">
      <c r="G88" s="3"/>
    </row>
    <row r="89" ht="14.25" customHeight="1">
      <c r="G89" s="3"/>
    </row>
    <row r="90" ht="14.25" customHeight="1">
      <c r="G90" s="3"/>
    </row>
    <row r="91" ht="14.25" customHeight="1">
      <c r="G91" s="3"/>
    </row>
    <row r="92" ht="14.25" customHeight="1">
      <c r="G92" s="3"/>
    </row>
    <row r="93" ht="14.25" customHeight="1">
      <c r="G93" s="3"/>
    </row>
    <row r="94" ht="14.25" customHeight="1">
      <c r="G94" s="3"/>
    </row>
    <row r="95" ht="14.25" customHeight="1">
      <c r="G95" s="3"/>
    </row>
    <row r="96" ht="14.25" customHeight="1">
      <c r="G96" s="3"/>
    </row>
    <row r="97" ht="14.25" customHeight="1">
      <c r="G97" s="3"/>
    </row>
    <row r="98" ht="14.25" customHeight="1">
      <c r="G98" s="3"/>
    </row>
    <row r="99" ht="14.25" customHeight="1">
      <c r="G99" s="3"/>
    </row>
    <row r="100" ht="14.25" customHeight="1">
      <c r="G100" s="3"/>
    </row>
    <row r="101" ht="14.25" customHeight="1">
      <c r="G101" s="3"/>
    </row>
    <row r="102" ht="14.25" customHeight="1">
      <c r="G102" s="3"/>
    </row>
    <row r="103" ht="14.25" customHeight="1">
      <c r="G103" s="3"/>
    </row>
    <row r="104" ht="14.25" customHeight="1">
      <c r="G104" s="3"/>
    </row>
    <row r="105" ht="14.25" customHeight="1">
      <c r="G105" s="3"/>
    </row>
    <row r="106" ht="14.25" customHeight="1">
      <c r="G106" s="3"/>
    </row>
    <row r="107" ht="14.25" customHeight="1">
      <c r="G107" s="3"/>
    </row>
    <row r="108" ht="14.25" customHeight="1">
      <c r="G108" s="3"/>
    </row>
    <row r="109" ht="14.25" customHeight="1">
      <c r="G109" s="3"/>
    </row>
    <row r="110" ht="14.25" customHeight="1">
      <c r="G110" s="3"/>
    </row>
    <row r="111" ht="14.25" customHeight="1">
      <c r="G111" s="3"/>
    </row>
    <row r="112" ht="14.25" customHeight="1">
      <c r="G112" s="3"/>
    </row>
    <row r="113" ht="14.25" customHeight="1">
      <c r="G113" s="3"/>
    </row>
    <row r="114" ht="14.25" customHeight="1">
      <c r="G114" s="3"/>
    </row>
    <row r="115" ht="14.25" customHeight="1">
      <c r="G115" s="3"/>
    </row>
    <row r="116" ht="14.25" customHeight="1">
      <c r="G116" s="3"/>
    </row>
    <row r="117" ht="14.25" customHeight="1">
      <c r="G117" s="3"/>
    </row>
    <row r="118" ht="14.25" customHeight="1">
      <c r="G118" s="3"/>
    </row>
    <row r="119" ht="14.25" customHeight="1">
      <c r="G119" s="3"/>
    </row>
    <row r="120" ht="14.25" customHeight="1">
      <c r="G120" s="3"/>
    </row>
    <row r="121" ht="14.25" customHeight="1">
      <c r="G121" s="3"/>
    </row>
    <row r="122" ht="14.25" customHeight="1">
      <c r="G122" s="3"/>
    </row>
    <row r="123" ht="14.25" customHeight="1">
      <c r="G123" s="3"/>
    </row>
    <row r="124" ht="14.25" customHeight="1">
      <c r="G124" s="3"/>
    </row>
    <row r="125" ht="14.25" customHeight="1">
      <c r="G125" s="3"/>
    </row>
    <row r="126" ht="14.25" customHeight="1">
      <c r="G126" s="3"/>
    </row>
    <row r="127" ht="14.25" customHeight="1">
      <c r="G127" s="3"/>
    </row>
    <row r="128" ht="14.25" customHeight="1">
      <c r="G128" s="3"/>
    </row>
    <row r="129" ht="14.25" customHeight="1">
      <c r="G129" s="3"/>
    </row>
    <row r="130" ht="14.25" customHeight="1">
      <c r="G130" s="3"/>
    </row>
    <row r="131" ht="14.25" customHeight="1">
      <c r="G131" s="3"/>
    </row>
    <row r="132" ht="14.25" customHeight="1">
      <c r="G132" s="3"/>
    </row>
    <row r="133" ht="14.25" customHeight="1">
      <c r="G133" s="3"/>
    </row>
    <row r="134" ht="14.25" customHeight="1">
      <c r="G134" s="3"/>
    </row>
    <row r="135" ht="14.25" customHeight="1">
      <c r="G135" s="3"/>
    </row>
    <row r="136" ht="14.25" customHeight="1">
      <c r="G136" s="3"/>
    </row>
    <row r="137" ht="14.25" customHeight="1">
      <c r="G137" s="3"/>
    </row>
    <row r="138" ht="14.25" customHeight="1">
      <c r="G138" s="3"/>
    </row>
    <row r="139" ht="14.25" customHeight="1">
      <c r="G139" s="3"/>
    </row>
    <row r="140" ht="14.25" customHeight="1">
      <c r="G140" s="3"/>
    </row>
    <row r="141" ht="14.25" customHeight="1">
      <c r="G141" s="3"/>
    </row>
    <row r="142" ht="14.25" customHeight="1">
      <c r="G142" s="3"/>
    </row>
    <row r="143" ht="14.25" customHeight="1">
      <c r="G143" s="3"/>
    </row>
    <row r="144" ht="14.25" customHeight="1">
      <c r="G144" s="3"/>
    </row>
    <row r="145" ht="14.25" customHeight="1">
      <c r="G145" s="3"/>
    </row>
    <row r="146" ht="14.25" customHeight="1">
      <c r="G146" s="3"/>
    </row>
    <row r="147" ht="14.25" customHeight="1">
      <c r="G147" s="3"/>
    </row>
    <row r="148" ht="14.25" customHeight="1">
      <c r="G148" s="3"/>
    </row>
    <row r="149" ht="14.25" customHeight="1">
      <c r="G149" s="3"/>
    </row>
    <row r="150" ht="14.25" customHeight="1">
      <c r="G150" s="3"/>
    </row>
    <row r="151" ht="14.25" customHeight="1">
      <c r="G151" s="3"/>
    </row>
    <row r="152" ht="14.25" customHeight="1">
      <c r="G152" s="3"/>
    </row>
    <row r="153" ht="14.25" customHeight="1">
      <c r="G153" s="3"/>
    </row>
    <row r="154" ht="14.25" customHeight="1">
      <c r="G154" s="3"/>
    </row>
    <row r="155" ht="14.25" customHeight="1">
      <c r="G155" s="3"/>
    </row>
    <row r="156" ht="14.25" customHeight="1">
      <c r="G156" s="3"/>
    </row>
    <row r="157" ht="14.25" customHeight="1">
      <c r="G157" s="3"/>
    </row>
    <row r="158" ht="14.25" customHeight="1">
      <c r="G158" s="3"/>
    </row>
    <row r="159" ht="14.25" customHeight="1">
      <c r="G159" s="3"/>
    </row>
    <row r="160" ht="14.25" customHeight="1">
      <c r="G160" s="3"/>
    </row>
    <row r="161" ht="14.25" customHeight="1">
      <c r="G161" s="3"/>
    </row>
    <row r="162" ht="14.25" customHeight="1">
      <c r="G162" s="3"/>
    </row>
    <row r="163" ht="14.25" customHeight="1">
      <c r="G163" s="3"/>
    </row>
    <row r="164" ht="14.25" customHeight="1">
      <c r="G164" s="3"/>
    </row>
    <row r="165" ht="14.25" customHeight="1">
      <c r="G165" s="3"/>
    </row>
    <row r="166" ht="14.25" customHeight="1">
      <c r="G166" s="3"/>
    </row>
    <row r="167" ht="14.25" customHeight="1">
      <c r="G167" s="3"/>
    </row>
    <row r="168" ht="14.25" customHeight="1">
      <c r="G168" s="3"/>
    </row>
    <row r="169" ht="14.25" customHeight="1">
      <c r="G169" s="3"/>
    </row>
    <row r="170" ht="14.25" customHeight="1">
      <c r="G170" s="3"/>
    </row>
    <row r="171" ht="14.25" customHeight="1">
      <c r="G171" s="3"/>
    </row>
    <row r="172" ht="14.25" customHeight="1">
      <c r="G172" s="3"/>
    </row>
    <row r="173" ht="14.25" customHeight="1">
      <c r="G173" s="3"/>
    </row>
    <row r="174" ht="14.25" customHeight="1">
      <c r="G174" s="3"/>
    </row>
    <row r="175" ht="14.25" customHeight="1">
      <c r="G175" s="3"/>
    </row>
    <row r="176" ht="14.25" customHeight="1">
      <c r="G176" s="3"/>
    </row>
    <row r="177" ht="14.25" customHeight="1">
      <c r="G177" s="3"/>
    </row>
    <row r="178" ht="14.25" customHeight="1">
      <c r="G178" s="3"/>
    </row>
    <row r="179" ht="14.25" customHeight="1">
      <c r="G179" s="3"/>
    </row>
    <row r="180" ht="14.25" customHeight="1">
      <c r="G180" s="3"/>
    </row>
    <row r="181" ht="14.25" customHeight="1">
      <c r="G181" s="3"/>
    </row>
    <row r="182" ht="14.25" customHeight="1">
      <c r="G182" s="3"/>
    </row>
    <row r="183" ht="14.25" customHeight="1">
      <c r="G183" s="3"/>
    </row>
    <row r="184" ht="14.25" customHeight="1">
      <c r="G184" s="3"/>
    </row>
    <row r="185" ht="14.25" customHeight="1">
      <c r="G185" s="3"/>
    </row>
    <row r="186" ht="14.25" customHeight="1">
      <c r="G186" s="3"/>
    </row>
    <row r="187" ht="14.25" customHeight="1">
      <c r="G187" s="3"/>
    </row>
    <row r="188" ht="14.25" customHeight="1">
      <c r="G188" s="3"/>
    </row>
    <row r="189" ht="14.25" customHeight="1">
      <c r="G189" s="3"/>
    </row>
    <row r="190" ht="14.25" customHeight="1">
      <c r="G190" s="3"/>
    </row>
    <row r="191" ht="14.25" customHeight="1">
      <c r="G191" s="3"/>
    </row>
    <row r="192" ht="14.25" customHeight="1">
      <c r="G192" s="3"/>
    </row>
    <row r="193" ht="14.25" customHeight="1">
      <c r="G193" s="3"/>
    </row>
    <row r="194" ht="14.25" customHeight="1">
      <c r="G194" s="3"/>
    </row>
    <row r="195" ht="14.25" customHeight="1">
      <c r="G195" s="3"/>
    </row>
    <row r="196" ht="14.25" customHeight="1">
      <c r="G196" s="3"/>
    </row>
    <row r="197" ht="14.25" customHeight="1">
      <c r="G197" s="3"/>
    </row>
    <row r="198" ht="14.25" customHeight="1">
      <c r="G198" s="3"/>
    </row>
    <row r="199" ht="14.25" customHeight="1">
      <c r="G199" s="3"/>
    </row>
    <row r="200" ht="14.25" customHeight="1">
      <c r="G200" s="3"/>
    </row>
    <row r="201" ht="14.25" customHeight="1">
      <c r="G201" s="3"/>
    </row>
    <row r="202" ht="14.25" customHeight="1">
      <c r="G202" s="3"/>
    </row>
    <row r="203" ht="14.25" customHeight="1">
      <c r="G203" s="3"/>
    </row>
    <row r="204" ht="14.25" customHeight="1">
      <c r="G204" s="3"/>
    </row>
    <row r="205" ht="14.25" customHeight="1">
      <c r="G205" s="3"/>
    </row>
    <row r="206" ht="14.25" customHeight="1">
      <c r="G206" s="3"/>
    </row>
    <row r="207" ht="14.25" customHeight="1">
      <c r="G207" s="3"/>
    </row>
    <row r="208" ht="14.25" customHeight="1">
      <c r="G208" s="3"/>
    </row>
    <row r="209" ht="14.25" customHeight="1">
      <c r="G209" s="3"/>
    </row>
    <row r="210" ht="14.25" customHeight="1">
      <c r="G210" s="3"/>
    </row>
    <row r="211" ht="14.25" customHeight="1">
      <c r="G211" s="3"/>
    </row>
    <row r="212" ht="14.25" customHeight="1">
      <c r="G212" s="3"/>
    </row>
    <row r="213" ht="14.25" customHeight="1">
      <c r="G213" s="3"/>
    </row>
    <row r="214" ht="14.25" customHeight="1">
      <c r="G214" s="3"/>
    </row>
    <row r="215" ht="14.25" customHeight="1">
      <c r="G215" s="3"/>
    </row>
    <row r="216" ht="14.25" customHeight="1">
      <c r="G216" s="3"/>
    </row>
    <row r="217" ht="14.25" customHeight="1">
      <c r="G217" s="3"/>
    </row>
    <row r="218" ht="14.25" customHeight="1">
      <c r="G218" s="3"/>
    </row>
    <row r="219" ht="14.25" customHeight="1">
      <c r="G219" s="3"/>
    </row>
    <row r="220" ht="14.25" customHeight="1">
      <c r="G220" s="3"/>
    </row>
    <row r="221" ht="14.25" customHeight="1">
      <c r="G221" s="3"/>
    </row>
    <row r="222" ht="14.25" customHeight="1">
      <c r="G222" s="3"/>
    </row>
    <row r="223" ht="14.25" customHeight="1">
      <c r="G223" s="3"/>
    </row>
    <row r="224" ht="14.25" customHeight="1">
      <c r="G224" s="3"/>
    </row>
    <row r="225" ht="14.25" customHeight="1">
      <c r="G225" s="3"/>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I28">
      <formula1>"Ada,Belum Ada,Proses,Belum mengurus"</formula1>
    </dataValidation>
    <dataValidation type="list" allowBlank="1" showErrorMessage="1" sqref="G5 G7 G9 G11 G13 G15">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8.71"/>
    <col customWidth="1" min="3" max="3" width="44.57"/>
    <col customWidth="1" min="4" max="4" width="11.86"/>
    <col customWidth="1" min="5" max="5" width="19.29"/>
    <col customWidth="1" min="6" max="6" width="15.86"/>
    <col customWidth="1" min="7" max="7" width="17.14"/>
    <col customWidth="1" min="8" max="11" width="21.14"/>
    <col customWidth="1" min="12" max="12" width="27.0"/>
    <col customWidth="1" min="13" max="13" width="32.86"/>
    <col customWidth="1" min="14" max="14" width="26.86"/>
    <col customWidth="1" min="15" max="15" width="27.0"/>
    <col customWidth="1" min="16" max="16" width="26.29"/>
    <col customWidth="1" min="17" max="17" width="29.0"/>
    <col customWidth="1" min="18" max="18" width="31.71"/>
    <col customWidth="1" min="19" max="19" width="29.86"/>
    <col customWidth="1" min="20" max="20" width="43.43"/>
    <col customWidth="1" min="21" max="21" width="42.29"/>
    <col customWidth="1" min="22" max="22" width="43.14"/>
    <col customWidth="1" min="23" max="23" width="34.71"/>
    <col customWidth="1" min="24" max="24" width="26.43"/>
    <col customWidth="1" min="25" max="25" width="18.43"/>
    <col customWidth="1" min="26" max="26" width="15.86"/>
    <col customWidth="1" min="27" max="27" width="15.57"/>
    <col customWidth="1" min="28" max="28" width="15.14"/>
    <col customWidth="1" min="29" max="29" width="15.29"/>
    <col customWidth="1" min="30" max="30" width="16.43"/>
    <col customWidth="1" min="31" max="31" width="18.29"/>
    <col customWidth="1" min="32" max="32" width="16.14"/>
    <col customWidth="1" min="33" max="33" width="20.29"/>
    <col customWidth="1" min="34" max="34" width="17.0"/>
    <col customWidth="1" min="35" max="35" width="11.14"/>
  </cols>
  <sheetData>
    <row r="1" ht="14.25" customHeight="1">
      <c r="L1" s="63" t="s">
        <v>1</v>
      </c>
      <c r="W1" s="109"/>
    </row>
    <row r="2" ht="14.25" customHeight="1">
      <c r="L2" s="64" t="s">
        <v>2</v>
      </c>
      <c r="W2" s="109"/>
    </row>
    <row r="3" ht="14.25" customHeight="1">
      <c r="W3" s="109"/>
    </row>
    <row r="4" ht="40.5" customHeight="1">
      <c r="A4" s="65" t="s">
        <v>3</v>
      </c>
      <c r="B4" s="65" t="s">
        <v>4</v>
      </c>
      <c r="C4" s="65" t="s">
        <v>5</v>
      </c>
      <c r="D4" s="65" t="s">
        <v>6</v>
      </c>
      <c r="E4" s="65" t="s">
        <v>7</v>
      </c>
      <c r="F4" s="65" t="s">
        <v>8</v>
      </c>
      <c r="G4" s="65" t="s">
        <v>9</v>
      </c>
      <c r="H4" s="65" t="s">
        <v>10</v>
      </c>
      <c r="I4" s="65" t="s">
        <v>11</v>
      </c>
      <c r="J4" s="65" t="s">
        <v>12</v>
      </c>
      <c r="K4" s="65" t="s">
        <v>13</v>
      </c>
      <c r="L4" s="65" t="s">
        <v>14</v>
      </c>
      <c r="M4" s="65" t="s">
        <v>15</v>
      </c>
      <c r="N4" s="65" t="s">
        <v>16</v>
      </c>
      <c r="O4" s="65" t="s">
        <v>147</v>
      </c>
      <c r="P4" s="65" t="s">
        <v>18</v>
      </c>
      <c r="Q4" s="65" t="s">
        <v>19</v>
      </c>
      <c r="R4" s="65" t="s">
        <v>20</v>
      </c>
      <c r="S4" s="65" t="s">
        <v>21</v>
      </c>
      <c r="T4" s="65" t="s">
        <v>22</v>
      </c>
      <c r="U4" s="65" t="s">
        <v>23</v>
      </c>
      <c r="V4" s="65" t="s">
        <v>701</v>
      </c>
      <c r="W4" s="110" t="s">
        <v>25</v>
      </c>
      <c r="X4" s="65" t="s">
        <v>26</v>
      </c>
      <c r="Y4" s="65" t="s">
        <v>27</v>
      </c>
      <c r="Z4" s="66" t="s">
        <v>28</v>
      </c>
      <c r="AA4" s="66" t="s">
        <v>29</v>
      </c>
      <c r="AB4" s="66" t="s">
        <v>30</v>
      </c>
      <c r="AC4" s="66" t="s">
        <v>31</v>
      </c>
      <c r="AD4" s="66" t="s">
        <v>32</v>
      </c>
      <c r="AE4" s="66" t="s">
        <v>33</v>
      </c>
      <c r="AF4" s="66" t="s">
        <v>34</v>
      </c>
      <c r="AG4" s="66" t="s">
        <v>35</v>
      </c>
      <c r="AH4" s="66" t="s">
        <v>36</v>
      </c>
      <c r="AI4" s="66" t="s">
        <v>37</v>
      </c>
    </row>
    <row r="5" ht="105.0" customHeight="1">
      <c r="A5" s="67">
        <v>1.0</v>
      </c>
      <c r="B5" s="67" t="s">
        <v>702</v>
      </c>
      <c r="C5" s="81" t="s">
        <v>703</v>
      </c>
      <c r="D5" s="68" t="s">
        <v>704</v>
      </c>
      <c r="E5" s="67" t="s">
        <v>705</v>
      </c>
      <c r="F5" s="67" t="s">
        <v>706</v>
      </c>
      <c r="G5" s="67" t="s">
        <v>43</v>
      </c>
      <c r="H5" s="111">
        <v>45912.0</v>
      </c>
      <c r="I5" s="68" t="s">
        <v>44</v>
      </c>
      <c r="J5" s="68" t="s">
        <v>707</v>
      </c>
      <c r="K5" s="68" t="s">
        <v>708</v>
      </c>
      <c r="L5" s="68">
        <v>2985.0</v>
      </c>
      <c r="M5" s="67"/>
      <c r="N5" s="67" t="s">
        <v>709</v>
      </c>
      <c r="O5" s="67"/>
      <c r="P5" s="67"/>
      <c r="Q5" s="67" t="s">
        <v>710</v>
      </c>
      <c r="R5" s="67" t="s">
        <v>711</v>
      </c>
      <c r="S5" s="67" t="s">
        <v>712</v>
      </c>
      <c r="T5" s="67" t="s">
        <v>713</v>
      </c>
      <c r="U5" s="67" t="s">
        <v>714</v>
      </c>
      <c r="V5" s="67" t="s">
        <v>715</v>
      </c>
      <c r="W5" s="67" t="s">
        <v>53</v>
      </c>
      <c r="X5" s="68" t="s">
        <v>53</v>
      </c>
      <c r="Y5" s="68" t="s">
        <v>716</v>
      </c>
      <c r="Z5" s="68" t="s">
        <v>54</v>
      </c>
      <c r="AA5" s="68"/>
      <c r="AB5" s="68"/>
      <c r="AC5" s="68"/>
      <c r="AD5" s="68"/>
      <c r="AE5" s="68"/>
      <c r="AF5" s="68"/>
      <c r="AG5" s="68"/>
      <c r="AH5" s="68"/>
      <c r="AI5" s="68"/>
    </row>
    <row r="6" ht="114.0" customHeight="1">
      <c r="A6" s="67">
        <v>2.0</v>
      </c>
      <c r="B6" s="67" t="s">
        <v>702</v>
      </c>
      <c r="C6" s="73" t="s">
        <v>717</v>
      </c>
      <c r="D6" s="67" t="s">
        <v>718</v>
      </c>
      <c r="E6" s="67" t="s">
        <v>705</v>
      </c>
      <c r="F6" s="67" t="s">
        <v>719</v>
      </c>
      <c r="G6" s="67" t="s">
        <v>43</v>
      </c>
      <c r="H6" s="112">
        <v>45953.0</v>
      </c>
      <c r="I6" s="67" t="s">
        <v>44</v>
      </c>
      <c r="J6" s="67" t="s">
        <v>720</v>
      </c>
      <c r="K6" s="72" t="s">
        <v>721</v>
      </c>
      <c r="L6" s="67">
        <v>2069.0</v>
      </c>
      <c r="M6" s="67"/>
      <c r="N6" s="67" t="s">
        <v>722</v>
      </c>
      <c r="O6" s="67"/>
      <c r="P6" s="67"/>
      <c r="Q6" s="67" t="s">
        <v>723</v>
      </c>
      <c r="R6" s="67" t="s">
        <v>724</v>
      </c>
      <c r="S6" s="67"/>
      <c r="T6" s="67" t="s">
        <v>725</v>
      </c>
      <c r="U6" s="67" t="s">
        <v>726</v>
      </c>
      <c r="V6" s="67" t="s">
        <v>727</v>
      </c>
      <c r="W6" s="67"/>
      <c r="X6" s="67"/>
      <c r="Y6" s="67" t="s">
        <v>728</v>
      </c>
      <c r="Z6" s="68" t="s">
        <v>54</v>
      </c>
      <c r="AA6" s="68" t="s">
        <v>54</v>
      </c>
      <c r="AB6" s="68" t="s">
        <v>54</v>
      </c>
      <c r="AC6" s="68" t="s">
        <v>54</v>
      </c>
      <c r="AD6" s="68" t="s">
        <v>54</v>
      </c>
      <c r="AE6" s="68" t="s">
        <v>146</v>
      </c>
      <c r="AF6" s="68" t="s">
        <v>54</v>
      </c>
      <c r="AG6" s="68" t="s">
        <v>54</v>
      </c>
      <c r="AH6" s="68" t="s">
        <v>146</v>
      </c>
      <c r="AI6" s="68">
        <v>47.0</v>
      </c>
    </row>
    <row r="7">
      <c r="A7" s="68">
        <v>3.0</v>
      </c>
      <c r="B7" s="68" t="s">
        <v>729</v>
      </c>
      <c r="C7" s="68" t="s">
        <v>730</v>
      </c>
      <c r="D7" s="68" t="s">
        <v>731</v>
      </c>
      <c r="E7" s="68" t="s">
        <v>732</v>
      </c>
      <c r="F7" s="68" t="s">
        <v>733</v>
      </c>
      <c r="G7" s="67" t="s">
        <v>43</v>
      </c>
      <c r="H7" s="113">
        <v>46049.0</v>
      </c>
      <c r="I7" s="68" t="s">
        <v>44</v>
      </c>
      <c r="J7" s="68" t="s">
        <v>734</v>
      </c>
      <c r="K7" s="80" t="s">
        <v>735</v>
      </c>
      <c r="L7" s="68">
        <v>2053.0</v>
      </c>
      <c r="M7" s="68" t="s">
        <v>736</v>
      </c>
      <c r="N7" s="68" t="s">
        <v>737</v>
      </c>
      <c r="O7" s="68"/>
      <c r="P7" s="68" t="s">
        <v>738</v>
      </c>
      <c r="Q7" s="68" t="s">
        <v>739</v>
      </c>
      <c r="R7" s="68"/>
      <c r="S7" s="68" t="s">
        <v>740</v>
      </c>
      <c r="T7" s="68" t="s">
        <v>741</v>
      </c>
      <c r="U7" s="68" t="s">
        <v>742</v>
      </c>
      <c r="V7" s="68" t="s">
        <v>743</v>
      </c>
      <c r="W7" s="67"/>
      <c r="X7" s="68"/>
      <c r="Y7" s="68" t="s">
        <v>744</v>
      </c>
      <c r="Z7" s="76" t="s">
        <v>54</v>
      </c>
      <c r="AA7" s="76" t="s">
        <v>54</v>
      </c>
      <c r="AB7" s="76" t="s">
        <v>54</v>
      </c>
      <c r="AC7" s="76" t="s">
        <v>54</v>
      </c>
      <c r="AD7" s="76" t="s">
        <v>54</v>
      </c>
      <c r="AE7" s="76" t="s">
        <v>145</v>
      </c>
      <c r="AF7" s="76" t="s">
        <v>54</v>
      </c>
      <c r="AG7" s="76" t="s">
        <v>54</v>
      </c>
      <c r="AH7" s="76" t="s">
        <v>146</v>
      </c>
      <c r="AI7" s="76">
        <v>47.0</v>
      </c>
    </row>
    <row r="8">
      <c r="A8" s="68">
        <v>4.0</v>
      </c>
      <c r="B8" s="68" t="s">
        <v>745</v>
      </c>
      <c r="C8" s="70" t="s">
        <v>746</v>
      </c>
      <c r="D8" s="68" t="s">
        <v>747</v>
      </c>
      <c r="E8" s="68" t="s">
        <v>70</v>
      </c>
      <c r="F8" s="68" t="s">
        <v>748</v>
      </c>
      <c r="G8" s="67" t="s">
        <v>43</v>
      </c>
      <c r="H8" s="113">
        <v>46049.0</v>
      </c>
      <c r="I8" s="68" t="s">
        <v>44</v>
      </c>
      <c r="J8" s="68" t="s">
        <v>749</v>
      </c>
      <c r="K8" s="80" t="s">
        <v>750</v>
      </c>
      <c r="L8" s="68">
        <v>2770.0</v>
      </c>
      <c r="M8" s="68" t="s">
        <v>751</v>
      </c>
      <c r="N8" s="68" t="s">
        <v>752</v>
      </c>
      <c r="O8" s="68" t="s">
        <v>753</v>
      </c>
      <c r="P8" s="81" t="s">
        <v>754</v>
      </c>
      <c r="Q8" s="68" t="s">
        <v>755</v>
      </c>
      <c r="R8" s="68" t="s">
        <v>756</v>
      </c>
      <c r="S8" s="68" t="s">
        <v>757</v>
      </c>
      <c r="T8" s="68" t="s">
        <v>758</v>
      </c>
      <c r="U8" s="68" t="s">
        <v>759</v>
      </c>
      <c r="V8" s="68" t="s">
        <v>760</v>
      </c>
      <c r="W8" s="67"/>
      <c r="X8" s="68"/>
      <c r="Y8" s="68" t="s">
        <v>716</v>
      </c>
      <c r="Z8" s="68" t="s">
        <v>54</v>
      </c>
      <c r="AA8" s="68" t="s">
        <v>54</v>
      </c>
      <c r="AB8" s="68" t="s">
        <v>54</v>
      </c>
      <c r="AC8" s="68" t="s">
        <v>54</v>
      </c>
      <c r="AD8" s="68" t="s">
        <v>54</v>
      </c>
      <c r="AE8" s="68" t="s">
        <v>146</v>
      </c>
      <c r="AF8" s="68" t="s">
        <v>54</v>
      </c>
      <c r="AG8" s="68" t="s">
        <v>54</v>
      </c>
      <c r="AH8" s="68" t="s">
        <v>146</v>
      </c>
      <c r="AI8" s="68">
        <v>47.0</v>
      </c>
    </row>
    <row r="9" ht="135.75" customHeight="1">
      <c r="A9" s="68">
        <v>5.0</v>
      </c>
      <c r="B9" s="68" t="s">
        <v>761</v>
      </c>
      <c r="C9" s="68" t="s">
        <v>762</v>
      </c>
      <c r="D9" s="114" t="s">
        <v>763</v>
      </c>
      <c r="E9" s="68" t="s">
        <v>764</v>
      </c>
      <c r="F9" s="68" t="s">
        <v>765</v>
      </c>
      <c r="G9" s="67" t="s">
        <v>43</v>
      </c>
      <c r="H9" s="68" t="s">
        <v>766</v>
      </c>
      <c r="I9" s="68" t="s">
        <v>44</v>
      </c>
      <c r="J9" s="68" t="s">
        <v>767</v>
      </c>
      <c r="K9" s="80" t="s">
        <v>768</v>
      </c>
      <c r="L9" s="76">
        <v>1620.0</v>
      </c>
      <c r="M9" s="76" t="s">
        <v>769</v>
      </c>
      <c r="N9" s="76" t="s">
        <v>770</v>
      </c>
      <c r="O9" s="68"/>
      <c r="P9" s="68"/>
      <c r="Q9" s="76" t="s">
        <v>771</v>
      </c>
      <c r="R9" s="68" t="s">
        <v>772</v>
      </c>
      <c r="S9" s="68"/>
      <c r="T9" s="68" t="s">
        <v>773</v>
      </c>
      <c r="U9" s="68" t="s">
        <v>774</v>
      </c>
      <c r="V9" s="68" t="s">
        <v>775</v>
      </c>
      <c r="W9" s="67"/>
      <c r="X9" s="68"/>
      <c r="Y9" s="76" t="s">
        <v>776</v>
      </c>
      <c r="Z9" s="76" t="s">
        <v>54</v>
      </c>
      <c r="AA9" s="76" t="s">
        <v>54</v>
      </c>
      <c r="AB9" s="76" t="s">
        <v>54</v>
      </c>
      <c r="AC9" s="76" t="s">
        <v>54</v>
      </c>
      <c r="AD9" s="76" t="s">
        <v>54</v>
      </c>
      <c r="AE9" s="76" t="s">
        <v>146</v>
      </c>
      <c r="AF9" s="76" t="s">
        <v>146</v>
      </c>
      <c r="AG9" s="76" t="s">
        <v>54</v>
      </c>
      <c r="AH9" s="68"/>
      <c r="AI9" s="68"/>
    </row>
    <row r="10">
      <c r="A10" s="68">
        <v>6.0</v>
      </c>
      <c r="B10" s="81" t="s">
        <v>777</v>
      </c>
      <c r="C10" s="81" t="s">
        <v>778</v>
      </c>
      <c r="D10" s="68" t="s">
        <v>779</v>
      </c>
      <c r="E10" s="68" t="s">
        <v>780</v>
      </c>
      <c r="F10" s="68" t="s">
        <v>781</v>
      </c>
      <c r="G10" s="67" t="s">
        <v>43</v>
      </c>
      <c r="H10" s="113">
        <v>45725.0</v>
      </c>
      <c r="I10" s="68" t="s">
        <v>44</v>
      </c>
      <c r="J10" s="68" t="s">
        <v>782</v>
      </c>
      <c r="K10" s="68">
        <v>8.2284917086E10</v>
      </c>
      <c r="L10" s="68">
        <v>1863.0</v>
      </c>
      <c r="M10" s="68" t="s">
        <v>783</v>
      </c>
      <c r="N10" s="68"/>
      <c r="O10" s="68"/>
      <c r="P10" s="68"/>
      <c r="Q10" s="68" t="s">
        <v>784</v>
      </c>
      <c r="R10" s="68" t="s">
        <v>785</v>
      </c>
      <c r="S10" s="68"/>
      <c r="T10" s="68" t="s">
        <v>786</v>
      </c>
      <c r="U10" s="68" t="s">
        <v>787</v>
      </c>
      <c r="V10" s="68" t="s">
        <v>788</v>
      </c>
      <c r="W10" s="67" t="s">
        <v>789</v>
      </c>
      <c r="X10" s="68" t="s">
        <v>790</v>
      </c>
      <c r="Y10" s="68"/>
      <c r="Z10" s="68"/>
      <c r="AA10" s="68"/>
      <c r="AB10" s="68"/>
      <c r="AC10" s="68"/>
      <c r="AD10" s="68"/>
      <c r="AE10" s="68"/>
      <c r="AF10" s="68"/>
      <c r="AG10" s="68"/>
      <c r="AH10" s="68"/>
      <c r="AI10" s="68"/>
    </row>
    <row r="11" ht="255.75" customHeight="1">
      <c r="A11" s="76">
        <v>7.0</v>
      </c>
      <c r="B11" s="76" t="s">
        <v>702</v>
      </c>
      <c r="C11" s="76" t="s">
        <v>791</v>
      </c>
      <c r="D11" s="76" t="s">
        <v>792</v>
      </c>
      <c r="E11" s="76" t="s">
        <v>636</v>
      </c>
      <c r="F11" s="76" t="s">
        <v>793</v>
      </c>
      <c r="G11" s="76" t="s">
        <v>43</v>
      </c>
      <c r="H11" s="76" t="s">
        <v>794</v>
      </c>
      <c r="I11" s="76" t="s">
        <v>72</v>
      </c>
      <c r="J11" s="76" t="s">
        <v>795</v>
      </c>
      <c r="K11" s="76">
        <v>8.2366160712E10</v>
      </c>
      <c r="L11" s="76">
        <v>1268.0</v>
      </c>
      <c r="M11" s="76" t="s">
        <v>53</v>
      </c>
      <c r="N11" s="76" t="s">
        <v>53</v>
      </c>
      <c r="O11" s="76" t="s">
        <v>53</v>
      </c>
      <c r="P11" s="76" t="s">
        <v>53</v>
      </c>
      <c r="Q11" s="76" t="s">
        <v>53</v>
      </c>
      <c r="R11" s="76" t="s">
        <v>53</v>
      </c>
      <c r="S11" s="76" t="s">
        <v>53</v>
      </c>
      <c r="T11" s="76" t="s">
        <v>796</v>
      </c>
      <c r="U11" s="76" t="s">
        <v>797</v>
      </c>
      <c r="V11" s="76" t="s">
        <v>798</v>
      </c>
      <c r="W11" s="76" t="s">
        <v>799</v>
      </c>
      <c r="X11" s="76" t="s">
        <v>53</v>
      </c>
      <c r="Y11" s="68" t="s">
        <v>744</v>
      </c>
      <c r="Z11" s="76" t="s">
        <v>145</v>
      </c>
      <c r="AA11" s="76" t="s">
        <v>145</v>
      </c>
      <c r="AB11" s="76" t="s">
        <v>54</v>
      </c>
      <c r="AC11" s="76" t="s">
        <v>190</v>
      </c>
      <c r="AD11" s="76" t="s">
        <v>145</v>
      </c>
      <c r="AE11" s="76" t="s">
        <v>145</v>
      </c>
      <c r="AF11" s="76" t="s">
        <v>145</v>
      </c>
      <c r="AG11" s="76" t="s">
        <v>54</v>
      </c>
      <c r="AH11" s="76" t="s">
        <v>190</v>
      </c>
      <c r="AI11" s="76">
        <v>47.0</v>
      </c>
    </row>
    <row r="12" ht="14.25" customHeight="1">
      <c r="A12" s="68">
        <v>8.0</v>
      </c>
      <c r="B12" s="68"/>
      <c r="C12" s="68"/>
      <c r="D12" s="68"/>
      <c r="E12" s="68"/>
      <c r="F12" s="68"/>
      <c r="G12" s="76" t="s">
        <v>800</v>
      </c>
      <c r="H12" s="68"/>
      <c r="I12" s="68"/>
      <c r="J12" s="68"/>
      <c r="K12" s="68"/>
      <c r="L12" s="68"/>
      <c r="M12" s="68"/>
      <c r="N12" s="68"/>
      <c r="O12" s="68"/>
      <c r="P12" s="68"/>
      <c r="Q12" s="68"/>
      <c r="R12" s="68"/>
      <c r="S12" s="68"/>
      <c r="T12" s="68"/>
      <c r="U12" s="68"/>
      <c r="V12" s="68"/>
      <c r="W12" s="67"/>
      <c r="X12" s="68"/>
      <c r="Y12" s="68"/>
      <c r="Z12" s="68"/>
      <c r="AA12" s="68"/>
      <c r="AB12" s="68"/>
      <c r="AC12" s="68"/>
      <c r="AD12" s="68"/>
      <c r="AE12" s="68"/>
      <c r="AF12" s="68"/>
      <c r="AG12" s="68"/>
      <c r="AH12" s="68"/>
      <c r="AI12" s="68"/>
    </row>
    <row r="13" ht="14.25" customHeight="1">
      <c r="A13" s="68">
        <v>9.0</v>
      </c>
      <c r="B13" s="68"/>
      <c r="C13" s="68"/>
      <c r="D13" s="68"/>
      <c r="E13" s="68"/>
      <c r="F13" s="68"/>
      <c r="G13" s="68"/>
      <c r="H13" s="68"/>
      <c r="I13" s="68"/>
      <c r="J13" s="68"/>
      <c r="K13" s="68"/>
      <c r="L13" s="68">
        <f>L10+L9+L8+L7+L6+L5</f>
        <v>13360</v>
      </c>
      <c r="M13" s="68"/>
      <c r="N13" s="68"/>
      <c r="O13" s="68"/>
      <c r="P13" s="68"/>
      <c r="Q13" s="68"/>
      <c r="R13" s="68"/>
      <c r="S13" s="68"/>
      <c r="T13" s="68"/>
      <c r="U13" s="68"/>
      <c r="V13" s="68"/>
      <c r="W13" s="67"/>
      <c r="X13" s="68"/>
      <c r="Y13" s="68"/>
      <c r="Z13" s="68"/>
      <c r="AA13" s="68"/>
      <c r="AB13" s="68"/>
      <c r="AC13" s="68"/>
      <c r="AD13" s="68"/>
      <c r="AE13" s="68"/>
      <c r="AF13" s="68"/>
      <c r="AG13" s="68"/>
      <c r="AH13" s="68"/>
      <c r="AI13" s="68"/>
    </row>
    <row r="14" ht="14.25" customHeight="1">
      <c r="A14" s="68">
        <v>10.0</v>
      </c>
      <c r="B14" s="68"/>
      <c r="C14" s="68"/>
      <c r="D14" s="68"/>
      <c r="E14" s="68"/>
      <c r="F14" s="68"/>
      <c r="G14" s="68"/>
      <c r="H14" s="68"/>
      <c r="I14" s="68"/>
      <c r="J14" s="68"/>
      <c r="K14" s="68"/>
      <c r="L14" s="68"/>
      <c r="M14" s="68"/>
      <c r="N14" s="68"/>
      <c r="O14" s="68"/>
      <c r="P14" s="68"/>
      <c r="Q14" s="68"/>
      <c r="R14" s="68"/>
      <c r="S14" s="68"/>
      <c r="T14" s="68"/>
      <c r="U14" s="68"/>
      <c r="V14" s="68"/>
      <c r="W14" s="67"/>
      <c r="X14" s="68"/>
      <c r="Y14" s="68"/>
      <c r="Z14" s="68"/>
      <c r="AA14" s="68"/>
      <c r="AB14" s="68"/>
      <c r="AC14" s="68"/>
      <c r="AD14" s="68"/>
      <c r="AE14" s="68"/>
      <c r="AF14" s="68"/>
      <c r="AG14" s="68"/>
      <c r="AH14" s="68"/>
      <c r="AI14" s="68"/>
    </row>
    <row r="15" ht="14.25" customHeight="1">
      <c r="A15" s="68"/>
      <c r="B15" s="68"/>
      <c r="C15" s="68"/>
      <c r="D15" s="68"/>
      <c r="E15" s="68"/>
      <c r="F15" s="68"/>
      <c r="G15" s="68"/>
      <c r="H15" s="68"/>
      <c r="I15" s="68"/>
      <c r="J15" s="68"/>
      <c r="K15" s="68"/>
      <c r="L15" s="68"/>
      <c r="M15" s="68"/>
      <c r="N15" s="68"/>
      <c r="O15" s="68"/>
      <c r="P15" s="68"/>
      <c r="Q15" s="68"/>
      <c r="R15" s="68"/>
      <c r="S15" s="68"/>
      <c r="T15" s="68"/>
      <c r="U15" s="68"/>
      <c r="V15" s="68"/>
      <c r="W15" s="67"/>
      <c r="X15" s="68"/>
      <c r="Y15" s="68"/>
      <c r="Z15" s="68"/>
      <c r="AA15" s="68"/>
      <c r="AB15" s="68"/>
      <c r="AC15" s="68"/>
      <c r="AD15" s="68"/>
      <c r="AE15" s="68"/>
      <c r="AF15" s="68"/>
      <c r="AG15" s="68"/>
      <c r="AH15" s="68"/>
      <c r="AI15" s="68"/>
    </row>
    <row r="16" ht="14.25" customHeight="1">
      <c r="A16" s="68"/>
      <c r="B16" s="68"/>
      <c r="C16" s="68"/>
      <c r="D16" s="68"/>
      <c r="E16" s="68"/>
      <c r="F16" s="68"/>
      <c r="G16" s="68"/>
      <c r="H16" s="68"/>
      <c r="I16" s="68"/>
      <c r="J16" s="68"/>
      <c r="K16" s="68"/>
      <c r="L16" s="68"/>
      <c r="M16" s="68"/>
      <c r="N16" s="68"/>
      <c r="O16" s="68"/>
      <c r="P16" s="68"/>
      <c r="Q16" s="68"/>
      <c r="R16" s="68"/>
      <c r="S16" s="68"/>
      <c r="T16" s="68"/>
      <c r="U16" s="68"/>
      <c r="V16" s="68"/>
      <c r="W16" s="67"/>
      <c r="X16" s="68"/>
      <c r="Y16" s="68"/>
      <c r="Z16" s="68"/>
      <c r="AA16" s="68"/>
      <c r="AB16" s="68"/>
      <c r="AC16" s="68"/>
      <c r="AD16" s="68"/>
      <c r="AE16" s="68"/>
      <c r="AF16" s="68"/>
      <c r="AG16" s="68"/>
      <c r="AH16" s="68"/>
      <c r="AI16" s="68"/>
    </row>
    <row r="17" ht="14.25" customHeight="1">
      <c r="A17" s="68"/>
      <c r="B17" s="68"/>
      <c r="C17" s="68"/>
      <c r="D17" s="68"/>
      <c r="E17" s="68"/>
      <c r="F17" s="68"/>
      <c r="G17" s="68"/>
      <c r="H17" s="68"/>
      <c r="I17" s="68"/>
      <c r="J17" s="68"/>
      <c r="K17" s="68"/>
      <c r="L17" s="68"/>
      <c r="M17" s="68"/>
      <c r="N17" s="68"/>
      <c r="O17" s="68"/>
      <c r="P17" s="68"/>
      <c r="Q17" s="68"/>
      <c r="R17" s="68"/>
      <c r="S17" s="68"/>
      <c r="T17" s="68"/>
      <c r="U17" s="68"/>
      <c r="V17" s="68"/>
      <c r="W17" s="67"/>
      <c r="X17" s="68"/>
      <c r="Y17" s="68"/>
      <c r="Z17" s="68"/>
      <c r="AA17" s="68"/>
      <c r="AB17" s="68"/>
      <c r="AC17" s="68"/>
      <c r="AD17" s="68"/>
      <c r="AE17" s="68"/>
      <c r="AF17" s="68"/>
      <c r="AG17" s="68"/>
      <c r="AH17" s="68"/>
      <c r="AI17" s="68"/>
    </row>
    <row r="18" ht="14.25" customHeight="1">
      <c r="A18" s="68"/>
      <c r="B18" s="68"/>
      <c r="C18" s="68"/>
      <c r="D18" s="68"/>
      <c r="E18" s="68"/>
      <c r="F18" s="68"/>
      <c r="G18" s="68"/>
      <c r="H18" s="68"/>
      <c r="I18" s="68"/>
      <c r="J18" s="68"/>
      <c r="K18" s="68"/>
      <c r="L18" s="68"/>
      <c r="M18" s="68"/>
      <c r="N18" s="68"/>
      <c r="O18" s="68"/>
      <c r="P18" s="68"/>
      <c r="Q18" s="68"/>
      <c r="R18" s="68"/>
      <c r="S18" s="68"/>
      <c r="T18" s="68"/>
      <c r="U18" s="68"/>
      <c r="V18" s="68"/>
      <c r="W18" s="67"/>
      <c r="X18" s="68"/>
      <c r="Y18" s="68"/>
      <c r="Z18" s="68"/>
      <c r="AA18" s="68"/>
      <c r="AB18" s="68"/>
      <c r="AC18" s="68"/>
      <c r="AD18" s="68"/>
      <c r="AE18" s="68"/>
      <c r="AF18" s="68"/>
      <c r="AG18" s="68"/>
      <c r="AH18" s="68"/>
      <c r="AI18" s="68"/>
    </row>
    <row r="19" ht="14.25" customHeight="1">
      <c r="A19" s="68"/>
      <c r="B19" s="68"/>
      <c r="C19" s="68"/>
      <c r="D19" s="68"/>
      <c r="E19" s="68"/>
      <c r="F19" s="68"/>
      <c r="G19" s="68"/>
      <c r="H19" s="68"/>
      <c r="I19" s="68"/>
      <c r="J19" s="68"/>
      <c r="K19" s="68"/>
      <c r="L19" s="68"/>
      <c r="M19" s="68"/>
      <c r="N19" s="68"/>
      <c r="O19" s="68"/>
      <c r="P19" s="68"/>
      <c r="Q19" s="68"/>
      <c r="R19" s="68"/>
      <c r="S19" s="68"/>
      <c r="T19" s="68"/>
      <c r="U19" s="68"/>
      <c r="V19" s="68"/>
      <c r="W19" s="67"/>
      <c r="X19" s="68"/>
      <c r="Y19" s="68"/>
      <c r="Z19" s="68"/>
      <c r="AA19" s="68"/>
      <c r="AB19" s="68"/>
      <c r="AC19" s="68"/>
      <c r="AD19" s="68"/>
      <c r="AE19" s="68"/>
      <c r="AF19" s="68"/>
      <c r="AG19" s="68"/>
      <c r="AH19" s="68"/>
      <c r="AI19" s="68"/>
    </row>
    <row r="20" ht="14.25" customHeight="1">
      <c r="A20" s="68"/>
      <c r="B20" s="68"/>
      <c r="C20" s="68"/>
      <c r="D20" s="68"/>
      <c r="E20" s="68"/>
      <c r="F20" s="68"/>
      <c r="G20" s="68"/>
      <c r="H20" s="68"/>
      <c r="I20" s="68"/>
      <c r="J20" s="68"/>
      <c r="K20" s="68"/>
      <c r="L20" s="68"/>
      <c r="M20" s="68"/>
      <c r="N20" s="68"/>
      <c r="O20" s="68"/>
      <c r="P20" s="68"/>
      <c r="Q20" s="68"/>
      <c r="R20" s="68"/>
      <c r="S20" s="68"/>
      <c r="T20" s="68"/>
      <c r="U20" s="68"/>
      <c r="V20" s="68"/>
      <c r="W20" s="67"/>
      <c r="X20" s="68"/>
      <c r="Y20" s="68"/>
      <c r="Z20" s="68"/>
      <c r="AA20" s="68"/>
      <c r="AB20" s="68"/>
      <c r="AC20" s="68"/>
      <c r="AD20" s="68"/>
      <c r="AE20" s="68"/>
      <c r="AF20" s="68"/>
      <c r="AG20" s="68"/>
      <c r="AH20" s="68"/>
      <c r="AI20" s="68"/>
    </row>
    <row r="21" ht="14.25" customHeight="1">
      <c r="A21" s="68"/>
      <c r="B21" s="68"/>
      <c r="C21" s="68"/>
      <c r="D21" s="68"/>
      <c r="E21" s="68"/>
      <c r="F21" s="68"/>
      <c r="G21" s="68"/>
      <c r="H21" s="68"/>
      <c r="I21" s="68"/>
      <c r="J21" s="68"/>
      <c r="K21" s="68"/>
      <c r="L21" s="68"/>
      <c r="M21" s="68"/>
      <c r="N21" s="68"/>
      <c r="O21" s="68"/>
      <c r="P21" s="68"/>
      <c r="Q21" s="68"/>
      <c r="R21" s="68"/>
      <c r="S21" s="68"/>
      <c r="T21" s="68"/>
      <c r="U21" s="68"/>
      <c r="V21" s="68"/>
      <c r="W21" s="67"/>
      <c r="X21" s="68"/>
      <c r="Y21" s="68"/>
      <c r="Z21" s="68"/>
      <c r="AA21" s="68"/>
      <c r="AB21" s="68"/>
      <c r="AC21" s="68"/>
      <c r="AD21" s="68"/>
      <c r="AE21" s="68"/>
      <c r="AF21" s="68"/>
      <c r="AG21" s="68"/>
      <c r="AH21" s="68"/>
      <c r="AI21" s="68"/>
    </row>
    <row r="22" ht="14.25" customHeight="1">
      <c r="A22" s="68"/>
      <c r="B22" s="68"/>
      <c r="C22" s="68"/>
      <c r="D22" s="68"/>
      <c r="E22" s="68"/>
      <c r="F22" s="68"/>
      <c r="G22" s="68"/>
      <c r="H22" s="68"/>
      <c r="I22" s="68"/>
      <c r="J22" s="68"/>
      <c r="K22" s="68"/>
      <c r="L22" s="68"/>
      <c r="M22" s="68"/>
      <c r="N22" s="68"/>
      <c r="O22" s="68"/>
      <c r="P22" s="68"/>
      <c r="Q22" s="68"/>
      <c r="R22" s="68"/>
      <c r="S22" s="68"/>
      <c r="T22" s="68"/>
      <c r="U22" s="68"/>
      <c r="V22" s="68"/>
      <c r="W22" s="67"/>
      <c r="X22" s="68"/>
      <c r="Y22" s="68"/>
      <c r="Z22" s="68"/>
      <c r="AA22" s="68"/>
      <c r="AB22" s="68"/>
      <c r="AC22" s="68"/>
      <c r="AD22" s="68"/>
      <c r="AE22" s="68"/>
      <c r="AF22" s="68"/>
      <c r="AG22" s="68"/>
      <c r="AH22" s="68"/>
      <c r="AI22" s="68"/>
    </row>
    <row r="23" ht="14.25" customHeight="1">
      <c r="A23" s="68"/>
      <c r="B23" s="68"/>
      <c r="C23" s="68"/>
      <c r="D23" s="68"/>
      <c r="E23" s="68"/>
      <c r="F23" s="68"/>
      <c r="G23" s="68"/>
      <c r="H23" s="68"/>
      <c r="I23" s="68"/>
      <c r="J23" s="68"/>
      <c r="K23" s="68"/>
      <c r="L23" s="68"/>
      <c r="M23" s="68"/>
      <c r="N23" s="68"/>
      <c r="O23" s="68"/>
      <c r="P23" s="68"/>
      <c r="Q23" s="68"/>
      <c r="R23" s="68"/>
      <c r="S23" s="68"/>
      <c r="T23" s="68"/>
      <c r="U23" s="68"/>
      <c r="V23" s="68"/>
      <c r="W23" s="67"/>
      <c r="X23" s="68"/>
      <c r="Y23" s="68"/>
      <c r="Z23" s="68"/>
      <c r="AA23" s="68"/>
      <c r="AB23" s="68"/>
      <c r="AC23" s="68"/>
      <c r="AD23" s="68"/>
      <c r="AE23" s="68"/>
      <c r="AF23" s="68"/>
      <c r="AG23" s="68"/>
      <c r="AH23" s="68"/>
      <c r="AI23" s="68"/>
    </row>
    <row r="24" ht="14.25" customHeight="1">
      <c r="W24" s="109"/>
      <c r="Z24" s="57"/>
      <c r="AA24" s="57"/>
      <c r="AB24" s="57"/>
      <c r="AC24" s="57"/>
      <c r="AD24" s="57"/>
      <c r="AE24" s="57"/>
      <c r="AF24" s="57"/>
      <c r="AG24" s="57"/>
      <c r="AH24" s="57"/>
      <c r="AI24" s="57"/>
    </row>
    <row r="25" ht="14.25" customHeight="1">
      <c r="W25" s="109"/>
      <c r="Z25" s="57"/>
      <c r="AA25" s="57"/>
      <c r="AB25" s="57"/>
      <c r="AC25" s="57"/>
      <c r="AD25" s="57"/>
      <c r="AE25" s="57"/>
      <c r="AF25" s="57"/>
      <c r="AG25" s="57"/>
      <c r="AH25" s="57"/>
      <c r="AI25" s="57"/>
    </row>
    <row r="26" ht="14.25" customHeight="1">
      <c r="W26" s="109"/>
      <c r="Z26" s="57"/>
      <c r="AA26" s="57"/>
      <c r="AB26" s="57"/>
      <c r="AC26" s="57"/>
      <c r="AD26" s="57"/>
      <c r="AE26" s="57"/>
      <c r="AF26" s="57"/>
      <c r="AG26" s="57"/>
      <c r="AH26" s="57"/>
      <c r="AI26" s="57"/>
    </row>
    <row r="27" ht="14.25" customHeight="1">
      <c r="C27" s="62" t="s">
        <v>216</v>
      </c>
      <c r="D27" s="62">
        <v>6.0</v>
      </c>
      <c r="W27" s="109"/>
      <c r="Z27" s="57"/>
      <c r="AA27" s="57"/>
      <c r="AB27" s="57"/>
      <c r="AC27" s="57"/>
      <c r="AD27" s="57"/>
      <c r="AE27" s="57"/>
      <c r="AF27" s="57"/>
      <c r="AG27" s="57"/>
      <c r="AH27" s="57"/>
      <c r="AI27" s="57"/>
    </row>
    <row r="28" ht="14.25" customHeight="1">
      <c r="C28" s="62" t="s">
        <v>801</v>
      </c>
      <c r="D28" s="62">
        <v>1.0</v>
      </c>
      <c r="W28" s="109"/>
      <c r="Z28" s="57"/>
      <c r="AA28" s="57"/>
      <c r="AB28" s="57"/>
      <c r="AC28" s="57"/>
      <c r="AD28" s="57"/>
      <c r="AE28" s="57"/>
      <c r="AF28" s="57"/>
      <c r="AG28" s="57"/>
      <c r="AH28" s="57"/>
      <c r="AI28" s="57"/>
    </row>
    <row r="29" ht="14.25" customHeight="1">
      <c r="C29" s="62" t="s">
        <v>802</v>
      </c>
      <c r="D29" s="62">
        <v>0.0</v>
      </c>
      <c r="W29" s="109"/>
    </row>
    <row r="30" ht="14.25" customHeight="1">
      <c r="W30" s="109"/>
    </row>
    <row r="31" ht="14.25" customHeight="1">
      <c r="W31" s="109"/>
    </row>
    <row r="32" ht="14.25" customHeight="1">
      <c r="W32" s="109"/>
    </row>
    <row r="33" ht="14.25" customHeight="1">
      <c r="W33" s="109"/>
    </row>
    <row r="34" ht="14.25" customHeight="1">
      <c r="W34" s="109"/>
    </row>
    <row r="35" ht="14.25" customHeight="1">
      <c r="W35" s="109"/>
    </row>
    <row r="36" ht="14.25" customHeight="1">
      <c r="W36" s="109"/>
    </row>
    <row r="37" ht="14.25" customHeight="1">
      <c r="W37" s="109"/>
    </row>
    <row r="38" ht="14.25" customHeight="1">
      <c r="W38" s="109"/>
    </row>
    <row r="39" ht="14.25" customHeight="1">
      <c r="W39" s="109"/>
    </row>
    <row r="40" ht="14.25" customHeight="1">
      <c r="W40" s="109"/>
    </row>
    <row r="41" ht="14.25" customHeight="1">
      <c r="W41" s="109"/>
    </row>
    <row r="42" ht="14.25" customHeight="1">
      <c r="W42" s="109"/>
    </row>
    <row r="43" ht="14.25" customHeight="1">
      <c r="W43" s="109"/>
    </row>
    <row r="44" ht="14.25" customHeight="1">
      <c r="W44" s="109"/>
    </row>
    <row r="45" ht="14.25" customHeight="1">
      <c r="W45" s="109"/>
    </row>
    <row r="46" ht="14.25" customHeight="1">
      <c r="W46" s="109"/>
    </row>
    <row r="47" ht="14.25" customHeight="1">
      <c r="W47" s="109"/>
    </row>
    <row r="48" ht="14.25" customHeight="1">
      <c r="W48" s="109"/>
    </row>
    <row r="49" ht="14.25" customHeight="1">
      <c r="W49" s="109"/>
    </row>
    <row r="50" ht="14.25" customHeight="1">
      <c r="W50" s="109"/>
    </row>
    <row r="51" ht="14.25" customHeight="1">
      <c r="W51" s="109"/>
    </row>
    <row r="52" ht="14.25" customHeight="1">
      <c r="W52" s="109"/>
    </row>
    <row r="53" ht="14.25" customHeight="1">
      <c r="W53" s="109"/>
    </row>
    <row r="54" ht="14.25" customHeight="1">
      <c r="W54" s="109"/>
    </row>
    <row r="55" ht="14.25" customHeight="1">
      <c r="W55" s="109"/>
    </row>
    <row r="56" ht="14.25" customHeight="1">
      <c r="W56" s="109"/>
    </row>
    <row r="57" ht="14.25" customHeight="1">
      <c r="W57" s="109"/>
    </row>
    <row r="58" ht="14.25" customHeight="1">
      <c r="W58" s="109"/>
    </row>
    <row r="59" ht="14.25" customHeight="1">
      <c r="W59" s="109"/>
    </row>
    <row r="60" ht="14.25" customHeight="1">
      <c r="W60" s="109"/>
    </row>
    <row r="61" ht="14.25" customHeight="1">
      <c r="W61" s="109"/>
    </row>
    <row r="62" ht="14.25" customHeight="1">
      <c r="W62" s="109"/>
    </row>
    <row r="63" ht="14.25" customHeight="1">
      <c r="W63" s="109"/>
    </row>
    <row r="64" ht="14.25" customHeight="1">
      <c r="W64" s="109"/>
    </row>
    <row r="65" ht="14.25" customHeight="1">
      <c r="W65" s="109"/>
    </row>
    <row r="66" ht="14.25" customHeight="1">
      <c r="W66" s="109"/>
    </row>
    <row r="67" ht="14.25" customHeight="1">
      <c r="W67" s="109"/>
    </row>
    <row r="68" ht="14.25" customHeight="1">
      <c r="W68" s="109"/>
    </row>
    <row r="69" ht="14.25" customHeight="1">
      <c r="W69" s="109"/>
    </row>
    <row r="70" ht="14.25" customHeight="1">
      <c r="W70" s="109"/>
    </row>
    <row r="71" ht="14.25" customHeight="1">
      <c r="W71" s="109"/>
    </row>
    <row r="72" ht="14.25" customHeight="1">
      <c r="W72" s="109"/>
    </row>
    <row r="73" ht="14.25" customHeight="1">
      <c r="W73" s="109"/>
    </row>
    <row r="74" ht="14.25" customHeight="1">
      <c r="W74" s="109"/>
    </row>
    <row r="75" ht="14.25" customHeight="1">
      <c r="W75" s="109"/>
    </row>
    <row r="76" ht="14.25" customHeight="1">
      <c r="W76" s="109"/>
    </row>
    <row r="77" ht="14.25" customHeight="1">
      <c r="W77" s="109"/>
    </row>
    <row r="78" ht="14.25" customHeight="1">
      <c r="W78" s="109"/>
    </row>
    <row r="79" ht="14.25" customHeight="1">
      <c r="W79" s="109"/>
    </row>
    <row r="80" ht="14.25" customHeight="1">
      <c r="W80" s="109"/>
    </row>
    <row r="81" ht="14.25" customHeight="1">
      <c r="W81" s="109"/>
    </row>
    <row r="82" ht="14.25" customHeight="1">
      <c r="W82" s="109"/>
    </row>
    <row r="83" ht="14.25" customHeight="1">
      <c r="W83" s="109"/>
    </row>
    <row r="84" ht="14.25" customHeight="1">
      <c r="W84" s="109"/>
    </row>
    <row r="85" ht="14.25" customHeight="1">
      <c r="W85" s="109"/>
    </row>
    <row r="86" ht="14.25" customHeight="1">
      <c r="W86" s="109"/>
    </row>
    <row r="87" ht="14.25" customHeight="1">
      <c r="W87" s="109"/>
    </row>
    <row r="88" ht="14.25" customHeight="1">
      <c r="W88" s="109"/>
    </row>
    <row r="89" ht="14.25" customHeight="1">
      <c r="W89" s="109"/>
    </row>
    <row r="90" ht="14.25" customHeight="1">
      <c r="W90" s="109"/>
    </row>
    <row r="91" ht="14.25" customHeight="1">
      <c r="W91" s="109"/>
    </row>
    <row r="92" ht="14.25" customHeight="1">
      <c r="W92" s="109"/>
    </row>
    <row r="93" ht="14.25" customHeight="1">
      <c r="W93" s="109"/>
    </row>
    <row r="94" ht="14.25" customHeight="1">
      <c r="W94" s="109"/>
    </row>
    <row r="95" ht="14.25" customHeight="1">
      <c r="W95" s="109"/>
    </row>
    <row r="96" ht="14.25" customHeight="1">
      <c r="W96" s="109"/>
    </row>
    <row r="97" ht="14.25" customHeight="1">
      <c r="W97" s="109"/>
    </row>
    <row r="98" ht="14.25" customHeight="1">
      <c r="W98" s="109"/>
    </row>
    <row r="99" ht="14.25" customHeight="1">
      <c r="W99" s="109"/>
    </row>
    <row r="100" ht="14.25" customHeight="1">
      <c r="W100" s="109"/>
    </row>
    <row r="101" ht="14.25" customHeight="1">
      <c r="W101" s="109"/>
    </row>
    <row r="102" ht="14.25" customHeight="1">
      <c r="W102" s="109"/>
    </row>
    <row r="103" ht="14.25" customHeight="1">
      <c r="W103" s="109"/>
    </row>
    <row r="104" ht="14.25" customHeight="1">
      <c r="W104" s="109"/>
    </row>
    <row r="105" ht="14.25" customHeight="1">
      <c r="W105" s="109"/>
    </row>
    <row r="106" ht="14.25" customHeight="1">
      <c r="W106" s="109"/>
    </row>
    <row r="107" ht="14.25" customHeight="1">
      <c r="W107" s="109"/>
    </row>
    <row r="108" ht="14.25" customHeight="1">
      <c r="W108" s="109"/>
    </row>
    <row r="109" ht="14.25" customHeight="1">
      <c r="W109" s="109"/>
    </row>
    <row r="110" ht="14.25" customHeight="1">
      <c r="W110" s="109"/>
    </row>
    <row r="111" ht="14.25" customHeight="1">
      <c r="W111" s="109"/>
    </row>
    <row r="112" ht="14.25" customHeight="1">
      <c r="W112" s="109"/>
    </row>
    <row r="113" ht="14.25" customHeight="1">
      <c r="W113" s="109"/>
    </row>
    <row r="114" ht="14.25" customHeight="1">
      <c r="W114" s="109"/>
    </row>
    <row r="115" ht="14.25" customHeight="1">
      <c r="W115" s="109"/>
    </row>
    <row r="116" ht="14.25" customHeight="1">
      <c r="W116" s="109"/>
    </row>
    <row r="117" ht="14.25" customHeight="1">
      <c r="W117" s="109"/>
    </row>
    <row r="118" ht="14.25" customHeight="1">
      <c r="W118" s="109"/>
    </row>
    <row r="119" ht="14.25" customHeight="1">
      <c r="W119" s="109"/>
    </row>
    <row r="120" ht="14.25" customHeight="1">
      <c r="W120" s="109"/>
    </row>
    <row r="121" ht="14.25" customHeight="1">
      <c r="W121" s="109"/>
    </row>
    <row r="122" ht="14.25" customHeight="1">
      <c r="W122" s="109"/>
    </row>
    <row r="123" ht="14.25" customHeight="1">
      <c r="W123" s="109"/>
    </row>
    <row r="124" ht="14.25" customHeight="1">
      <c r="W124" s="109"/>
    </row>
    <row r="125" ht="14.25" customHeight="1">
      <c r="W125" s="109"/>
    </row>
    <row r="126" ht="14.25" customHeight="1">
      <c r="W126" s="109"/>
    </row>
    <row r="127" ht="14.25" customHeight="1">
      <c r="W127" s="109"/>
    </row>
    <row r="128" ht="14.25" customHeight="1">
      <c r="W128" s="109"/>
    </row>
    <row r="129" ht="14.25" customHeight="1">
      <c r="W129" s="109"/>
    </row>
    <row r="130" ht="14.25" customHeight="1">
      <c r="W130" s="109"/>
    </row>
    <row r="131" ht="14.25" customHeight="1">
      <c r="W131" s="109"/>
    </row>
    <row r="132" ht="14.25" customHeight="1">
      <c r="W132" s="109"/>
    </row>
    <row r="133" ht="14.25" customHeight="1">
      <c r="W133" s="109"/>
    </row>
    <row r="134" ht="14.25" customHeight="1">
      <c r="W134" s="109"/>
    </row>
    <row r="135" ht="14.25" customHeight="1">
      <c r="W135" s="109"/>
    </row>
    <row r="136" ht="14.25" customHeight="1">
      <c r="W136" s="109"/>
    </row>
    <row r="137" ht="14.25" customHeight="1">
      <c r="W137" s="109"/>
    </row>
    <row r="138" ht="14.25" customHeight="1">
      <c r="W138" s="109"/>
    </row>
    <row r="139" ht="14.25" customHeight="1">
      <c r="W139" s="109"/>
    </row>
    <row r="140" ht="14.25" customHeight="1">
      <c r="W140" s="109"/>
    </row>
    <row r="141" ht="14.25" customHeight="1">
      <c r="W141" s="109"/>
    </row>
    <row r="142" ht="14.25" customHeight="1">
      <c r="W142" s="109"/>
    </row>
    <row r="143" ht="14.25" customHeight="1">
      <c r="W143" s="109"/>
    </row>
    <row r="144" ht="14.25" customHeight="1">
      <c r="W144" s="109"/>
    </row>
    <row r="145" ht="14.25" customHeight="1">
      <c r="W145" s="109"/>
    </row>
    <row r="146" ht="14.25" customHeight="1">
      <c r="W146" s="109"/>
    </row>
    <row r="147" ht="14.25" customHeight="1">
      <c r="W147" s="109"/>
    </row>
    <row r="148" ht="14.25" customHeight="1">
      <c r="W148" s="109"/>
    </row>
    <row r="149" ht="14.25" customHeight="1">
      <c r="W149" s="109"/>
    </row>
    <row r="150" ht="14.25" customHeight="1">
      <c r="W150" s="109"/>
    </row>
    <row r="151" ht="14.25" customHeight="1">
      <c r="W151" s="109"/>
    </row>
    <row r="152" ht="14.25" customHeight="1">
      <c r="W152" s="109"/>
    </row>
    <row r="153" ht="14.25" customHeight="1">
      <c r="W153" s="109"/>
    </row>
    <row r="154" ht="14.25" customHeight="1">
      <c r="W154" s="109"/>
    </row>
    <row r="155" ht="14.25" customHeight="1">
      <c r="W155" s="109"/>
    </row>
    <row r="156" ht="14.25" customHeight="1">
      <c r="W156" s="109"/>
    </row>
    <row r="157" ht="14.25" customHeight="1">
      <c r="W157" s="109"/>
    </row>
    <row r="158" ht="14.25" customHeight="1">
      <c r="W158" s="109"/>
    </row>
    <row r="159" ht="14.25" customHeight="1">
      <c r="W159" s="109"/>
    </row>
    <row r="160" ht="14.25" customHeight="1">
      <c r="W160" s="109"/>
    </row>
    <row r="161" ht="14.25" customHeight="1">
      <c r="W161" s="109"/>
    </row>
    <row r="162" ht="14.25" customHeight="1">
      <c r="W162" s="109"/>
    </row>
    <row r="163" ht="14.25" customHeight="1">
      <c r="W163" s="109"/>
    </row>
    <row r="164" ht="14.25" customHeight="1">
      <c r="W164" s="109"/>
    </row>
    <row r="165" ht="14.25" customHeight="1">
      <c r="W165" s="109"/>
    </row>
    <row r="166" ht="14.25" customHeight="1">
      <c r="W166" s="109"/>
    </row>
    <row r="167" ht="14.25" customHeight="1">
      <c r="W167" s="109"/>
    </row>
    <row r="168" ht="14.25" customHeight="1">
      <c r="W168" s="109"/>
    </row>
    <row r="169" ht="14.25" customHeight="1">
      <c r="W169" s="109"/>
    </row>
    <row r="170" ht="14.25" customHeight="1">
      <c r="W170" s="109"/>
    </row>
    <row r="171" ht="14.25" customHeight="1">
      <c r="W171" s="109"/>
    </row>
    <row r="172" ht="14.25" customHeight="1">
      <c r="W172" s="109"/>
    </row>
    <row r="173" ht="14.25" customHeight="1">
      <c r="W173" s="109"/>
    </row>
    <row r="174" ht="14.25" customHeight="1">
      <c r="W174" s="109"/>
    </row>
    <row r="175" ht="14.25" customHeight="1">
      <c r="W175" s="109"/>
    </row>
    <row r="176" ht="14.25" customHeight="1">
      <c r="W176" s="109"/>
    </row>
    <row r="177" ht="14.25" customHeight="1">
      <c r="W177" s="109"/>
    </row>
    <row r="178" ht="14.25" customHeight="1">
      <c r="W178" s="109"/>
    </row>
    <row r="179" ht="14.25" customHeight="1">
      <c r="W179" s="109"/>
    </row>
    <row r="180" ht="14.25" customHeight="1">
      <c r="W180" s="109"/>
    </row>
    <row r="181" ht="14.25" customHeight="1">
      <c r="W181" s="109"/>
    </row>
    <row r="182" ht="14.25" customHeight="1">
      <c r="W182" s="109"/>
    </row>
    <row r="183" ht="14.25" customHeight="1">
      <c r="W183" s="109"/>
    </row>
    <row r="184" ht="14.25" customHeight="1">
      <c r="W184" s="109"/>
    </row>
    <row r="185" ht="14.25" customHeight="1">
      <c r="W185" s="109"/>
    </row>
    <row r="186" ht="14.25" customHeight="1">
      <c r="W186" s="109"/>
    </row>
    <row r="187" ht="14.25" customHeight="1">
      <c r="W187" s="109"/>
    </row>
    <row r="188" ht="14.25" customHeight="1">
      <c r="W188" s="109"/>
    </row>
    <row r="189" ht="14.25" customHeight="1">
      <c r="W189" s="109"/>
    </row>
    <row r="190" ht="14.25" customHeight="1">
      <c r="W190" s="109"/>
    </row>
    <row r="191" ht="14.25" customHeight="1">
      <c r="W191" s="109"/>
    </row>
    <row r="192" ht="14.25" customHeight="1">
      <c r="W192" s="109"/>
    </row>
    <row r="193" ht="14.25" customHeight="1">
      <c r="W193" s="109"/>
    </row>
    <row r="194" ht="14.25" customHeight="1">
      <c r="W194" s="109"/>
    </row>
    <row r="195" ht="14.25" customHeight="1">
      <c r="W195" s="109"/>
    </row>
    <row r="196" ht="14.25" customHeight="1">
      <c r="W196" s="109"/>
    </row>
    <row r="197" ht="14.25" customHeight="1">
      <c r="W197" s="109"/>
    </row>
    <row r="198" ht="14.25" customHeight="1">
      <c r="W198" s="109"/>
    </row>
    <row r="199" ht="14.25" customHeight="1">
      <c r="W199" s="109"/>
    </row>
    <row r="200" ht="14.25" customHeight="1">
      <c r="W200" s="109"/>
    </row>
    <row r="201" ht="14.25" customHeight="1">
      <c r="W201" s="109"/>
    </row>
    <row r="202" ht="14.25" customHeight="1">
      <c r="W202" s="109"/>
    </row>
    <row r="203" ht="14.25" customHeight="1">
      <c r="W203" s="109"/>
    </row>
    <row r="204" ht="14.25" customHeight="1">
      <c r="W204" s="109"/>
    </row>
    <row r="205" ht="14.25" customHeight="1">
      <c r="W205" s="109"/>
    </row>
    <row r="206" ht="14.25" customHeight="1">
      <c r="W206" s="109"/>
    </row>
    <row r="207" ht="14.25" customHeight="1">
      <c r="W207" s="109"/>
    </row>
    <row r="208" ht="14.25" customHeight="1">
      <c r="W208" s="109"/>
    </row>
    <row r="209" ht="14.25" customHeight="1">
      <c r="W209" s="109"/>
    </row>
    <row r="210" ht="14.25" customHeight="1">
      <c r="W210" s="109"/>
    </row>
    <row r="211" ht="14.25" customHeight="1">
      <c r="W211" s="109"/>
    </row>
    <row r="212" ht="14.25" customHeight="1">
      <c r="W212" s="109"/>
    </row>
    <row r="213" ht="14.25" customHeight="1">
      <c r="W213" s="109"/>
    </row>
    <row r="214" ht="14.25" customHeight="1">
      <c r="W214" s="109"/>
    </row>
    <row r="215" ht="14.25" customHeight="1">
      <c r="W215" s="109"/>
    </row>
    <row r="216" ht="14.25" customHeight="1">
      <c r="W216" s="109"/>
    </row>
    <row r="217" ht="14.25" customHeight="1">
      <c r="W217" s="109"/>
    </row>
    <row r="218" ht="14.25" customHeight="1">
      <c r="W218" s="109"/>
    </row>
    <row r="219" ht="14.25" customHeight="1">
      <c r="W219" s="109"/>
    </row>
    <row r="220" ht="14.25" customHeight="1">
      <c r="W220" s="109"/>
    </row>
    <row r="221" ht="14.25" customHeight="1">
      <c r="W221" s="109"/>
    </row>
    <row r="222" ht="14.25" customHeight="1">
      <c r="W222" s="109"/>
    </row>
    <row r="223" ht="14.25" customHeight="1">
      <c r="W223" s="109"/>
    </row>
    <row r="224" ht="14.25" customHeight="1">
      <c r="W224" s="109"/>
    </row>
    <row r="225" ht="14.25" customHeight="1">
      <c r="W225" s="109"/>
    </row>
    <row r="226" ht="14.25" customHeight="1">
      <c r="W226" s="109"/>
    </row>
    <row r="227" ht="14.25" customHeight="1">
      <c r="W227" s="109"/>
    </row>
    <row r="228" ht="14.25" customHeight="1">
      <c r="W228" s="109"/>
    </row>
    <row r="229" ht="14.25" customHeight="1">
      <c r="W229" s="109"/>
    </row>
    <row r="230" ht="15.75" customHeight="1">
      <c r="W230" s="109"/>
    </row>
    <row r="231" ht="15.75" customHeight="1">
      <c r="W231" s="109"/>
    </row>
    <row r="232" ht="15.75" customHeight="1">
      <c r="W232" s="109"/>
    </row>
    <row r="233" ht="15.75" customHeight="1">
      <c r="W233" s="109"/>
    </row>
    <row r="234" ht="15.75" customHeight="1">
      <c r="W234" s="109"/>
    </row>
    <row r="235" ht="15.75" customHeight="1">
      <c r="W235" s="109"/>
    </row>
    <row r="236" ht="15.75" customHeight="1">
      <c r="W236" s="109"/>
    </row>
    <row r="237" ht="15.75" customHeight="1">
      <c r="W237" s="109"/>
    </row>
    <row r="238" ht="15.75" customHeight="1">
      <c r="W238" s="109"/>
    </row>
    <row r="239" ht="15.75" customHeight="1">
      <c r="W239" s="109"/>
    </row>
    <row r="240" ht="15.75" customHeight="1">
      <c r="W240" s="109"/>
    </row>
    <row r="241" ht="15.75" customHeight="1">
      <c r="W241" s="109"/>
    </row>
    <row r="242" ht="15.75" customHeight="1">
      <c r="W242" s="109"/>
    </row>
    <row r="243" ht="15.75" customHeight="1">
      <c r="W243" s="109"/>
    </row>
    <row r="244" ht="15.75" customHeight="1">
      <c r="W244" s="109"/>
    </row>
    <row r="245" ht="15.75" customHeight="1">
      <c r="W245" s="109"/>
    </row>
    <row r="246" ht="15.75" customHeight="1">
      <c r="W246" s="109"/>
    </row>
    <row r="247" ht="15.75" customHeight="1">
      <c r="W247" s="109"/>
    </row>
    <row r="248" ht="15.75" customHeight="1">
      <c r="W248" s="109"/>
    </row>
    <row r="249" ht="15.75" customHeight="1">
      <c r="W249" s="109"/>
    </row>
    <row r="250" ht="15.75" customHeight="1">
      <c r="W250" s="109"/>
    </row>
    <row r="251" ht="15.75" customHeight="1">
      <c r="W251" s="109"/>
    </row>
    <row r="252" ht="15.75" customHeight="1">
      <c r="W252" s="109"/>
    </row>
    <row r="253" ht="15.75" customHeight="1">
      <c r="W253" s="109"/>
    </row>
    <row r="254" ht="15.75" customHeight="1">
      <c r="W254" s="109"/>
    </row>
    <row r="255" ht="15.75" customHeight="1">
      <c r="W255" s="109"/>
    </row>
    <row r="256" ht="15.75" customHeight="1">
      <c r="W256" s="109"/>
    </row>
    <row r="257" ht="15.75" customHeight="1">
      <c r="W257" s="109"/>
    </row>
    <row r="258" ht="15.75" customHeight="1">
      <c r="W258" s="109"/>
    </row>
    <row r="259" ht="15.75" customHeight="1">
      <c r="W259" s="109"/>
    </row>
    <row r="260" ht="15.75" customHeight="1">
      <c r="W260" s="109"/>
    </row>
    <row r="261" ht="15.75" customHeight="1">
      <c r="W261" s="109"/>
    </row>
    <row r="262" ht="15.75" customHeight="1">
      <c r="W262" s="109"/>
    </row>
    <row r="263" ht="15.75" customHeight="1">
      <c r="W263" s="109"/>
    </row>
    <row r="264" ht="15.75" customHeight="1">
      <c r="W264" s="109"/>
    </row>
    <row r="265" ht="15.75" customHeight="1">
      <c r="W265" s="109"/>
    </row>
    <row r="266" ht="15.75" customHeight="1">
      <c r="W266" s="109"/>
    </row>
    <row r="267" ht="15.75" customHeight="1">
      <c r="W267" s="109"/>
    </row>
    <row r="268" ht="15.75" customHeight="1">
      <c r="W268" s="109"/>
    </row>
    <row r="269" ht="15.75" customHeight="1">
      <c r="W269" s="109"/>
    </row>
    <row r="270" ht="15.75" customHeight="1">
      <c r="W270" s="109"/>
    </row>
    <row r="271" ht="15.75" customHeight="1">
      <c r="W271" s="109"/>
    </row>
    <row r="272" ht="15.75" customHeight="1">
      <c r="W272" s="109"/>
    </row>
    <row r="273" ht="15.75" customHeight="1">
      <c r="W273" s="109"/>
    </row>
    <row r="274" ht="15.75" customHeight="1">
      <c r="W274" s="109"/>
    </row>
    <row r="275" ht="15.75" customHeight="1">
      <c r="W275" s="109"/>
    </row>
    <row r="276" ht="15.75" customHeight="1">
      <c r="W276" s="109"/>
    </row>
    <row r="277" ht="15.75" customHeight="1">
      <c r="W277" s="109"/>
    </row>
    <row r="278" ht="15.75" customHeight="1">
      <c r="W278" s="109"/>
    </row>
    <row r="279" ht="15.75" customHeight="1">
      <c r="W279" s="109"/>
    </row>
    <row r="280" ht="15.75" customHeight="1">
      <c r="W280" s="109"/>
    </row>
    <row r="281" ht="15.75" customHeight="1">
      <c r="W281" s="109"/>
    </row>
    <row r="282" ht="15.75" customHeight="1">
      <c r="W282" s="109"/>
    </row>
    <row r="283" ht="15.75" customHeight="1">
      <c r="W283" s="109"/>
    </row>
    <row r="284" ht="15.75" customHeight="1">
      <c r="W284" s="109"/>
    </row>
    <row r="285" ht="15.75" customHeight="1">
      <c r="W285" s="109"/>
    </row>
    <row r="286" ht="15.75" customHeight="1">
      <c r="W286" s="109"/>
    </row>
    <row r="287" ht="15.75" customHeight="1">
      <c r="W287" s="109"/>
    </row>
    <row r="288" ht="15.75" customHeight="1">
      <c r="W288" s="109"/>
    </row>
    <row r="289" ht="15.75" customHeight="1">
      <c r="W289" s="109"/>
    </row>
    <row r="290" ht="15.75" customHeight="1">
      <c r="W290" s="109"/>
    </row>
    <row r="291" ht="15.75" customHeight="1">
      <c r="W291" s="109"/>
    </row>
    <row r="292" ht="15.75" customHeight="1">
      <c r="W292" s="109"/>
    </row>
    <row r="293" ht="15.75" customHeight="1">
      <c r="W293" s="109"/>
    </row>
    <row r="294" ht="15.75" customHeight="1">
      <c r="W294" s="109"/>
    </row>
    <row r="295" ht="15.75" customHeight="1">
      <c r="W295" s="109"/>
    </row>
    <row r="296" ht="15.75" customHeight="1">
      <c r="W296" s="109"/>
    </row>
    <row r="297" ht="15.75" customHeight="1">
      <c r="W297" s="109"/>
    </row>
    <row r="298" ht="15.75" customHeight="1">
      <c r="W298" s="109"/>
    </row>
    <row r="299" ht="15.75" customHeight="1">
      <c r="W299" s="109"/>
    </row>
    <row r="300" ht="15.75" customHeight="1">
      <c r="W300" s="109"/>
    </row>
    <row r="301" ht="15.75" customHeight="1">
      <c r="W301" s="109"/>
    </row>
    <row r="302" ht="15.75" customHeight="1">
      <c r="W302" s="109"/>
    </row>
    <row r="303" ht="15.75" customHeight="1">
      <c r="W303" s="109"/>
    </row>
    <row r="304" ht="15.75" customHeight="1">
      <c r="W304" s="109"/>
    </row>
    <row r="305" ht="15.75" customHeight="1">
      <c r="W305" s="109"/>
    </row>
    <row r="306" ht="15.75" customHeight="1">
      <c r="W306" s="109"/>
    </row>
    <row r="307" ht="15.75" customHeight="1">
      <c r="W307" s="109"/>
    </row>
    <row r="308" ht="15.75" customHeight="1">
      <c r="W308" s="109"/>
    </row>
    <row r="309" ht="15.75" customHeight="1">
      <c r="W309" s="109"/>
    </row>
    <row r="310" ht="15.75" customHeight="1">
      <c r="W310" s="109"/>
    </row>
    <row r="311" ht="15.75" customHeight="1">
      <c r="W311" s="109"/>
    </row>
    <row r="312" ht="15.75" customHeight="1">
      <c r="W312" s="109"/>
    </row>
    <row r="313" ht="15.75" customHeight="1">
      <c r="W313" s="109"/>
    </row>
    <row r="314" ht="15.75" customHeight="1">
      <c r="W314" s="109"/>
    </row>
    <row r="315" ht="15.75" customHeight="1">
      <c r="W315" s="109"/>
    </row>
    <row r="316" ht="15.75" customHeight="1">
      <c r="W316" s="109"/>
    </row>
    <row r="317" ht="15.75" customHeight="1">
      <c r="W317" s="109"/>
    </row>
    <row r="318" ht="15.75" customHeight="1">
      <c r="W318" s="109"/>
    </row>
    <row r="319" ht="15.75" customHeight="1">
      <c r="W319" s="109"/>
    </row>
    <row r="320" ht="15.75" customHeight="1">
      <c r="W320" s="109"/>
    </row>
    <row r="321" ht="15.75" customHeight="1">
      <c r="W321" s="109"/>
    </row>
    <row r="322" ht="15.75" customHeight="1">
      <c r="W322" s="109"/>
    </row>
    <row r="323" ht="15.75" customHeight="1">
      <c r="W323" s="109"/>
    </row>
    <row r="324" ht="15.75" customHeight="1">
      <c r="W324" s="109"/>
    </row>
    <row r="325" ht="15.75" customHeight="1">
      <c r="W325" s="109"/>
    </row>
    <row r="326" ht="15.75" customHeight="1">
      <c r="W326" s="109"/>
    </row>
    <row r="327" ht="15.75" customHeight="1">
      <c r="W327" s="109"/>
    </row>
    <row r="328" ht="15.75" customHeight="1">
      <c r="W328" s="109"/>
    </row>
    <row r="329" ht="15.75" customHeight="1">
      <c r="W329" s="109"/>
    </row>
    <row r="330" ht="15.75" customHeight="1">
      <c r="W330" s="109"/>
    </row>
    <row r="331" ht="15.75" customHeight="1">
      <c r="W331" s="109"/>
    </row>
    <row r="332" ht="15.75" customHeight="1">
      <c r="W332" s="109"/>
    </row>
    <row r="333" ht="15.75" customHeight="1">
      <c r="W333" s="109"/>
    </row>
    <row r="334" ht="15.75" customHeight="1">
      <c r="W334" s="109"/>
    </row>
    <row r="335" ht="15.75" customHeight="1">
      <c r="W335" s="109"/>
    </row>
    <row r="336" ht="15.75" customHeight="1">
      <c r="W336" s="109"/>
    </row>
    <row r="337" ht="15.75" customHeight="1">
      <c r="W337" s="109"/>
    </row>
    <row r="338" ht="15.75" customHeight="1">
      <c r="W338" s="109"/>
    </row>
    <row r="339" ht="15.75" customHeight="1">
      <c r="W339" s="109"/>
    </row>
    <row r="340" ht="15.75" customHeight="1">
      <c r="W340" s="109"/>
    </row>
    <row r="341" ht="15.75" customHeight="1">
      <c r="W341" s="109"/>
    </row>
    <row r="342" ht="15.75" customHeight="1">
      <c r="W342" s="109"/>
    </row>
    <row r="343" ht="15.75" customHeight="1">
      <c r="W343" s="109"/>
    </row>
    <row r="344" ht="15.75" customHeight="1">
      <c r="W344" s="109"/>
    </row>
    <row r="345" ht="15.75" customHeight="1">
      <c r="W345" s="109"/>
    </row>
    <row r="346" ht="15.75" customHeight="1">
      <c r="W346" s="109"/>
    </row>
    <row r="347" ht="15.75" customHeight="1">
      <c r="W347" s="109"/>
    </row>
    <row r="348" ht="15.75" customHeight="1">
      <c r="W348" s="109"/>
    </row>
    <row r="349" ht="15.75" customHeight="1">
      <c r="W349" s="109"/>
    </row>
    <row r="350" ht="15.75" customHeight="1">
      <c r="W350" s="109"/>
    </row>
    <row r="351" ht="15.75" customHeight="1">
      <c r="W351" s="109"/>
    </row>
    <row r="352" ht="15.75" customHeight="1">
      <c r="W352" s="109"/>
    </row>
    <row r="353" ht="15.75" customHeight="1">
      <c r="W353" s="109"/>
    </row>
    <row r="354" ht="15.75" customHeight="1">
      <c r="W354" s="109"/>
    </row>
    <row r="355" ht="15.75" customHeight="1">
      <c r="W355" s="109"/>
    </row>
    <row r="356" ht="15.75" customHeight="1">
      <c r="W356" s="109"/>
    </row>
    <row r="357" ht="15.75" customHeight="1">
      <c r="W357" s="109"/>
    </row>
    <row r="358" ht="15.75" customHeight="1">
      <c r="W358" s="109"/>
    </row>
    <row r="359" ht="15.75" customHeight="1">
      <c r="W359" s="109"/>
    </row>
    <row r="360" ht="15.75" customHeight="1">
      <c r="W360" s="109"/>
    </row>
    <row r="361" ht="15.75" customHeight="1">
      <c r="W361" s="109"/>
    </row>
    <row r="362" ht="15.75" customHeight="1">
      <c r="W362" s="109"/>
    </row>
    <row r="363" ht="15.75" customHeight="1">
      <c r="W363" s="109"/>
    </row>
    <row r="364" ht="15.75" customHeight="1">
      <c r="W364" s="109"/>
    </row>
    <row r="365" ht="15.75" customHeight="1">
      <c r="W365" s="109"/>
    </row>
    <row r="366" ht="15.75" customHeight="1">
      <c r="W366" s="109"/>
    </row>
    <row r="367" ht="15.75" customHeight="1">
      <c r="W367" s="109"/>
    </row>
    <row r="368" ht="15.75" customHeight="1">
      <c r="W368" s="109"/>
    </row>
    <row r="369" ht="15.75" customHeight="1">
      <c r="W369" s="109"/>
    </row>
    <row r="370" ht="15.75" customHeight="1">
      <c r="W370" s="109"/>
    </row>
    <row r="371" ht="15.75" customHeight="1">
      <c r="W371" s="109"/>
    </row>
    <row r="372" ht="15.75" customHeight="1">
      <c r="W372" s="109"/>
    </row>
    <row r="373" ht="15.75" customHeight="1">
      <c r="W373" s="109"/>
    </row>
    <row r="374" ht="15.75" customHeight="1">
      <c r="W374" s="109"/>
    </row>
    <row r="375" ht="15.75" customHeight="1">
      <c r="W375" s="109"/>
    </row>
    <row r="376" ht="15.75" customHeight="1">
      <c r="W376" s="109"/>
    </row>
    <row r="377" ht="15.75" customHeight="1">
      <c r="W377" s="109"/>
    </row>
    <row r="378" ht="15.75" customHeight="1">
      <c r="W378" s="109"/>
    </row>
    <row r="379" ht="15.75" customHeight="1">
      <c r="W379" s="109"/>
    </row>
    <row r="380" ht="15.75" customHeight="1">
      <c r="W380" s="109"/>
    </row>
    <row r="381" ht="15.75" customHeight="1">
      <c r="W381" s="109"/>
    </row>
    <row r="382" ht="15.75" customHeight="1">
      <c r="W382" s="109"/>
    </row>
    <row r="383" ht="15.75" customHeight="1">
      <c r="W383" s="109"/>
    </row>
    <row r="384" ht="15.75" customHeight="1">
      <c r="W384" s="109"/>
    </row>
    <row r="385" ht="15.75" customHeight="1">
      <c r="W385" s="109"/>
    </row>
    <row r="386" ht="15.75" customHeight="1">
      <c r="W386" s="109"/>
    </row>
    <row r="387" ht="15.75" customHeight="1">
      <c r="W387" s="109"/>
    </row>
    <row r="388" ht="15.75" customHeight="1">
      <c r="W388" s="109"/>
    </row>
    <row r="389" ht="15.75" customHeight="1">
      <c r="W389" s="109"/>
    </row>
    <row r="390" ht="15.75" customHeight="1">
      <c r="W390" s="109"/>
    </row>
    <row r="391" ht="15.75" customHeight="1">
      <c r="W391" s="109"/>
    </row>
    <row r="392" ht="15.75" customHeight="1">
      <c r="W392" s="109"/>
    </row>
    <row r="393" ht="15.75" customHeight="1">
      <c r="W393" s="109"/>
    </row>
    <row r="394" ht="15.75" customHeight="1">
      <c r="W394" s="109"/>
    </row>
    <row r="395" ht="15.75" customHeight="1">
      <c r="W395" s="109"/>
    </row>
    <row r="396" ht="15.75" customHeight="1">
      <c r="W396" s="109"/>
    </row>
    <row r="397" ht="15.75" customHeight="1">
      <c r="W397" s="109"/>
    </row>
    <row r="398" ht="15.75" customHeight="1">
      <c r="W398" s="109"/>
    </row>
    <row r="399" ht="15.75" customHeight="1">
      <c r="W399" s="109"/>
    </row>
    <row r="400" ht="15.75" customHeight="1">
      <c r="W400" s="109"/>
    </row>
    <row r="401" ht="15.75" customHeight="1">
      <c r="W401" s="109"/>
    </row>
    <row r="402" ht="15.75" customHeight="1">
      <c r="W402" s="109"/>
    </row>
    <row r="403" ht="15.75" customHeight="1">
      <c r="W403" s="109"/>
    </row>
    <row r="404" ht="15.75" customHeight="1">
      <c r="W404" s="109"/>
    </row>
    <row r="405" ht="15.75" customHeight="1">
      <c r="W405" s="109"/>
    </row>
    <row r="406" ht="15.75" customHeight="1">
      <c r="W406" s="109"/>
    </row>
    <row r="407" ht="15.75" customHeight="1">
      <c r="W407" s="109"/>
    </row>
    <row r="408" ht="15.75" customHeight="1">
      <c r="W408" s="109"/>
    </row>
    <row r="409" ht="15.75" customHeight="1">
      <c r="W409" s="109"/>
    </row>
    <row r="410" ht="15.75" customHeight="1">
      <c r="W410" s="109"/>
    </row>
    <row r="411" ht="15.75" customHeight="1">
      <c r="W411" s="109"/>
    </row>
    <row r="412" ht="15.75" customHeight="1">
      <c r="W412" s="109"/>
    </row>
    <row r="413" ht="15.75" customHeight="1">
      <c r="W413" s="109"/>
    </row>
    <row r="414" ht="15.75" customHeight="1">
      <c r="W414" s="109"/>
    </row>
    <row r="415" ht="15.75" customHeight="1">
      <c r="W415" s="109"/>
    </row>
    <row r="416" ht="15.75" customHeight="1">
      <c r="W416" s="109"/>
    </row>
    <row r="417" ht="15.75" customHeight="1">
      <c r="W417" s="109"/>
    </row>
    <row r="418" ht="15.75" customHeight="1">
      <c r="W418" s="109"/>
    </row>
    <row r="419" ht="15.75" customHeight="1">
      <c r="W419" s="109"/>
    </row>
    <row r="420" ht="15.75" customHeight="1">
      <c r="W420" s="109"/>
    </row>
    <row r="421" ht="15.75" customHeight="1">
      <c r="W421" s="109"/>
    </row>
    <row r="422" ht="15.75" customHeight="1">
      <c r="W422" s="109"/>
    </row>
    <row r="423" ht="15.75" customHeight="1">
      <c r="W423" s="109"/>
    </row>
    <row r="424" ht="15.75" customHeight="1">
      <c r="W424" s="109"/>
    </row>
    <row r="425" ht="15.75" customHeight="1">
      <c r="W425" s="109"/>
    </row>
    <row r="426" ht="15.75" customHeight="1">
      <c r="W426" s="109"/>
    </row>
    <row r="427" ht="15.75" customHeight="1">
      <c r="W427" s="109"/>
    </row>
    <row r="428" ht="15.75" customHeight="1">
      <c r="W428" s="109"/>
    </row>
    <row r="429" ht="15.75" customHeight="1">
      <c r="W429" s="109"/>
    </row>
    <row r="430" ht="15.75" customHeight="1">
      <c r="W430" s="109"/>
    </row>
    <row r="431" ht="15.75" customHeight="1">
      <c r="W431" s="109"/>
    </row>
    <row r="432" ht="15.75" customHeight="1">
      <c r="W432" s="109"/>
    </row>
    <row r="433" ht="15.75" customHeight="1">
      <c r="W433" s="109"/>
    </row>
    <row r="434" ht="15.75" customHeight="1">
      <c r="W434" s="109"/>
    </row>
    <row r="435" ht="15.75" customHeight="1">
      <c r="W435" s="109"/>
    </row>
    <row r="436" ht="15.75" customHeight="1">
      <c r="W436" s="109"/>
    </row>
    <row r="437" ht="15.75" customHeight="1">
      <c r="W437" s="109"/>
    </row>
    <row r="438" ht="15.75" customHeight="1">
      <c r="W438" s="109"/>
    </row>
    <row r="439" ht="15.75" customHeight="1">
      <c r="W439" s="109"/>
    </row>
    <row r="440" ht="15.75" customHeight="1">
      <c r="W440" s="109"/>
    </row>
    <row r="441" ht="15.75" customHeight="1">
      <c r="W441" s="109"/>
    </row>
    <row r="442" ht="15.75" customHeight="1">
      <c r="W442" s="109"/>
    </row>
    <row r="443" ht="15.75" customHeight="1">
      <c r="W443" s="109"/>
    </row>
    <row r="444" ht="15.75" customHeight="1">
      <c r="W444" s="109"/>
    </row>
    <row r="445" ht="15.75" customHeight="1">
      <c r="W445" s="109"/>
    </row>
    <row r="446" ht="15.75" customHeight="1">
      <c r="W446" s="109"/>
    </row>
    <row r="447" ht="15.75" customHeight="1">
      <c r="W447" s="109"/>
    </row>
    <row r="448" ht="15.75" customHeight="1">
      <c r="W448" s="109"/>
    </row>
    <row r="449" ht="15.75" customHeight="1">
      <c r="W449" s="109"/>
    </row>
    <row r="450" ht="15.75" customHeight="1">
      <c r="W450" s="109"/>
    </row>
    <row r="451" ht="15.75" customHeight="1">
      <c r="W451" s="109"/>
    </row>
    <row r="452" ht="15.75" customHeight="1">
      <c r="W452" s="109"/>
    </row>
    <row r="453" ht="15.75" customHeight="1">
      <c r="W453" s="109"/>
    </row>
    <row r="454" ht="15.75" customHeight="1">
      <c r="W454" s="109"/>
    </row>
    <row r="455" ht="15.75" customHeight="1">
      <c r="W455" s="109"/>
    </row>
    <row r="456" ht="15.75" customHeight="1">
      <c r="W456" s="109"/>
    </row>
    <row r="457" ht="15.75" customHeight="1">
      <c r="W457" s="109"/>
    </row>
    <row r="458" ht="15.75" customHeight="1">
      <c r="W458" s="109"/>
    </row>
    <row r="459" ht="15.75" customHeight="1">
      <c r="W459" s="109"/>
    </row>
    <row r="460" ht="15.75" customHeight="1">
      <c r="W460" s="109"/>
    </row>
    <row r="461" ht="15.75" customHeight="1">
      <c r="W461" s="109"/>
    </row>
    <row r="462" ht="15.75" customHeight="1">
      <c r="W462" s="109"/>
    </row>
    <row r="463" ht="15.75" customHeight="1">
      <c r="W463" s="109"/>
    </row>
    <row r="464" ht="15.75" customHeight="1">
      <c r="W464" s="109"/>
    </row>
    <row r="465" ht="15.75" customHeight="1">
      <c r="W465" s="109"/>
    </row>
    <row r="466" ht="15.75" customHeight="1">
      <c r="W466" s="109"/>
    </row>
    <row r="467" ht="15.75" customHeight="1">
      <c r="W467" s="109"/>
    </row>
    <row r="468" ht="15.75" customHeight="1">
      <c r="W468" s="109"/>
    </row>
    <row r="469" ht="15.75" customHeight="1">
      <c r="W469" s="109"/>
    </row>
    <row r="470" ht="15.75" customHeight="1">
      <c r="W470" s="109"/>
    </row>
    <row r="471" ht="15.75" customHeight="1">
      <c r="W471" s="109"/>
    </row>
    <row r="472" ht="15.75" customHeight="1">
      <c r="W472" s="109"/>
    </row>
    <row r="473" ht="15.75" customHeight="1">
      <c r="W473" s="109"/>
    </row>
    <row r="474" ht="15.75" customHeight="1">
      <c r="W474" s="109"/>
    </row>
    <row r="475" ht="15.75" customHeight="1">
      <c r="W475" s="109"/>
    </row>
    <row r="476" ht="15.75" customHeight="1">
      <c r="W476" s="109"/>
    </row>
    <row r="477" ht="15.75" customHeight="1">
      <c r="W477" s="109"/>
    </row>
    <row r="478" ht="15.75" customHeight="1">
      <c r="W478" s="109"/>
    </row>
    <row r="479" ht="15.75" customHeight="1">
      <c r="W479" s="109"/>
    </row>
    <row r="480" ht="15.75" customHeight="1">
      <c r="W480" s="109"/>
    </row>
    <row r="481" ht="15.75" customHeight="1">
      <c r="W481" s="109"/>
    </row>
    <row r="482" ht="15.75" customHeight="1">
      <c r="W482" s="109"/>
    </row>
    <row r="483" ht="15.75" customHeight="1">
      <c r="W483" s="109"/>
    </row>
    <row r="484" ht="15.75" customHeight="1">
      <c r="W484" s="109"/>
    </row>
    <row r="485" ht="15.75" customHeight="1">
      <c r="W485" s="109"/>
    </row>
    <row r="486" ht="15.75" customHeight="1">
      <c r="W486" s="109"/>
    </row>
    <row r="487" ht="15.75" customHeight="1">
      <c r="W487" s="109"/>
    </row>
    <row r="488" ht="15.75" customHeight="1">
      <c r="W488" s="109"/>
    </row>
    <row r="489" ht="15.75" customHeight="1">
      <c r="W489" s="109"/>
    </row>
    <row r="490" ht="15.75" customHeight="1">
      <c r="W490" s="109"/>
    </row>
    <row r="491" ht="15.75" customHeight="1">
      <c r="W491" s="109"/>
    </row>
    <row r="492" ht="15.75" customHeight="1">
      <c r="W492" s="109"/>
    </row>
    <row r="493" ht="15.75" customHeight="1">
      <c r="W493" s="109"/>
    </row>
    <row r="494" ht="15.75" customHeight="1">
      <c r="W494" s="109"/>
    </row>
    <row r="495" ht="15.75" customHeight="1">
      <c r="W495" s="109"/>
    </row>
    <row r="496" ht="15.75" customHeight="1">
      <c r="W496" s="109"/>
    </row>
    <row r="497" ht="15.75" customHeight="1">
      <c r="W497" s="109"/>
    </row>
    <row r="498" ht="15.75" customHeight="1">
      <c r="W498" s="109"/>
    </row>
    <row r="499" ht="15.75" customHeight="1">
      <c r="W499" s="109"/>
    </row>
    <row r="500" ht="15.75" customHeight="1">
      <c r="W500" s="109"/>
    </row>
    <row r="501" ht="15.75" customHeight="1">
      <c r="W501" s="109"/>
    </row>
    <row r="502" ht="15.75" customHeight="1">
      <c r="W502" s="109"/>
    </row>
    <row r="503" ht="15.75" customHeight="1">
      <c r="W503" s="109"/>
    </row>
    <row r="504" ht="15.75" customHeight="1">
      <c r="W504" s="109"/>
    </row>
    <row r="505" ht="15.75" customHeight="1">
      <c r="W505" s="109"/>
    </row>
    <row r="506" ht="15.75" customHeight="1">
      <c r="W506" s="109"/>
    </row>
    <row r="507" ht="15.75" customHeight="1">
      <c r="W507" s="109"/>
    </row>
    <row r="508" ht="15.75" customHeight="1">
      <c r="W508" s="109"/>
    </row>
    <row r="509" ht="15.75" customHeight="1">
      <c r="W509" s="109"/>
    </row>
    <row r="510" ht="15.75" customHeight="1">
      <c r="W510" s="109"/>
    </row>
    <row r="511" ht="15.75" customHeight="1">
      <c r="W511" s="109"/>
    </row>
    <row r="512" ht="15.75" customHeight="1">
      <c r="W512" s="109"/>
    </row>
    <row r="513" ht="15.75" customHeight="1">
      <c r="W513" s="109"/>
    </row>
    <row r="514" ht="15.75" customHeight="1">
      <c r="W514" s="109"/>
    </row>
    <row r="515" ht="15.75" customHeight="1">
      <c r="W515" s="109"/>
    </row>
    <row r="516" ht="15.75" customHeight="1">
      <c r="W516" s="109"/>
    </row>
    <row r="517" ht="15.75" customHeight="1">
      <c r="W517" s="109"/>
    </row>
    <row r="518" ht="15.75" customHeight="1">
      <c r="W518" s="109"/>
    </row>
    <row r="519" ht="15.75" customHeight="1">
      <c r="W519" s="109"/>
    </row>
    <row r="520" ht="15.75" customHeight="1">
      <c r="W520" s="109"/>
    </row>
    <row r="521" ht="15.75" customHeight="1">
      <c r="W521" s="109"/>
    </row>
    <row r="522" ht="15.75" customHeight="1">
      <c r="W522" s="109"/>
    </row>
    <row r="523" ht="15.75" customHeight="1">
      <c r="W523" s="109"/>
    </row>
    <row r="524" ht="15.75" customHeight="1">
      <c r="W524" s="109"/>
    </row>
    <row r="525" ht="15.75" customHeight="1">
      <c r="W525" s="109"/>
    </row>
    <row r="526" ht="15.75" customHeight="1">
      <c r="W526" s="109"/>
    </row>
    <row r="527" ht="15.75" customHeight="1">
      <c r="W527" s="109"/>
    </row>
    <row r="528" ht="15.75" customHeight="1">
      <c r="W528" s="109"/>
    </row>
    <row r="529" ht="15.75" customHeight="1">
      <c r="W529" s="109"/>
    </row>
    <row r="530" ht="15.75" customHeight="1">
      <c r="W530" s="109"/>
    </row>
    <row r="531" ht="15.75" customHeight="1">
      <c r="W531" s="109"/>
    </row>
    <row r="532" ht="15.75" customHeight="1">
      <c r="W532" s="109"/>
    </row>
    <row r="533" ht="15.75" customHeight="1">
      <c r="W533" s="109"/>
    </row>
    <row r="534" ht="15.75" customHeight="1">
      <c r="W534" s="109"/>
    </row>
    <row r="535" ht="15.75" customHeight="1">
      <c r="W535" s="109"/>
    </row>
    <row r="536" ht="15.75" customHeight="1">
      <c r="W536" s="109"/>
    </row>
    <row r="537" ht="15.75" customHeight="1">
      <c r="W537" s="109"/>
    </row>
    <row r="538" ht="15.75" customHeight="1">
      <c r="W538" s="109"/>
    </row>
    <row r="539" ht="15.75" customHeight="1">
      <c r="W539" s="109"/>
    </row>
    <row r="540" ht="15.75" customHeight="1">
      <c r="W540" s="109"/>
    </row>
    <row r="541" ht="15.75" customHeight="1">
      <c r="W541" s="109"/>
    </row>
    <row r="542" ht="15.75" customHeight="1">
      <c r="W542" s="109"/>
    </row>
    <row r="543" ht="15.75" customHeight="1">
      <c r="W543" s="109"/>
    </row>
    <row r="544" ht="15.75" customHeight="1">
      <c r="W544" s="109"/>
    </row>
    <row r="545" ht="15.75" customHeight="1">
      <c r="W545" s="109"/>
    </row>
    <row r="546" ht="15.75" customHeight="1">
      <c r="W546" s="109"/>
    </row>
    <row r="547" ht="15.75" customHeight="1">
      <c r="W547" s="109"/>
    </row>
    <row r="548" ht="15.75" customHeight="1">
      <c r="W548" s="109"/>
    </row>
    <row r="549" ht="15.75" customHeight="1">
      <c r="W549" s="109"/>
    </row>
    <row r="550" ht="15.75" customHeight="1">
      <c r="W550" s="109"/>
    </row>
    <row r="551" ht="15.75" customHeight="1">
      <c r="W551" s="109"/>
    </row>
    <row r="552" ht="15.75" customHeight="1">
      <c r="W552" s="109"/>
    </row>
    <row r="553" ht="15.75" customHeight="1">
      <c r="W553" s="109"/>
    </row>
    <row r="554" ht="15.75" customHeight="1">
      <c r="W554" s="109"/>
    </row>
    <row r="555" ht="15.75" customHeight="1">
      <c r="W555" s="109"/>
    </row>
    <row r="556" ht="15.75" customHeight="1">
      <c r="W556" s="109"/>
    </row>
    <row r="557" ht="15.75" customHeight="1">
      <c r="W557" s="109"/>
    </row>
    <row r="558" ht="15.75" customHeight="1">
      <c r="W558" s="109"/>
    </row>
    <row r="559" ht="15.75" customHeight="1">
      <c r="W559" s="109"/>
    </row>
    <row r="560" ht="15.75" customHeight="1">
      <c r="W560" s="109"/>
    </row>
    <row r="561" ht="15.75" customHeight="1">
      <c r="W561" s="109"/>
    </row>
    <row r="562" ht="15.75" customHeight="1">
      <c r="W562" s="109"/>
    </row>
    <row r="563" ht="15.75" customHeight="1">
      <c r="W563" s="109"/>
    </row>
    <row r="564" ht="15.75" customHeight="1">
      <c r="W564" s="109"/>
    </row>
    <row r="565" ht="15.75" customHeight="1">
      <c r="W565" s="109"/>
    </row>
    <row r="566" ht="15.75" customHeight="1">
      <c r="W566" s="109"/>
    </row>
    <row r="567" ht="15.75" customHeight="1">
      <c r="W567" s="109"/>
    </row>
    <row r="568" ht="15.75" customHeight="1">
      <c r="W568" s="109"/>
    </row>
    <row r="569" ht="15.75" customHeight="1">
      <c r="W569" s="109"/>
    </row>
    <row r="570" ht="15.75" customHeight="1">
      <c r="W570" s="109"/>
    </row>
    <row r="571" ht="15.75" customHeight="1">
      <c r="W571" s="109"/>
    </row>
    <row r="572" ht="15.75" customHeight="1">
      <c r="W572" s="109"/>
    </row>
    <row r="573" ht="15.75" customHeight="1">
      <c r="W573" s="109"/>
    </row>
    <row r="574" ht="15.75" customHeight="1">
      <c r="W574" s="109"/>
    </row>
    <row r="575" ht="15.75" customHeight="1">
      <c r="W575" s="109"/>
    </row>
    <row r="576" ht="15.75" customHeight="1">
      <c r="W576" s="109"/>
    </row>
    <row r="577" ht="15.75" customHeight="1">
      <c r="W577" s="109"/>
    </row>
    <row r="578" ht="15.75" customHeight="1">
      <c r="W578" s="109"/>
    </row>
    <row r="579" ht="15.75" customHeight="1">
      <c r="W579" s="109"/>
    </row>
    <row r="580" ht="15.75" customHeight="1">
      <c r="W580" s="109"/>
    </row>
    <row r="581" ht="15.75" customHeight="1">
      <c r="W581" s="109"/>
    </row>
    <row r="582" ht="15.75" customHeight="1">
      <c r="W582" s="109"/>
    </row>
    <row r="583" ht="15.75" customHeight="1">
      <c r="W583" s="109"/>
    </row>
    <row r="584" ht="15.75" customHeight="1">
      <c r="W584" s="109"/>
    </row>
    <row r="585" ht="15.75" customHeight="1">
      <c r="W585" s="109"/>
    </row>
    <row r="586" ht="15.75" customHeight="1">
      <c r="W586" s="109"/>
    </row>
    <row r="587" ht="15.75" customHeight="1">
      <c r="W587" s="109"/>
    </row>
    <row r="588" ht="15.75" customHeight="1">
      <c r="W588" s="109"/>
    </row>
    <row r="589" ht="15.75" customHeight="1">
      <c r="W589" s="109"/>
    </row>
    <row r="590" ht="15.75" customHeight="1">
      <c r="W590" s="109"/>
    </row>
    <row r="591" ht="15.75" customHeight="1">
      <c r="W591" s="109"/>
    </row>
    <row r="592" ht="15.75" customHeight="1">
      <c r="W592" s="109"/>
    </row>
    <row r="593" ht="15.75" customHeight="1">
      <c r="W593" s="109"/>
    </row>
    <row r="594" ht="15.75" customHeight="1">
      <c r="W594" s="109"/>
    </row>
    <row r="595" ht="15.75" customHeight="1">
      <c r="W595" s="109"/>
    </row>
    <row r="596" ht="15.75" customHeight="1">
      <c r="W596" s="109"/>
    </row>
    <row r="597" ht="15.75" customHeight="1">
      <c r="W597" s="109"/>
    </row>
    <row r="598" ht="15.75" customHeight="1">
      <c r="W598" s="109"/>
    </row>
    <row r="599" ht="15.75" customHeight="1">
      <c r="W599" s="109"/>
    </row>
    <row r="600" ht="15.75" customHeight="1">
      <c r="W600" s="109"/>
    </row>
    <row r="601" ht="15.75" customHeight="1">
      <c r="W601" s="109"/>
    </row>
    <row r="602" ht="15.75" customHeight="1">
      <c r="W602" s="109"/>
    </row>
    <row r="603" ht="15.75" customHeight="1">
      <c r="W603" s="109"/>
    </row>
    <row r="604" ht="15.75" customHeight="1">
      <c r="W604" s="109"/>
    </row>
    <row r="605" ht="15.75" customHeight="1">
      <c r="W605" s="109"/>
    </row>
    <row r="606" ht="15.75" customHeight="1">
      <c r="W606" s="109"/>
    </row>
    <row r="607" ht="15.75" customHeight="1">
      <c r="W607" s="109"/>
    </row>
    <row r="608" ht="15.75" customHeight="1">
      <c r="W608" s="109"/>
    </row>
    <row r="609" ht="15.75" customHeight="1">
      <c r="W609" s="109"/>
    </row>
    <row r="610" ht="15.75" customHeight="1">
      <c r="W610" s="109"/>
    </row>
    <row r="611" ht="15.75" customHeight="1">
      <c r="W611" s="109"/>
    </row>
    <row r="612" ht="15.75" customHeight="1">
      <c r="W612" s="109"/>
    </row>
    <row r="613" ht="15.75" customHeight="1">
      <c r="W613" s="109"/>
    </row>
    <row r="614" ht="15.75" customHeight="1">
      <c r="W614" s="109"/>
    </row>
    <row r="615" ht="15.75" customHeight="1">
      <c r="W615" s="109"/>
    </row>
    <row r="616" ht="15.75" customHeight="1">
      <c r="W616" s="109"/>
    </row>
    <row r="617" ht="15.75" customHeight="1">
      <c r="W617" s="109"/>
    </row>
    <row r="618" ht="15.75" customHeight="1">
      <c r="W618" s="109"/>
    </row>
    <row r="619" ht="15.75" customHeight="1">
      <c r="W619" s="109"/>
    </row>
    <row r="620" ht="15.75" customHeight="1">
      <c r="W620" s="109"/>
    </row>
    <row r="621" ht="15.75" customHeight="1">
      <c r="W621" s="109"/>
    </row>
    <row r="622" ht="15.75" customHeight="1">
      <c r="W622" s="109"/>
    </row>
    <row r="623" ht="15.75" customHeight="1">
      <c r="W623" s="109"/>
    </row>
    <row r="624" ht="15.75" customHeight="1">
      <c r="W624" s="109"/>
    </row>
    <row r="625" ht="15.75" customHeight="1">
      <c r="W625" s="109"/>
    </row>
    <row r="626" ht="15.75" customHeight="1">
      <c r="W626" s="109"/>
    </row>
    <row r="627" ht="15.75" customHeight="1">
      <c r="W627" s="109"/>
    </row>
    <row r="628" ht="15.75" customHeight="1">
      <c r="W628" s="109"/>
    </row>
    <row r="629" ht="15.75" customHeight="1">
      <c r="W629" s="109"/>
    </row>
    <row r="630" ht="15.75" customHeight="1">
      <c r="W630" s="109"/>
    </row>
    <row r="631" ht="15.75" customHeight="1">
      <c r="W631" s="109"/>
    </row>
    <row r="632" ht="15.75" customHeight="1">
      <c r="W632" s="109"/>
    </row>
    <row r="633" ht="15.75" customHeight="1">
      <c r="W633" s="109"/>
    </row>
    <row r="634" ht="15.75" customHeight="1">
      <c r="W634" s="109"/>
    </row>
    <row r="635" ht="15.75" customHeight="1">
      <c r="W635" s="109"/>
    </row>
    <row r="636" ht="15.75" customHeight="1">
      <c r="W636" s="109"/>
    </row>
    <row r="637" ht="15.75" customHeight="1">
      <c r="W637" s="109"/>
    </row>
    <row r="638" ht="15.75" customHeight="1">
      <c r="W638" s="109"/>
    </row>
    <row r="639" ht="15.75" customHeight="1">
      <c r="W639" s="109"/>
    </row>
    <row r="640" ht="15.75" customHeight="1">
      <c r="W640" s="109"/>
    </row>
    <row r="641" ht="15.75" customHeight="1">
      <c r="W641" s="109"/>
    </row>
    <row r="642" ht="15.75" customHeight="1">
      <c r="W642" s="109"/>
    </row>
    <row r="643" ht="15.75" customHeight="1">
      <c r="W643" s="109"/>
    </row>
    <row r="644" ht="15.75" customHeight="1">
      <c r="W644" s="109"/>
    </row>
    <row r="645" ht="15.75" customHeight="1">
      <c r="W645" s="109"/>
    </row>
    <row r="646" ht="15.75" customHeight="1">
      <c r="W646" s="109"/>
    </row>
    <row r="647" ht="15.75" customHeight="1">
      <c r="W647" s="109"/>
    </row>
    <row r="648" ht="15.75" customHeight="1">
      <c r="W648" s="109"/>
    </row>
    <row r="649" ht="15.75" customHeight="1">
      <c r="W649" s="109"/>
    </row>
    <row r="650" ht="15.75" customHeight="1">
      <c r="W650" s="109"/>
    </row>
    <row r="651" ht="15.75" customHeight="1">
      <c r="W651" s="109"/>
    </row>
    <row r="652" ht="15.75" customHeight="1">
      <c r="W652" s="109"/>
    </row>
    <row r="653" ht="15.75" customHeight="1">
      <c r="W653" s="109"/>
    </row>
    <row r="654" ht="15.75" customHeight="1">
      <c r="W654" s="109"/>
    </row>
    <row r="655" ht="15.75" customHeight="1">
      <c r="W655" s="109"/>
    </row>
    <row r="656" ht="15.75" customHeight="1">
      <c r="W656" s="109"/>
    </row>
    <row r="657" ht="15.75" customHeight="1">
      <c r="W657" s="109"/>
    </row>
    <row r="658" ht="15.75" customHeight="1">
      <c r="W658" s="109"/>
    </row>
    <row r="659" ht="15.75" customHeight="1">
      <c r="W659" s="109"/>
    </row>
    <row r="660" ht="15.75" customHeight="1">
      <c r="W660" s="109"/>
    </row>
    <row r="661" ht="15.75" customHeight="1">
      <c r="W661" s="109"/>
    </row>
    <row r="662" ht="15.75" customHeight="1">
      <c r="W662" s="109"/>
    </row>
    <row r="663" ht="15.75" customHeight="1">
      <c r="W663" s="109"/>
    </row>
    <row r="664" ht="15.75" customHeight="1">
      <c r="W664" s="109"/>
    </row>
    <row r="665" ht="15.75" customHeight="1">
      <c r="W665" s="109"/>
    </row>
    <row r="666" ht="15.75" customHeight="1">
      <c r="W666" s="109"/>
    </row>
    <row r="667" ht="15.75" customHeight="1">
      <c r="W667" s="109"/>
    </row>
    <row r="668" ht="15.75" customHeight="1">
      <c r="W668" s="109"/>
    </row>
    <row r="669" ht="15.75" customHeight="1">
      <c r="W669" s="109"/>
    </row>
    <row r="670" ht="15.75" customHeight="1">
      <c r="W670" s="109"/>
    </row>
    <row r="671" ht="15.75" customHeight="1">
      <c r="W671" s="109"/>
    </row>
    <row r="672" ht="15.75" customHeight="1">
      <c r="W672" s="109"/>
    </row>
    <row r="673" ht="15.75" customHeight="1">
      <c r="W673" s="109"/>
    </row>
    <row r="674" ht="15.75" customHeight="1">
      <c r="W674" s="109"/>
    </row>
    <row r="675" ht="15.75" customHeight="1">
      <c r="W675" s="109"/>
    </row>
    <row r="676" ht="15.75" customHeight="1">
      <c r="W676" s="109"/>
    </row>
    <row r="677" ht="15.75" customHeight="1">
      <c r="W677" s="109"/>
    </row>
    <row r="678" ht="15.75" customHeight="1">
      <c r="W678" s="109"/>
    </row>
    <row r="679" ht="15.75" customHeight="1">
      <c r="W679" s="109"/>
    </row>
    <row r="680" ht="15.75" customHeight="1">
      <c r="W680" s="109"/>
    </row>
    <row r="681" ht="15.75" customHeight="1">
      <c r="W681" s="109"/>
    </row>
    <row r="682" ht="15.75" customHeight="1">
      <c r="W682" s="109"/>
    </row>
    <row r="683" ht="15.75" customHeight="1">
      <c r="W683" s="109"/>
    </row>
    <row r="684" ht="15.75" customHeight="1">
      <c r="W684" s="109"/>
    </row>
    <row r="685" ht="15.75" customHeight="1">
      <c r="W685" s="109"/>
    </row>
    <row r="686" ht="15.75" customHeight="1">
      <c r="W686" s="109"/>
    </row>
    <row r="687" ht="15.75" customHeight="1">
      <c r="W687" s="109"/>
    </row>
    <row r="688" ht="15.75" customHeight="1">
      <c r="W688" s="109"/>
    </row>
    <row r="689" ht="15.75" customHeight="1">
      <c r="W689" s="109"/>
    </row>
    <row r="690" ht="15.75" customHeight="1">
      <c r="W690" s="109"/>
    </row>
    <row r="691" ht="15.75" customHeight="1">
      <c r="W691" s="109"/>
    </row>
    <row r="692" ht="15.75" customHeight="1">
      <c r="W692" s="109"/>
    </row>
    <row r="693" ht="15.75" customHeight="1">
      <c r="W693" s="109"/>
    </row>
    <row r="694" ht="15.75" customHeight="1">
      <c r="W694" s="109"/>
    </row>
    <row r="695" ht="15.75" customHeight="1">
      <c r="W695" s="109"/>
    </row>
    <row r="696" ht="15.75" customHeight="1">
      <c r="W696" s="109"/>
    </row>
    <row r="697" ht="15.75" customHeight="1">
      <c r="W697" s="109"/>
    </row>
    <row r="698" ht="15.75" customHeight="1">
      <c r="W698" s="109"/>
    </row>
    <row r="699" ht="15.75" customHeight="1">
      <c r="W699" s="109"/>
    </row>
    <row r="700" ht="15.75" customHeight="1">
      <c r="W700" s="109"/>
    </row>
    <row r="701" ht="15.75" customHeight="1">
      <c r="W701" s="109"/>
    </row>
    <row r="702" ht="15.75" customHeight="1">
      <c r="W702" s="109"/>
    </row>
    <row r="703" ht="15.75" customHeight="1">
      <c r="W703" s="109"/>
    </row>
    <row r="704" ht="15.75" customHeight="1">
      <c r="W704" s="109"/>
    </row>
    <row r="705" ht="15.75" customHeight="1">
      <c r="W705" s="109"/>
    </row>
    <row r="706" ht="15.75" customHeight="1">
      <c r="W706" s="109"/>
    </row>
    <row r="707" ht="15.75" customHeight="1">
      <c r="W707" s="109"/>
    </row>
    <row r="708" ht="15.75" customHeight="1">
      <c r="W708" s="109"/>
    </row>
    <row r="709" ht="15.75" customHeight="1">
      <c r="W709" s="109"/>
    </row>
    <row r="710" ht="15.75" customHeight="1">
      <c r="W710" s="109"/>
    </row>
    <row r="711" ht="15.75" customHeight="1">
      <c r="W711" s="109"/>
    </row>
    <row r="712" ht="15.75" customHeight="1">
      <c r="W712" s="109"/>
    </row>
    <row r="713" ht="15.75" customHeight="1">
      <c r="W713" s="109"/>
    </row>
    <row r="714" ht="15.75" customHeight="1">
      <c r="W714" s="109"/>
    </row>
    <row r="715" ht="15.75" customHeight="1">
      <c r="W715" s="109"/>
    </row>
    <row r="716" ht="15.75" customHeight="1">
      <c r="W716" s="109"/>
    </row>
    <row r="717" ht="15.75" customHeight="1">
      <c r="W717" s="109"/>
    </row>
    <row r="718" ht="15.75" customHeight="1">
      <c r="W718" s="109"/>
    </row>
    <row r="719" ht="15.75" customHeight="1">
      <c r="W719" s="109"/>
    </row>
    <row r="720" ht="15.75" customHeight="1">
      <c r="W720" s="109"/>
    </row>
    <row r="721" ht="15.75" customHeight="1">
      <c r="W721" s="109"/>
    </row>
    <row r="722" ht="15.75" customHeight="1">
      <c r="W722" s="109"/>
    </row>
    <row r="723" ht="15.75" customHeight="1">
      <c r="W723" s="109"/>
    </row>
    <row r="724" ht="15.75" customHeight="1">
      <c r="W724" s="109"/>
    </row>
    <row r="725" ht="15.75" customHeight="1">
      <c r="W725" s="109"/>
    </row>
    <row r="726" ht="15.75" customHeight="1">
      <c r="W726" s="109"/>
    </row>
    <row r="727" ht="15.75" customHeight="1">
      <c r="W727" s="109"/>
    </row>
    <row r="728" ht="15.75" customHeight="1">
      <c r="W728" s="109"/>
    </row>
    <row r="729" ht="15.75" customHeight="1">
      <c r="W729" s="109"/>
    </row>
    <row r="730" ht="15.75" customHeight="1">
      <c r="W730" s="109"/>
    </row>
    <row r="731" ht="15.75" customHeight="1">
      <c r="W731" s="109"/>
    </row>
    <row r="732" ht="15.75" customHeight="1">
      <c r="W732" s="109"/>
    </row>
    <row r="733" ht="15.75" customHeight="1">
      <c r="W733" s="109"/>
    </row>
    <row r="734" ht="15.75" customHeight="1">
      <c r="W734" s="109"/>
    </row>
    <row r="735" ht="15.75" customHeight="1">
      <c r="W735" s="109"/>
    </row>
    <row r="736" ht="15.75" customHeight="1">
      <c r="W736" s="109"/>
    </row>
    <row r="737" ht="15.75" customHeight="1">
      <c r="W737" s="109"/>
    </row>
    <row r="738" ht="15.75" customHeight="1">
      <c r="W738" s="109"/>
    </row>
    <row r="739" ht="15.75" customHeight="1">
      <c r="W739" s="109"/>
    </row>
    <row r="740" ht="15.75" customHeight="1">
      <c r="W740" s="109"/>
    </row>
    <row r="741" ht="15.75" customHeight="1">
      <c r="W741" s="109"/>
    </row>
    <row r="742" ht="15.75" customHeight="1">
      <c r="W742" s="109"/>
    </row>
    <row r="743" ht="15.75" customHeight="1">
      <c r="W743" s="109"/>
    </row>
    <row r="744" ht="15.75" customHeight="1">
      <c r="W744" s="109"/>
    </row>
    <row r="745" ht="15.75" customHeight="1">
      <c r="W745" s="109"/>
    </row>
    <row r="746" ht="15.75" customHeight="1">
      <c r="W746" s="109"/>
    </row>
    <row r="747" ht="15.75" customHeight="1">
      <c r="W747" s="109"/>
    </row>
    <row r="748" ht="15.75" customHeight="1">
      <c r="W748" s="109"/>
    </row>
    <row r="749" ht="15.75" customHeight="1">
      <c r="W749" s="109"/>
    </row>
    <row r="750" ht="15.75" customHeight="1">
      <c r="W750" s="109"/>
    </row>
    <row r="751" ht="15.75" customHeight="1">
      <c r="W751" s="109"/>
    </row>
    <row r="752" ht="15.75" customHeight="1">
      <c r="W752" s="109"/>
    </row>
    <row r="753" ht="15.75" customHeight="1">
      <c r="W753" s="109"/>
    </row>
    <row r="754" ht="15.75" customHeight="1">
      <c r="W754" s="109"/>
    </row>
    <row r="755" ht="15.75" customHeight="1">
      <c r="W755" s="109"/>
    </row>
    <row r="756" ht="15.75" customHeight="1">
      <c r="W756" s="109"/>
    </row>
    <row r="757" ht="15.75" customHeight="1">
      <c r="W757" s="109"/>
    </row>
    <row r="758" ht="15.75" customHeight="1">
      <c r="W758" s="109"/>
    </row>
    <row r="759" ht="15.75" customHeight="1">
      <c r="W759" s="109"/>
    </row>
    <row r="760" ht="15.75" customHeight="1">
      <c r="W760" s="109"/>
    </row>
    <row r="761" ht="15.75" customHeight="1">
      <c r="W761" s="109"/>
    </row>
    <row r="762" ht="15.75" customHeight="1">
      <c r="W762" s="109"/>
    </row>
    <row r="763" ht="15.75" customHeight="1">
      <c r="W763" s="109"/>
    </row>
    <row r="764" ht="15.75" customHeight="1">
      <c r="W764" s="109"/>
    </row>
    <row r="765" ht="15.75" customHeight="1">
      <c r="W765" s="109"/>
    </row>
    <row r="766" ht="15.75" customHeight="1">
      <c r="W766" s="109"/>
    </row>
    <row r="767" ht="15.75" customHeight="1">
      <c r="W767" s="109"/>
    </row>
    <row r="768" ht="15.75" customHeight="1">
      <c r="W768" s="109"/>
    </row>
    <row r="769" ht="15.75" customHeight="1">
      <c r="W769" s="109"/>
    </row>
    <row r="770" ht="15.75" customHeight="1">
      <c r="W770" s="109"/>
    </row>
    <row r="771" ht="15.75" customHeight="1">
      <c r="W771" s="109"/>
    </row>
    <row r="772" ht="15.75" customHeight="1">
      <c r="W772" s="109"/>
    </row>
    <row r="773" ht="15.75" customHeight="1">
      <c r="W773" s="109"/>
    </row>
    <row r="774" ht="15.75" customHeight="1">
      <c r="W774" s="109"/>
    </row>
    <row r="775" ht="15.75" customHeight="1">
      <c r="W775" s="109"/>
    </row>
    <row r="776" ht="15.75" customHeight="1">
      <c r="W776" s="109"/>
    </row>
    <row r="777" ht="15.75" customHeight="1">
      <c r="W777" s="109"/>
    </row>
    <row r="778" ht="15.75" customHeight="1">
      <c r="W778" s="109"/>
    </row>
    <row r="779" ht="15.75" customHeight="1">
      <c r="W779" s="109"/>
    </row>
    <row r="780" ht="15.75" customHeight="1">
      <c r="W780" s="109"/>
    </row>
    <row r="781" ht="15.75" customHeight="1">
      <c r="W781" s="109"/>
    </row>
    <row r="782" ht="15.75" customHeight="1">
      <c r="W782" s="109"/>
    </row>
    <row r="783" ht="15.75" customHeight="1">
      <c r="W783" s="109"/>
    </row>
    <row r="784" ht="15.75" customHeight="1">
      <c r="W784" s="109"/>
    </row>
    <row r="785" ht="15.75" customHeight="1">
      <c r="W785" s="109"/>
    </row>
    <row r="786" ht="15.75" customHeight="1">
      <c r="W786" s="109"/>
    </row>
    <row r="787" ht="15.75" customHeight="1">
      <c r="W787" s="109"/>
    </row>
    <row r="788" ht="15.75" customHeight="1">
      <c r="W788" s="109"/>
    </row>
    <row r="789" ht="15.75" customHeight="1">
      <c r="W789" s="109"/>
    </row>
    <row r="790" ht="15.75" customHeight="1">
      <c r="W790" s="109"/>
    </row>
    <row r="791" ht="15.75" customHeight="1">
      <c r="W791" s="109"/>
    </row>
    <row r="792" ht="15.75" customHeight="1">
      <c r="W792" s="109"/>
    </row>
    <row r="793" ht="15.75" customHeight="1">
      <c r="W793" s="109"/>
    </row>
    <row r="794" ht="15.75" customHeight="1">
      <c r="W794" s="109"/>
    </row>
    <row r="795" ht="15.75" customHeight="1">
      <c r="W795" s="109"/>
    </row>
    <row r="796" ht="15.75" customHeight="1">
      <c r="W796" s="109"/>
    </row>
    <row r="797" ht="15.75" customHeight="1">
      <c r="W797" s="109"/>
    </row>
    <row r="798" ht="15.75" customHeight="1">
      <c r="W798" s="109"/>
    </row>
    <row r="799" ht="15.75" customHeight="1">
      <c r="W799" s="109"/>
    </row>
    <row r="800" ht="15.75" customHeight="1">
      <c r="W800" s="109"/>
    </row>
    <row r="801" ht="15.75" customHeight="1">
      <c r="W801" s="109"/>
    </row>
    <row r="802" ht="15.75" customHeight="1">
      <c r="W802" s="109"/>
    </row>
    <row r="803" ht="15.75" customHeight="1">
      <c r="W803" s="109"/>
    </row>
    <row r="804" ht="15.75" customHeight="1">
      <c r="W804" s="109"/>
    </row>
    <row r="805" ht="15.75" customHeight="1">
      <c r="W805" s="109"/>
    </row>
    <row r="806" ht="15.75" customHeight="1">
      <c r="W806" s="109"/>
    </row>
    <row r="807" ht="15.75" customHeight="1">
      <c r="W807" s="109"/>
    </row>
    <row r="808" ht="15.75" customHeight="1">
      <c r="W808" s="109"/>
    </row>
    <row r="809" ht="15.75" customHeight="1">
      <c r="W809" s="109"/>
    </row>
    <row r="810" ht="15.75" customHeight="1">
      <c r="W810" s="109"/>
    </row>
    <row r="811" ht="15.75" customHeight="1">
      <c r="W811" s="109"/>
    </row>
    <row r="812" ht="15.75" customHeight="1">
      <c r="W812" s="109"/>
    </row>
    <row r="813" ht="15.75" customHeight="1">
      <c r="W813" s="109"/>
    </row>
    <row r="814" ht="15.75" customHeight="1">
      <c r="W814" s="109"/>
    </row>
    <row r="815" ht="15.75" customHeight="1">
      <c r="W815" s="109"/>
    </row>
    <row r="816" ht="15.75" customHeight="1">
      <c r="W816" s="109"/>
    </row>
    <row r="817" ht="15.75" customHeight="1">
      <c r="W817" s="109"/>
    </row>
    <row r="818" ht="15.75" customHeight="1">
      <c r="W818" s="109"/>
    </row>
    <row r="819" ht="15.75" customHeight="1">
      <c r="W819" s="109"/>
    </row>
    <row r="820" ht="15.75" customHeight="1">
      <c r="W820" s="109"/>
    </row>
    <row r="821" ht="15.75" customHeight="1">
      <c r="W821" s="109"/>
    </row>
    <row r="822" ht="15.75" customHeight="1">
      <c r="W822" s="109"/>
    </row>
    <row r="823" ht="15.75" customHeight="1">
      <c r="W823" s="109"/>
    </row>
    <row r="824" ht="15.75" customHeight="1">
      <c r="W824" s="109"/>
    </row>
    <row r="825" ht="15.75" customHeight="1">
      <c r="W825" s="109"/>
    </row>
    <row r="826" ht="15.75" customHeight="1">
      <c r="W826" s="109"/>
    </row>
    <row r="827" ht="15.75" customHeight="1">
      <c r="W827" s="109"/>
    </row>
    <row r="828" ht="15.75" customHeight="1">
      <c r="W828" s="109"/>
    </row>
    <row r="829" ht="15.75" customHeight="1">
      <c r="W829" s="109"/>
    </row>
    <row r="830" ht="15.75" customHeight="1">
      <c r="W830" s="109"/>
    </row>
    <row r="831" ht="15.75" customHeight="1">
      <c r="W831" s="109"/>
    </row>
    <row r="832" ht="15.75" customHeight="1">
      <c r="W832" s="109"/>
    </row>
    <row r="833" ht="15.75" customHeight="1">
      <c r="W833" s="109"/>
    </row>
    <row r="834" ht="15.75" customHeight="1">
      <c r="W834" s="109"/>
    </row>
    <row r="835" ht="15.75" customHeight="1">
      <c r="W835" s="109"/>
    </row>
    <row r="836" ht="15.75" customHeight="1">
      <c r="W836" s="109"/>
    </row>
    <row r="837" ht="15.75" customHeight="1">
      <c r="W837" s="109"/>
    </row>
    <row r="838" ht="15.75" customHeight="1">
      <c r="W838" s="109"/>
    </row>
    <row r="839" ht="15.75" customHeight="1">
      <c r="W839" s="109"/>
    </row>
    <row r="840" ht="15.75" customHeight="1">
      <c r="W840" s="109"/>
    </row>
    <row r="841" ht="15.75" customHeight="1">
      <c r="W841" s="109"/>
    </row>
    <row r="842" ht="15.75" customHeight="1">
      <c r="W842" s="109"/>
    </row>
    <row r="843" ht="15.75" customHeight="1">
      <c r="W843" s="109"/>
    </row>
    <row r="844" ht="15.75" customHeight="1">
      <c r="W844" s="109"/>
    </row>
    <row r="845" ht="15.75" customHeight="1">
      <c r="W845" s="109"/>
    </row>
    <row r="846" ht="15.75" customHeight="1">
      <c r="W846" s="109"/>
    </row>
    <row r="847" ht="15.75" customHeight="1">
      <c r="W847" s="109"/>
    </row>
    <row r="848" ht="15.75" customHeight="1">
      <c r="W848" s="109"/>
    </row>
    <row r="849" ht="15.75" customHeight="1">
      <c r="W849" s="109"/>
    </row>
    <row r="850" ht="15.75" customHeight="1">
      <c r="W850" s="109"/>
    </row>
    <row r="851" ht="15.75" customHeight="1">
      <c r="W851" s="109"/>
    </row>
    <row r="852" ht="15.75" customHeight="1">
      <c r="W852" s="109"/>
    </row>
    <row r="853" ht="15.75" customHeight="1">
      <c r="W853" s="109"/>
    </row>
    <row r="854" ht="15.75" customHeight="1">
      <c r="W854" s="109"/>
    </row>
    <row r="855" ht="15.75" customHeight="1">
      <c r="W855" s="109"/>
    </row>
    <row r="856" ht="15.75" customHeight="1">
      <c r="W856" s="109"/>
    </row>
    <row r="857" ht="15.75" customHeight="1">
      <c r="W857" s="109"/>
    </row>
    <row r="858" ht="15.75" customHeight="1">
      <c r="W858" s="109"/>
    </row>
    <row r="859" ht="15.75" customHeight="1">
      <c r="W859" s="109"/>
    </row>
    <row r="860" ht="15.75" customHeight="1">
      <c r="W860" s="109"/>
    </row>
    <row r="861" ht="15.75" customHeight="1">
      <c r="W861" s="109"/>
    </row>
    <row r="862" ht="15.75" customHeight="1">
      <c r="W862" s="109"/>
    </row>
    <row r="863" ht="15.75" customHeight="1">
      <c r="W863" s="109"/>
    </row>
    <row r="864" ht="15.75" customHeight="1">
      <c r="W864" s="109"/>
    </row>
    <row r="865" ht="15.75" customHeight="1">
      <c r="W865" s="109"/>
    </row>
    <row r="866" ht="15.75" customHeight="1">
      <c r="W866" s="109"/>
    </row>
    <row r="867" ht="15.75" customHeight="1">
      <c r="W867" s="109"/>
    </row>
    <row r="868" ht="15.75" customHeight="1">
      <c r="W868" s="109"/>
    </row>
    <row r="869" ht="15.75" customHeight="1">
      <c r="W869" s="109"/>
    </row>
    <row r="870" ht="15.75" customHeight="1">
      <c r="W870" s="109"/>
    </row>
    <row r="871" ht="15.75" customHeight="1">
      <c r="W871" s="109"/>
    </row>
    <row r="872" ht="15.75" customHeight="1">
      <c r="W872" s="109"/>
    </row>
    <row r="873" ht="15.75" customHeight="1">
      <c r="W873" s="109"/>
    </row>
    <row r="874" ht="15.75" customHeight="1">
      <c r="W874" s="109"/>
    </row>
    <row r="875" ht="15.75" customHeight="1">
      <c r="W875" s="109"/>
    </row>
    <row r="876" ht="15.75" customHeight="1">
      <c r="W876" s="109"/>
    </row>
    <row r="877" ht="15.75" customHeight="1">
      <c r="W877" s="109"/>
    </row>
    <row r="878" ht="15.75" customHeight="1">
      <c r="W878" s="109"/>
    </row>
    <row r="879" ht="15.75" customHeight="1">
      <c r="W879" s="109"/>
    </row>
    <row r="880" ht="15.75" customHeight="1">
      <c r="W880" s="109"/>
    </row>
    <row r="881" ht="15.75" customHeight="1">
      <c r="W881" s="109"/>
    </row>
    <row r="882" ht="15.75" customHeight="1">
      <c r="W882" s="109"/>
    </row>
    <row r="883" ht="15.75" customHeight="1">
      <c r="W883" s="109"/>
    </row>
    <row r="884" ht="15.75" customHeight="1">
      <c r="W884" s="109"/>
    </row>
    <row r="885" ht="15.75" customHeight="1">
      <c r="W885" s="109"/>
    </row>
    <row r="886" ht="15.75" customHeight="1">
      <c r="W886" s="109"/>
    </row>
    <row r="887" ht="15.75" customHeight="1">
      <c r="W887" s="109"/>
    </row>
    <row r="888" ht="15.75" customHeight="1">
      <c r="W888" s="109"/>
    </row>
    <row r="889" ht="15.75" customHeight="1">
      <c r="W889" s="109"/>
    </row>
    <row r="890" ht="15.75" customHeight="1">
      <c r="W890" s="109"/>
    </row>
    <row r="891" ht="15.75" customHeight="1">
      <c r="W891" s="109"/>
    </row>
    <row r="892" ht="15.75" customHeight="1">
      <c r="W892" s="109"/>
    </row>
    <row r="893" ht="15.75" customHeight="1">
      <c r="W893" s="109"/>
    </row>
    <row r="894" ht="15.75" customHeight="1">
      <c r="W894" s="109"/>
    </row>
    <row r="895" ht="15.75" customHeight="1">
      <c r="W895" s="109"/>
    </row>
    <row r="896" ht="15.75" customHeight="1">
      <c r="W896" s="109"/>
    </row>
    <row r="897" ht="15.75" customHeight="1">
      <c r="W897" s="109"/>
    </row>
    <row r="898" ht="15.75" customHeight="1">
      <c r="W898" s="109"/>
    </row>
    <row r="899" ht="15.75" customHeight="1">
      <c r="W899" s="109"/>
    </row>
    <row r="900" ht="15.75" customHeight="1">
      <c r="W900" s="109"/>
    </row>
    <row r="901" ht="15.75" customHeight="1">
      <c r="W901" s="109"/>
    </row>
    <row r="902" ht="15.75" customHeight="1">
      <c r="W902" s="109"/>
    </row>
    <row r="903" ht="15.75" customHeight="1">
      <c r="W903" s="109"/>
    </row>
    <row r="904" ht="15.75" customHeight="1">
      <c r="W904" s="109"/>
    </row>
    <row r="905" ht="15.75" customHeight="1">
      <c r="W905" s="109"/>
    </row>
    <row r="906" ht="15.75" customHeight="1">
      <c r="W906" s="109"/>
    </row>
    <row r="907" ht="15.75" customHeight="1">
      <c r="W907" s="109"/>
    </row>
    <row r="908" ht="15.75" customHeight="1">
      <c r="W908" s="109"/>
    </row>
    <row r="909" ht="15.75" customHeight="1">
      <c r="W909" s="109"/>
    </row>
    <row r="910" ht="15.75" customHeight="1">
      <c r="W910" s="109"/>
    </row>
    <row r="911" ht="15.75" customHeight="1">
      <c r="W911" s="109"/>
    </row>
    <row r="912" ht="15.75" customHeight="1">
      <c r="W912" s="109"/>
    </row>
    <row r="913" ht="15.75" customHeight="1">
      <c r="W913" s="109"/>
    </row>
    <row r="914" ht="15.75" customHeight="1">
      <c r="W914" s="109"/>
    </row>
    <row r="915" ht="15.75" customHeight="1">
      <c r="W915" s="109"/>
    </row>
    <row r="916" ht="15.75" customHeight="1">
      <c r="W916" s="109"/>
    </row>
    <row r="917" ht="15.75" customHeight="1">
      <c r="W917" s="109"/>
    </row>
    <row r="918" ht="15.75" customHeight="1">
      <c r="W918" s="109"/>
    </row>
    <row r="919" ht="15.75" customHeight="1">
      <c r="W919" s="109"/>
    </row>
    <row r="920" ht="15.75" customHeight="1">
      <c r="W920" s="109"/>
    </row>
    <row r="921" ht="15.75" customHeight="1">
      <c r="W921" s="109"/>
    </row>
    <row r="922" ht="15.75" customHeight="1">
      <c r="W922" s="109"/>
    </row>
    <row r="923" ht="15.75" customHeight="1">
      <c r="W923" s="109"/>
    </row>
    <row r="924" ht="15.75" customHeight="1">
      <c r="W924" s="109"/>
    </row>
    <row r="925" ht="15.75" customHeight="1">
      <c r="W925" s="109"/>
    </row>
    <row r="926" ht="15.75" customHeight="1">
      <c r="W926" s="109"/>
    </row>
    <row r="927" ht="15.75" customHeight="1">
      <c r="W927" s="109"/>
    </row>
    <row r="928" ht="15.75" customHeight="1">
      <c r="W928" s="109"/>
    </row>
    <row r="929" ht="15.75" customHeight="1">
      <c r="W929" s="109"/>
    </row>
    <row r="930" ht="15.75" customHeight="1">
      <c r="W930" s="109"/>
    </row>
    <row r="931" ht="15.75" customHeight="1">
      <c r="W931" s="109"/>
    </row>
    <row r="932" ht="15.75" customHeight="1">
      <c r="W932" s="109"/>
    </row>
    <row r="933" ht="15.75" customHeight="1">
      <c r="W933" s="109"/>
    </row>
    <row r="934" ht="15.75" customHeight="1">
      <c r="W934" s="109"/>
    </row>
    <row r="935" ht="15.75" customHeight="1">
      <c r="W935" s="109"/>
    </row>
    <row r="936" ht="15.75" customHeight="1">
      <c r="W936" s="109"/>
    </row>
    <row r="937" ht="15.75" customHeight="1">
      <c r="W937" s="109"/>
    </row>
    <row r="938" ht="15.75" customHeight="1">
      <c r="W938" s="109"/>
    </row>
    <row r="939" ht="15.75" customHeight="1">
      <c r="W939" s="109"/>
    </row>
    <row r="940" ht="15.75" customHeight="1">
      <c r="W940" s="109"/>
    </row>
    <row r="941" ht="15.75" customHeight="1">
      <c r="W941" s="109"/>
    </row>
    <row r="942" ht="15.75" customHeight="1">
      <c r="W942" s="109"/>
    </row>
    <row r="943" ht="15.75" customHeight="1">
      <c r="W943" s="109"/>
    </row>
    <row r="944" ht="15.75" customHeight="1">
      <c r="W944" s="109"/>
    </row>
    <row r="945" ht="15.75" customHeight="1">
      <c r="W945" s="109"/>
    </row>
    <row r="946" ht="15.75" customHeight="1">
      <c r="W946" s="109"/>
    </row>
    <row r="947" ht="15.75" customHeight="1">
      <c r="W947" s="109"/>
    </row>
    <row r="948" ht="15.75" customHeight="1">
      <c r="W948" s="109"/>
    </row>
    <row r="949" ht="15.75" customHeight="1">
      <c r="W949" s="109"/>
    </row>
    <row r="950" ht="15.75" customHeight="1">
      <c r="W950" s="109"/>
    </row>
    <row r="951" ht="15.75" customHeight="1">
      <c r="W951" s="109"/>
    </row>
    <row r="952" ht="15.75" customHeight="1">
      <c r="W952" s="109"/>
    </row>
    <row r="953" ht="15.75" customHeight="1">
      <c r="W953" s="109"/>
    </row>
    <row r="954" ht="15.75" customHeight="1">
      <c r="W954" s="109"/>
    </row>
    <row r="955" ht="15.75" customHeight="1">
      <c r="W955" s="109"/>
    </row>
    <row r="956" ht="15.75" customHeight="1">
      <c r="W956" s="109"/>
    </row>
    <row r="957" ht="15.75" customHeight="1">
      <c r="W957" s="109"/>
    </row>
    <row r="958" ht="15.75" customHeight="1">
      <c r="W958" s="109"/>
    </row>
    <row r="959" ht="15.75" customHeight="1">
      <c r="W959" s="109"/>
    </row>
    <row r="960" ht="15.75" customHeight="1">
      <c r="W960" s="109"/>
    </row>
    <row r="961" ht="15.75" customHeight="1">
      <c r="W961" s="109"/>
    </row>
    <row r="962" ht="15.75" customHeight="1">
      <c r="W962" s="109"/>
    </row>
    <row r="963" ht="15.75" customHeight="1">
      <c r="W963" s="109"/>
    </row>
    <row r="964" ht="15.75" customHeight="1">
      <c r="W964" s="109"/>
    </row>
    <row r="965" ht="15.75" customHeight="1">
      <c r="W965" s="109"/>
    </row>
    <row r="966" ht="15.75" customHeight="1">
      <c r="W966" s="109"/>
    </row>
    <row r="967" ht="15.75" customHeight="1">
      <c r="W967" s="109"/>
    </row>
    <row r="968" ht="15.75" customHeight="1">
      <c r="W968" s="109"/>
    </row>
    <row r="969" ht="15.75" customHeight="1">
      <c r="W969" s="109"/>
    </row>
    <row r="970" ht="15.75" customHeight="1">
      <c r="W970" s="109"/>
    </row>
    <row r="971" ht="15.75" customHeight="1">
      <c r="W971" s="109"/>
    </row>
    <row r="972" ht="15.75" customHeight="1">
      <c r="W972" s="109"/>
    </row>
    <row r="973" ht="15.75" customHeight="1">
      <c r="W973" s="109"/>
    </row>
    <row r="974" ht="15.75" customHeight="1">
      <c r="W974" s="109"/>
    </row>
    <row r="975" ht="15.75" customHeight="1">
      <c r="W975" s="109"/>
    </row>
    <row r="976" ht="15.75" customHeight="1">
      <c r="W976" s="109"/>
    </row>
    <row r="977" ht="15.75" customHeight="1">
      <c r="W977" s="109"/>
    </row>
    <row r="978" ht="15.75" customHeight="1">
      <c r="W978" s="109"/>
    </row>
    <row r="979" ht="15.75" customHeight="1">
      <c r="W979" s="109"/>
    </row>
    <row r="980" ht="15.75" customHeight="1">
      <c r="W980" s="109"/>
    </row>
    <row r="981" ht="15.75" customHeight="1">
      <c r="W981" s="109"/>
    </row>
    <row r="982" ht="15.75" customHeight="1">
      <c r="W982" s="109"/>
    </row>
    <row r="983" ht="15.75" customHeight="1">
      <c r="W983" s="109"/>
    </row>
    <row r="984" ht="15.75" customHeight="1">
      <c r="W984" s="109"/>
    </row>
    <row r="985" ht="15.75" customHeight="1">
      <c r="W985" s="109"/>
    </row>
    <row r="986" ht="15.75" customHeight="1">
      <c r="W986" s="109"/>
    </row>
    <row r="987" ht="15.75" customHeight="1">
      <c r="W987" s="109"/>
    </row>
    <row r="988" ht="15.75" customHeight="1">
      <c r="W988" s="109"/>
    </row>
    <row r="989" ht="15.75" customHeight="1">
      <c r="W989" s="109"/>
    </row>
    <row r="990" ht="15.75" customHeight="1">
      <c r="W990" s="109"/>
    </row>
    <row r="991" ht="15.75" customHeight="1">
      <c r="W991" s="109"/>
    </row>
    <row r="992" ht="15.75" customHeight="1">
      <c r="W992" s="109"/>
    </row>
    <row r="993" ht="15.75" customHeight="1">
      <c r="W993" s="109"/>
    </row>
    <row r="994" ht="15.75" customHeight="1">
      <c r="W994" s="109"/>
    </row>
    <row r="995" ht="15.75" customHeight="1">
      <c r="W995" s="109"/>
    </row>
    <row r="996" ht="15.75" customHeight="1">
      <c r="W996" s="109"/>
    </row>
    <row r="997" ht="15.75" customHeight="1">
      <c r="W997" s="109"/>
    </row>
    <row r="998" ht="15.75" customHeight="1">
      <c r="W998" s="109"/>
    </row>
    <row r="999" ht="15.75" customHeight="1">
      <c r="W999" s="109"/>
    </row>
    <row r="1000" ht="15.75" customHeight="1">
      <c r="W1000" s="109"/>
    </row>
  </sheetData>
  <mergeCells count="2">
    <mergeCell ref="L1:Q1"/>
    <mergeCell ref="L2:Q2"/>
  </mergeCells>
  <dataValidations>
    <dataValidation type="list" allowBlank="1" showErrorMessage="1" sqref="Z5:AH28">
      <formula1>"Ada,Belum Ada,Proses,Belum mengurus"</formula1>
    </dataValidation>
    <dataValidation type="list" allowBlank="1" showErrorMessage="1" sqref="G5:G10">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6.86"/>
    <col customWidth="1" min="3" max="3" width="35.43"/>
    <col customWidth="1" min="4" max="4" width="11.86"/>
    <col customWidth="1" min="5" max="5" width="19.29"/>
    <col customWidth="1" min="6" max="6" width="39.43"/>
    <col customWidth="1" min="7" max="7" width="30.57"/>
    <col customWidth="1" min="8" max="11" width="21.14"/>
    <col customWidth="1" min="12" max="18" width="27.0"/>
    <col customWidth="1" min="19" max="24" width="26.43"/>
    <col customWidth="1" min="25" max="25" width="18.43"/>
    <col customWidth="1" min="26" max="26" width="15.86"/>
    <col customWidth="1" min="27" max="27" width="15.57"/>
    <col customWidth="1" min="28" max="28" width="15.14"/>
    <col customWidth="1" min="29" max="29" width="15.29"/>
    <col customWidth="1" min="30" max="30" width="16.43"/>
    <col customWidth="1" min="31" max="31" width="18.29"/>
    <col customWidth="1" min="32" max="32" width="16.14"/>
    <col customWidth="1" min="33" max="33" width="20.29"/>
    <col customWidth="1" min="34" max="34" width="17.0"/>
    <col customWidth="1" min="35" max="35" width="11.14"/>
  </cols>
  <sheetData>
    <row r="1" ht="14.25" customHeight="1">
      <c r="L1" s="63" t="s">
        <v>1</v>
      </c>
    </row>
    <row r="2" ht="14.25" customHeight="1">
      <c r="L2" s="64" t="s">
        <v>2</v>
      </c>
    </row>
    <row r="3" ht="14.25" customHeight="1"/>
    <row r="4" ht="40.5" customHeight="1">
      <c r="A4" s="65" t="s">
        <v>3</v>
      </c>
      <c r="B4" s="65" t="s">
        <v>4</v>
      </c>
      <c r="C4" s="65" t="s">
        <v>5</v>
      </c>
      <c r="D4" s="65" t="s">
        <v>6</v>
      </c>
      <c r="E4" s="65" t="s">
        <v>7</v>
      </c>
      <c r="F4" s="65" t="s">
        <v>8</v>
      </c>
      <c r="G4" s="65" t="s">
        <v>9</v>
      </c>
      <c r="H4" s="65" t="s">
        <v>10</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14.25" customHeight="1">
      <c r="A5" s="67">
        <v>1.0</v>
      </c>
      <c r="B5" s="67" t="s">
        <v>803</v>
      </c>
      <c r="C5" s="70" t="s">
        <v>804</v>
      </c>
      <c r="D5" s="67" t="s">
        <v>805</v>
      </c>
      <c r="E5" s="71" t="s">
        <v>806</v>
      </c>
      <c r="F5" s="67" t="s">
        <v>807</v>
      </c>
      <c r="G5" s="67" t="s">
        <v>43</v>
      </c>
      <c r="H5" s="78">
        <v>46062.0</v>
      </c>
      <c r="I5" s="68" t="s">
        <v>44</v>
      </c>
      <c r="J5" s="68" t="s">
        <v>808</v>
      </c>
      <c r="K5" s="68">
        <v>8.3830967534E10</v>
      </c>
      <c r="L5" s="68">
        <v>2309.0</v>
      </c>
      <c r="M5" s="67" t="s">
        <v>53</v>
      </c>
      <c r="N5" s="67" t="s">
        <v>809</v>
      </c>
      <c r="O5" s="67" t="s">
        <v>53</v>
      </c>
      <c r="P5" s="67" t="s">
        <v>810</v>
      </c>
      <c r="Q5" s="67" t="s">
        <v>811</v>
      </c>
      <c r="R5" s="67" t="s">
        <v>812</v>
      </c>
      <c r="S5" s="67" t="s">
        <v>813</v>
      </c>
      <c r="T5" s="67" t="s">
        <v>53</v>
      </c>
      <c r="U5" s="67" t="s">
        <v>53</v>
      </c>
      <c r="V5" s="67" t="s">
        <v>53</v>
      </c>
      <c r="W5" s="67" t="s">
        <v>53</v>
      </c>
      <c r="X5" s="67" t="s">
        <v>53</v>
      </c>
      <c r="Y5" s="68" t="s">
        <v>814</v>
      </c>
      <c r="Z5" s="68" t="s">
        <v>54</v>
      </c>
      <c r="AA5" s="68"/>
      <c r="AB5" s="68"/>
      <c r="AC5" s="68"/>
      <c r="AD5" s="68"/>
      <c r="AE5" s="68"/>
      <c r="AF5" s="68"/>
      <c r="AG5" s="68"/>
      <c r="AH5" s="68"/>
      <c r="AI5" s="68"/>
    </row>
    <row r="6" ht="264.0" customHeight="1">
      <c r="A6" s="67">
        <v>2.0</v>
      </c>
      <c r="B6" s="67" t="s">
        <v>815</v>
      </c>
      <c r="C6" s="67" t="s">
        <v>816</v>
      </c>
      <c r="D6" s="67" t="s">
        <v>817</v>
      </c>
      <c r="E6" s="71" t="s">
        <v>806</v>
      </c>
      <c r="F6" s="67" t="s">
        <v>818</v>
      </c>
      <c r="G6" s="67" t="s">
        <v>43</v>
      </c>
      <c r="H6" s="115">
        <v>46114.0</v>
      </c>
      <c r="I6" s="67" t="s">
        <v>44</v>
      </c>
      <c r="J6" s="67" t="s">
        <v>819</v>
      </c>
      <c r="K6" s="116">
        <v>8.1238001254E10</v>
      </c>
      <c r="L6" s="68">
        <v>1807.0</v>
      </c>
      <c r="M6" s="67"/>
      <c r="N6" s="67"/>
      <c r="O6" s="67"/>
      <c r="P6" s="67" t="s">
        <v>820</v>
      </c>
      <c r="Q6" s="67" t="s">
        <v>821</v>
      </c>
      <c r="R6" s="67" t="s">
        <v>822</v>
      </c>
      <c r="S6" s="67"/>
      <c r="T6" s="67" t="s">
        <v>823</v>
      </c>
      <c r="U6" s="67" t="s">
        <v>824</v>
      </c>
      <c r="V6" s="67" t="s">
        <v>825</v>
      </c>
      <c r="W6" s="67"/>
      <c r="X6" s="67"/>
      <c r="Y6" s="68" t="s">
        <v>814</v>
      </c>
      <c r="Z6" s="68"/>
      <c r="AA6" s="68"/>
      <c r="AB6" s="68"/>
      <c r="AC6" s="68"/>
      <c r="AD6" s="68"/>
      <c r="AE6" s="68"/>
      <c r="AF6" s="68"/>
      <c r="AG6" s="68"/>
      <c r="AH6" s="68"/>
      <c r="AI6" s="68"/>
    </row>
    <row r="7" ht="14.25" customHeight="1">
      <c r="A7" s="68">
        <v>4.0</v>
      </c>
      <c r="B7" s="76" t="s">
        <v>826</v>
      </c>
      <c r="C7" s="76" t="s">
        <v>827</v>
      </c>
      <c r="D7" s="68"/>
      <c r="E7" s="68"/>
      <c r="F7" s="76" t="s">
        <v>828</v>
      </c>
      <c r="G7" s="76" t="s">
        <v>829</v>
      </c>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row>
    <row r="8" ht="14.25" customHeight="1">
      <c r="A8" s="68">
        <v>5.0</v>
      </c>
      <c r="B8" s="76" t="s">
        <v>830</v>
      </c>
      <c r="C8" s="76" t="s">
        <v>827</v>
      </c>
      <c r="D8" s="68"/>
      <c r="E8" s="68"/>
      <c r="F8" s="76" t="s">
        <v>831</v>
      </c>
      <c r="G8" s="76" t="s">
        <v>832</v>
      </c>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row>
    <row r="9" ht="14.25" customHeight="1">
      <c r="A9" s="68">
        <v>6.0</v>
      </c>
      <c r="B9" s="76" t="s">
        <v>833</v>
      </c>
      <c r="C9" s="76" t="s">
        <v>827</v>
      </c>
      <c r="D9" s="68"/>
      <c r="E9" s="68"/>
      <c r="F9" s="76" t="s">
        <v>834</v>
      </c>
      <c r="G9" s="76" t="s">
        <v>835</v>
      </c>
      <c r="H9" s="68"/>
      <c r="I9" s="68"/>
      <c r="J9" s="68"/>
      <c r="K9" s="68"/>
      <c r="L9" s="68"/>
      <c r="M9" s="68"/>
      <c r="N9" s="68"/>
      <c r="O9" s="68"/>
      <c r="P9" s="67"/>
      <c r="Q9" s="68"/>
      <c r="R9" s="68"/>
      <c r="S9" s="68"/>
      <c r="T9" s="68"/>
      <c r="U9" s="68"/>
      <c r="V9" s="68"/>
      <c r="W9" s="68"/>
      <c r="X9" s="68"/>
      <c r="Y9" s="68"/>
      <c r="Z9" s="68"/>
      <c r="AA9" s="68"/>
      <c r="AB9" s="68"/>
      <c r="AC9" s="68"/>
      <c r="AD9" s="68"/>
      <c r="AE9" s="68"/>
      <c r="AF9" s="68"/>
      <c r="AG9" s="68"/>
      <c r="AH9" s="68"/>
      <c r="AI9" s="68"/>
    </row>
    <row r="10" ht="14.25" customHeight="1">
      <c r="A10" s="68">
        <v>7.0</v>
      </c>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row>
    <row r="11" ht="14.25" customHeight="1">
      <c r="A11" s="68">
        <v>8.0</v>
      </c>
      <c r="B11" s="68"/>
      <c r="C11" s="68"/>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row>
    <row r="12" ht="14.25" customHeight="1">
      <c r="A12" s="68">
        <v>9.0</v>
      </c>
      <c r="B12" s="68"/>
      <c r="C12" s="68"/>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row>
    <row r="13" ht="14.25" customHeight="1">
      <c r="A13" s="68">
        <v>10.0</v>
      </c>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row>
    <row r="14" ht="14.25" customHeight="1">
      <c r="Z14" s="57"/>
      <c r="AA14" s="57"/>
      <c r="AB14" s="57"/>
      <c r="AC14" s="57"/>
      <c r="AD14" s="57"/>
      <c r="AE14" s="57"/>
      <c r="AF14" s="57"/>
      <c r="AG14" s="57"/>
      <c r="AH14" s="57"/>
      <c r="AI14" s="57"/>
    </row>
    <row r="15" ht="14.25" customHeight="1">
      <c r="Z15" s="57"/>
      <c r="AA15" s="57"/>
      <c r="AB15" s="57"/>
      <c r="AC15" s="57"/>
      <c r="AD15" s="57"/>
      <c r="AE15" s="57"/>
      <c r="AF15" s="57"/>
      <c r="AG15" s="57"/>
      <c r="AH15" s="57"/>
      <c r="AI15" s="57"/>
    </row>
    <row r="16" ht="14.25" customHeight="1">
      <c r="Z16" s="57"/>
      <c r="AA16" s="57"/>
      <c r="AB16" s="57"/>
      <c r="AC16" s="57"/>
      <c r="AD16" s="57"/>
      <c r="AE16" s="57"/>
      <c r="AF16" s="57"/>
      <c r="AG16" s="57"/>
      <c r="AH16" s="57"/>
      <c r="AI16" s="57"/>
    </row>
    <row r="17" ht="14.25" customHeight="1">
      <c r="Z17" s="57"/>
      <c r="AA17" s="57"/>
      <c r="AB17" s="57"/>
      <c r="AC17" s="57"/>
      <c r="AD17" s="57"/>
      <c r="AE17" s="57"/>
      <c r="AF17" s="57"/>
      <c r="AG17" s="57"/>
      <c r="AH17" s="57"/>
      <c r="AI17" s="57"/>
    </row>
    <row r="18" ht="14.25" customHeight="1">
      <c r="Z18" s="57"/>
      <c r="AA18" s="57"/>
      <c r="AB18" s="57"/>
      <c r="AC18" s="57"/>
      <c r="AD18" s="57"/>
      <c r="AE18" s="57"/>
      <c r="AF18" s="57"/>
      <c r="AG18" s="57"/>
      <c r="AH18" s="57"/>
      <c r="AI18" s="57"/>
    </row>
    <row r="19" ht="14.25" customHeight="1">
      <c r="C19" s="62" t="s">
        <v>216</v>
      </c>
      <c r="D19" s="62">
        <v>2.0</v>
      </c>
      <c r="Z19" s="57"/>
      <c r="AA19" s="57"/>
      <c r="AB19" s="57"/>
      <c r="AC19" s="57"/>
      <c r="AD19" s="57"/>
      <c r="AE19" s="57"/>
      <c r="AF19" s="57"/>
      <c r="AG19" s="57"/>
      <c r="AH19" s="57"/>
      <c r="AI19" s="57"/>
    </row>
    <row r="20" ht="14.25" customHeight="1">
      <c r="C20" s="62" t="s">
        <v>217</v>
      </c>
      <c r="D20" s="62">
        <v>0.0</v>
      </c>
      <c r="Z20" s="57"/>
      <c r="AA20" s="57"/>
      <c r="AB20" s="57"/>
      <c r="AC20" s="57"/>
      <c r="AD20" s="57"/>
      <c r="AE20" s="57"/>
      <c r="AF20" s="57"/>
      <c r="AG20" s="57"/>
      <c r="AH20" s="57"/>
      <c r="AI20" s="57"/>
    </row>
    <row r="21" ht="14.25" customHeight="1">
      <c r="Z21" s="57"/>
      <c r="AA21" s="57"/>
      <c r="AB21" s="57"/>
      <c r="AC21" s="57"/>
      <c r="AD21" s="57"/>
      <c r="AE21" s="57"/>
      <c r="AF21" s="57"/>
      <c r="AG21" s="57"/>
      <c r="AH21" s="57"/>
      <c r="AI21" s="57"/>
    </row>
    <row r="22" ht="14.25" customHeight="1">
      <c r="Z22" s="57"/>
      <c r="AA22" s="57"/>
      <c r="AB22" s="57"/>
      <c r="AC22" s="57"/>
      <c r="AD22" s="57"/>
      <c r="AE22" s="57"/>
      <c r="AF22" s="57"/>
      <c r="AG22" s="57"/>
      <c r="AH22" s="57"/>
      <c r="AI22" s="57"/>
    </row>
    <row r="23" ht="14.25" customHeight="1">
      <c r="Z23" s="57"/>
      <c r="AA23" s="57"/>
      <c r="AB23" s="57"/>
      <c r="AC23" s="57"/>
      <c r="AD23" s="57"/>
      <c r="AE23" s="57"/>
      <c r="AF23" s="57"/>
      <c r="AG23" s="57"/>
      <c r="AH23" s="57"/>
      <c r="AI23" s="57"/>
    </row>
    <row r="24" ht="14.25" customHeight="1">
      <c r="Z24" s="57"/>
      <c r="AA24" s="57"/>
      <c r="AB24" s="57"/>
      <c r="AC24" s="57"/>
      <c r="AD24" s="57"/>
      <c r="AE24" s="57"/>
      <c r="AF24" s="57"/>
      <c r="AG24" s="57"/>
      <c r="AH24" s="57"/>
      <c r="AI24" s="57"/>
    </row>
    <row r="25" ht="14.25" customHeight="1">
      <c r="Z25" s="57"/>
      <c r="AA25" s="57"/>
      <c r="AB25" s="57"/>
      <c r="AC25" s="57"/>
      <c r="AD25" s="57"/>
      <c r="AE25" s="57"/>
      <c r="AF25" s="57"/>
      <c r="AG25" s="57"/>
      <c r="AH25" s="57"/>
      <c r="AI25" s="57"/>
    </row>
    <row r="26" ht="14.25" customHeight="1">
      <c r="Z26" s="57"/>
      <c r="AA26" s="57"/>
      <c r="AB26" s="57"/>
      <c r="AC26" s="57"/>
      <c r="AD26" s="57"/>
      <c r="AE26" s="57"/>
      <c r="AF26" s="57"/>
      <c r="AG26" s="57"/>
      <c r="AH26" s="57"/>
      <c r="AI26" s="57"/>
    </row>
    <row r="27" ht="14.25" customHeight="1">
      <c r="Z27" s="57"/>
      <c r="AA27" s="57"/>
      <c r="AB27" s="57"/>
      <c r="AC27" s="57"/>
      <c r="AD27" s="57"/>
      <c r="AE27" s="57"/>
      <c r="AF27" s="57"/>
      <c r="AG27" s="57"/>
      <c r="AH27" s="57"/>
      <c r="AI27" s="57"/>
    </row>
    <row r="28" ht="14.25" customHeight="1">
      <c r="Z28" s="57"/>
      <c r="AA28" s="57"/>
      <c r="AB28" s="57"/>
      <c r="AC28" s="57"/>
      <c r="AD28" s="57"/>
      <c r="AE28" s="57"/>
      <c r="AF28" s="57"/>
      <c r="AG28" s="57"/>
      <c r="AH28" s="57"/>
      <c r="AI28" s="57"/>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H28">
      <formula1>"Ada,Belum Ada,Proses,Belum mengurus"</formula1>
    </dataValidation>
    <dataValidation type="list" allowBlank="1" showErrorMessage="1" sqref="G5:G6">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1.57"/>
    <col customWidth="1" min="3" max="3" width="30.0"/>
    <col customWidth="1" min="4" max="4" width="15.29"/>
    <col customWidth="1" min="5" max="5" width="24.0"/>
    <col customWidth="1" min="6" max="7" width="15.86"/>
    <col customWidth="1" min="8" max="11" width="21.14"/>
    <col customWidth="1" min="12" max="16" width="27.0"/>
    <col customWidth="1" min="17" max="18" width="31.0"/>
    <col customWidth="1" min="19" max="19" width="31.43"/>
    <col customWidth="1" min="20" max="21" width="30.0"/>
    <col customWidth="1" min="22" max="22" width="32.0"/>
    <col customWidth="1" min="23" max="24" width="26.43"/>
    <col customWidth="1" min="25" max="25" width="18.43"/>
    <col customWidth="1" min="26" max="26" width="15.86"/>
    <col customWidth="1" min="27" max="27" width="15.57"/>
    <col customWidth="1" min="28" max="28" width="15.14"/>
    <col customWidth="1" min="29" max="29" width="15.29"/>
    <col customWidth="1" min="30" max="30" width="16.43"/>
    <col customWidth="1" min="31" max="31" width="18.29"/>
    <col customWidth="1" min="32" max="32" width="16.14"/>
    <col customWidth="1" min="33" max="33" width="20.29"/>
    <col customWidth="1" min="34" max="34" width="17.0"/>
    <col customWidth="1" min="35" max="35" width="11.14"/>
  </cols>
  <sheetData>
    <row r="1" ht="14.25" customHeight="1">
      <c r="L1" s="63" t="s">
        <v>1</v>
      </c>
    </row>
    <row r="2" ht="14.25" customHeight="1">
      <c r="L2" s="64" t="s">
        <v>2</v>
      </c>
    </row>
    <row r="3" ht="14.25" customHeight="1"/>
    <row r="4" ht="40.5" customHeight="1">
      <c r="A4" s="68" t="s">
        <v>3</v>
      </c>
      <c r="B4" s="68" t="s">
        <v>4</v>
      </c>
      <c r="C4" s="68" t="s">
        <v>5</v>
      </c>
      <c r="D4" s="68" t="s">
        <v>6</v>
      </c>
      <c r="E4" s="68" t="s">
        <v>7</v>
      </c>
      <c r="F4" s="68" t="s">
        <v>8</v>
      </c>
      <c r="G4" s="68" t="s">
        <v>9</v>
      </c>
      <c r="H4" s="117" t="s">
        <v>836</v>
      </c>
      <c r="I4" s="117" t="s">
        <v>11</v>
      </c>
      <c r="J4" s="68" t="s">
        <v>12</v>
      </c>
      <c r="K4" s="68" t="s">
        <v>13</v>
      </c>
      <c r="L4" s="68" t="s">
        <v>14</v>
      </c>
      <c r="M4" s="68" t="s">
        <v>15</v>
      </c>
      <c r="N4" s="68" t="s">
        <v>16</v>
      </c>
      <c r="O4" s="68" t="s">
        <v>147</v>
      </c>
      <c r="P4" s="68" t="s">
        <v>18</v>
      </c>
      <c r="Q4" s="68" t="s">
        <v>19</v>
      </c>
      <c r="R4" s="68" t="s">
        <v>20</v>
      </c>
      <c r="S4" s="68" t="s">
        <v>21</v>
      </c>
      <c r="T4" s="68" t="s">
        <v>22</v>
      </c>
      <c r="U4" s="68" t="s">
        <v>23</v>
      </c>
      <c r="V4" s="68" t="s">
        <v>24</v>
      </c>
      <c r="W4" s="68" t="s">
        <v>25</v>
      </c>
      <c r="X4" s="68" t="s">
        <v>26</v>
      </c>
      <c r="Y4" s="68" t="s">
        <v>27</v>
      </c>
      <c r="Z4" s="118" t="s">
        <v>28</v>
      </c>
      <c r="AA4" s="118" t="s">
        <v>29</v>
      </c>
      <c r="AB4" s="118" t="s">
        <v>30</v>
      </c>
      <c r="AC4" s="118" t="s">
        <v>31</v>
      </c>
      <c r="AD4" s="118" t="s">
        <v>32</v>
      </c>
      <c r="AE4" s="118" t="s">
        <v>33</v>
      </c>
      <c r="AF4" s="118" t="s">
        <v>34</v>
      </c>
      <c r="AG4" s="118" t="s">
        <v>35</v>
      </c>
      <c r="AH4" s="118" t="s">
        <v>36</v>
      </c>
      <c r="AI4" s="118" t="s">
        <v>37</v>
      </c>
    </row>
    <row r="5" ht="14.25" customHeight="1">
      <c r="A5" s="119">
        <v>1.0</v>
      </c>
      <c r="B5" s="119" t="s">
        <v>837</v>
      </c>
      <c r="C5" s="119" t="s">
        <v>838</v>
      </c>
      <c r="D5" s="119" t="s">
        <v>839</v>
      </c>
      <c r="E5" s="119" t="s">
        <v>840</v>
      </c>
      <c r="F5" s="119" t="s">
        <v>841</v>
      </c>
      <c r="G5" s="119" t="s">
        <v>43</v>
      </c>
      <c r="H5" s="67">
        <v>2025.0</v>
      </c>
      <c r="I5" s="67" t="s">
        <v>44</v>
      </c>
      <c r="J5" s="119" t="s">
        <v>842</v>
      </c>
      <c r="K5" s="120" t="s">
        <v>843</v>
      </c>
      <c r="L5" s="121">
        <v>2409.0</v>
      </c>
      <c r="M5" s="119"/>
      <c r="N5" s="119"/>
      <c r="O5" s="119" t="s">
        <v>844</v>
      </c>
      <c r="P5" s="119"/>
      <c r="Q5" s="119" t="s">
        <v>845</v>
      </c>
      <c r="R5" s="119"/>
      <c r="S5" s="119" t="s">
        <v>846</v>
      </c>
      <c r="T5" s="119" t="s">
        <v>847</v>
      </c>
      <c r="U5" s="119" t="s">
        <v>848</v>
      </c>
      <c r="V5" s="119" t="s">
        <v>849</v>
      </c>
      <c r="W5" s="119"/>
      <c r="X5" s="119"/>
      <c r="Y5" s="121" t="s">
        <v>814</v>
      </c>
      <c r="Z5" s="68" t="s">
        <v>54</v>
      </c>
      <c r="AA5" s="68"/>
      <c r="AB5" s="68"/>
      <c r="AC5" s="68"/>
      <c r="AD5" s="68"/>
      <c r="AE5" s="68"/>
      <c r="AF5" s="68"/>
      <c r="AG5" s="68"/>
      <c r="AH5" s="68"/>
      <c r="AI5" s="68"/>
    </row>
    <row r="6" ht="14.25" customHeight="1">
      <c r="A6" s="119">
        <v>2.0</v>
      </c>
      <c r="B6" s="119" t="s">
        <v>850</v>
      </c>
      <c r="C6" s="119" t="s">
        <v>851</v>
      </c>
      <c r="D6" s="119" t="s">
        <v>852</v>
      </c>
      <c r="E6" s="71" t="s">
        <v>853</v>
      </c>
      <c r="F6" s="121" t="s">
        <v>854</v>
      </c>
      <c r="G6" s="119" t="s">
        <v>43</v>
      </c>
      <c r="H6" s="67">
        <v>2025.0</v>
      </c>
      <c r="I6" s="67" t="s">
        <v>44</v>
      </c>
      <c r="J6" s="119" t="s">
        <v>855</v>
      </c>
      <c r="K6" s="72" t="s">
        <v>856</v>
      </c>
      <c r="L6" s="121">
        <v>2576.0</v>
      </c>
      <c r="M6" s="119" t="s">
        <v>857</v>
      </c>
      <c r="N6" s="119" t="s">
        <v>858</v>
      </c>
      <c r="O6" s="119" t="s">
        <v>859</v>
      </c>
      <c r="P6" s="119"/>
      <c r="Q6" s="119" t="s">
        <v>860</v>
      </c>
      <c r="R6" s="119" t="s">
        <v>861</v>
      </c>
      <c r="S6" s="119" t="s">
        <v>862</v>
      </c>
      <c r="T6" s="119" t="s">
        <v>863</v>
      </c>
      <c r="U6" s="119" t="s">
        <v>864</v>
      </c>
      <c r="V6" s="119" t="s">
        <v>865</v>
      </c>
      <c r="W6" s="119"/>
      <c r="X6" s="119"/>
      <c r="Y6" s="119" t="s">
        <v>866</v>
      </c>
      <c r="Z6" s="68"/>
      <c r="AA6" s="68"/>
      <c r="AB6" s="68"/>
      <c r="AC6" s="68"/>
      <c r="AD6" s="68"/>
      <c r="AE6" s="68"/>
      <c r="AF6" s="68"/>
      <c r="AG6" s="68"/>
      <c r="AH6" s="68"/>
      <c r="AI6" s="68"/>
    </row>
    <row r="7" ht="103.5" customHeight="1">
      <c r="A7" s="121">
        <v>3.0</v>
      </c>
      <c r="B7" s="119" t="s">
        <v>850</v>
      </c>
      <c r="C7" s="119" t="s">
        <v>867</v>
      </c>
      <c r="D7" s="122" t="s">
        <v>868</v>
      </c>
      <c r="E7" s="119" t="s">
        <v>869</v>
      </c>
      <c r="F7" s="119" t="s">
        <v>870</v>
      </c>
      <c r="G7" s="121" t="s">
        <v>43</v>
      </c>
      <c r="H7" s="67">
        <v>2025.0</v>
      </c>
      <c r="I7" s="68" t="s">
        <v>44</v>
      </c>
      <c r="J7" s="121" t="s">
        <v>871</v>
      </c>
      <c r="K7" s="123" t="s">
        <v>872</v>
      </c>
      <c r="L7" s="121">
        <v>2977.0</v>
      </c>
      <c r="M7" s="121"/>
      <c r="N7" s="121"/>
      <c r="O7" s="121" t="s">
        <v>873</v>
      </c>
      <c r="P7" s="121"/>
      <c r="Q7" s="119" t="s">
        <v>874</v>
      </c>
      <c r="R7" s="119" t="s">
        <v>875</v>
      </c>
      <c r="S7" s="119" t="s">
        <v>876</v>
      </c>
      <c r="T7" s="119" t="s">
        <v>877</v>
      </c>
      <c r="U7" s="119" t="s">
        <v>878</v>
      </c>
      <c r="V7" s="119" t="s">
        <v>879</v>
      </c>
      <c r="W7" s="121"/>
      <c r="X7" s="121"/>
      <c r="Y7" s="121" t="s">
        <v>880</v>
      </c>
      <c r="Z7" s="68"/>
      <c r="AA7" s="68"/>
      <c r="AB7" s="68"/>
      <c r="AC7" s="68"/>
      <c r="AD7" s="68"/>
      <c r="AE7" s="68"/>
      <c r="AF7" s="68"/>
      <c r="AG7" s="68"/>
      <c r="AH7" s="68"/>
      <c r="AI7" s="68">
        <v>46.0</v>
      </c>
    </row>
    <row r="8" ht="14.25" customHeight="1">
      <c r="A8" s="121">
        <v>4.0</v>
      </c>
      <c r="B8" s="121" t="s">
        <v>881</v>
      </c>
      <c r="C8" s="121" t="s">
        <v>882</v>
      </c>
      <c r="D8" s="121" t="s">
        <v>883</v>
      </c>
      <c r="E8" s="121" t="s">
        <v>884</v>
      </c>
      <c r="F8" s="121" t="s">
        <v>885</v>
      </c>
      <c r="G8" s="121" t="s">
        <v>43</v>
      </c>
      <c r="H8" s="124" t="s">
        <v>886</v>
      </c>
      <c r="I8" s="121" t="s">
        <v>44</v>
      </c>
      <c r="J8" s="121" t="s">
        <v>887</v>
      </c>
      <c r="K8" s="123" t="s">
        <v>888</v>
      </c>
      <c r="L8" s="124">
        <v>2085.0</v>
      </c>
      <c r="M8" s="121"/>
      <c r="N8" s="124" t="s">
        <v>889</v>
      </c>
      <c r="O8" s="121"/>
      <c r="P8" s="124" t="s">
        <v>890</v>
      </c>
      <c r="Q8" s="124" t="s">
        <v>891</v>
      </c>
      <c r="R8" s="124" t="s">
        <v>892</v>
      </c>
      <c r="S8" s="124" t="s">
        <v>893</v>
      </c>
      <c r="T8" s="124" t="s">
        <v>894</v>
      </c>
      <c r="U8" s="124" t="s">
        <v>895</v>
      </c>
      <c r="V8" s="124" t="s">
        <v>896</v>
      </c>
      <c r="W8" s="124" t="s">
        <v>897</v>
      </c>
      <c r="X8" s="121"/>
      <c r="Y8" s="121" t="s">
        <v>898</v>
      </c>
      <c r="Z8" s="68" t="s">
        <v>54</v>
      </c>
      <c r="AA8" s="76" t="s">
        <v>54</v>
      </c>
      <c r="AB8" s="76" t="s">
        <v>54</v>
      </c>
      <c r="AC8" s="76" t="s">
        <v>54</v>
      </c>
      <c r="AD8" s="76" t="s">
        <v>145</v>
      </c>
      <c r="AE8" s="76" t="s">
        <v>146</v>
      </c>
      <c r="AF8" s="76" t="s">
        <v>145</v>
      </c>
      <c r="AG8" s="76" t="s">
        <v>54</v>
      </c>
      <c r="AH8" s="76" t="s">
        <v>146</v>
      </c>
      <c r="AI8" s="76">
        <v>49.0</v>
      </c>
    </row>
    <row r="9" ht="14.25" customHeight="1">
      <c r="A9" s="121">
        <v>5.0</v>
      </c>
      <c r="B9" s="121" t="s">
        <v>881</v>
      </c>
      <c r="C9" s="121" t="s">
        <v>899</v>
      </c>
      <c r="D9" s="121" t="s">
        <v>900</v>
      </c>
      <c r="E9" s="121" t="s">
        <v>901</v>
      </c>
      <c r="F9" s="121" t="s">
        <v>902</v>
      </c>
      <c r="G9" s="121" t="s">
        <v>43</v>
      </c>
      <c r="H9" s="121" t="s">
        <v>903</v>
      </c>
      <c r="I9" s="121" t="s">
        <v>44</v>
      </c>
      <c r="J9" s="121" t="s">
        <v>904</v>
      </c>
      <c r="K9" s="123" t="s">
        <v>905</v>
      </c>
      <c r="L9" s="121">
        <v>2005.0</v>
      </c>
      <c r="M9" s="121" t="s">
        <v>906</v>
      </c>
      <c r="N9" s="121" t="s">
        <v>907</v>
      </c>
      <c r="O9" s="121" t="s">
        <v>908</v>
      </c>
      <c r="P9" s="121" t="s">
        <v>909</v>
      </c>
      <c r="Q9" s="121" t="s">
        <v>910</v>
      </c>
      <c r="R9" s="121" t="s">
        <v>911</v>
      </c>
      <c r="S9" s="121" t="s">
        <v>912</v>
      </c>
      <c r="T9" s="119" t="s">
        <v>913</v>
      </c>
      <c r="U9" s="119" t="s">
        <v>914</v>
      </c>
      <c r="V9" s="119" t="s">
        <v>915</v>
      </c>
      <c r="W9" s="121"/>
      <c r="X9" s="121"/>
      <c r="Y9" s="121" t="s">
        <v>916</v>
      </c>
      <c r="Z9" s="68" t="s">
        <v>54</v>
      </c>
      <c r="AA9" s="68" t="s">
        <v>54</v>
      </c>
      <c r="AB9" s="68" t="s">
        <v>145</v>
      </c>
      <c r="AC9" s="68" t="s">
        <v>54</v>
      </c>
      <c r="AD9" s="68" t="s">
        <v>54</v>
      </c>
      <c r="AE9" s="68" t="s">
        <v>145</v>
      </c>
      <c r="AF9" s="68" t="s">
        <v>145</v>
      </c>
      <c r="AG9" s="68" t="s">
        <v>54</v>
      </c>
      <c r="AH9" s="68" t="s">
        <v>146</v>
      </c>
      <c r="AI9" s="68"/>
    </row>
    <row r="10" ht="14.25" customHeight="1">
      <c r="A10" s="121">
        <v>6.0</v>
      </c>
      <c r="B10" s="121" t="s">
        <v>850</v>
      </c>
      <c r="C10" s="121" t="s">
        <v>917</v>
      </c>
      <c r="D10" s="121" t="s">
        <v>918</v>
      </c>
      <c r="E10" s="121" t="s">
        <v>919</v>
      </c>
      <c r="F10" s="121" t="s">
        <v>920</v>
      </c>
      <c r="G10" s="119" t="s">
        <v>43</v>
      </c>
      <c r="H10" s="67">
        <v>2025.0</v>
      </c>
      <c r="I10" s="68" t="s">
        <v>44</v>
      </c>
      <c r="J10" s="121" t="s">
        <v>921</v>
      </c>
      <c r="K10" s="123" t="s">
        <v>922</v>
      </c>
      <c r="L10" s="121">
        <v>3048.0</v>
      </c>
      <c r="M10" s="121"/>
      <c r="N10" s="119" t="s">
        <v>923</v>
      </c>
      <c r="O10" s="119" t="s">
        <v>924</v>
      </c>
      <c r="P10" s="119" t="s">
        <v>925</v>
      </c>
      <c r="Q10" s="119" t="s">
        <v>926</v>
      </c>
      <c r="R10" s="119" t="s">
        <v>927</v>
      </c>
      <c r="S10" s="119" t="s">
        <v>928</v>
      </c>
      <c r="T10" s="119" t="s">
        <v>929</v>
      </c>
      <c r="U10" s="119" t="s">
        <v>930</v>
      </c>
      <c r="V10" s="119" t="s">
        <v>931</v>
      </c>
      <c r="W10" s="121"/>
      <c r="X10" s="121"/>
      <c r="Y10" s="121" t="s">
        <v>916</v>
      </c>
      <c r="Z10" s="68"/>
      <c r="AA10" s="68"/>
      <c r="AB10" s="68"/>
      <c r="AC10" s="68"/>
      <c r="AD10" s="68"/>
      <c r="AE10" s="68"/>
      <c r="AF10" s="68"/>
      <c r="AG10" s="68"/>
      <c r="AH10" s="68"/>
      <c r="AI10" s="68"/>
    </row>
    <row r="11" ht="14.25" customHeight="1">
      <c r="A11" s="121">
        <v>7.0</v>
      </c>
      <c r="B11" s="125" t="s">
        <v>850</v>
      </c>
      <c r="C11" s="70" t="s">
        <v>932</v>
      </c>
      <c r="D11" s="121" t="s">
        <v>933</v>
      </c>
      <c r="E11" s="121" t="s">
        <v>934</v>
      </c>
      <c r="F11" s="121" t="s">
        <v>935</v>
      </c>
      <c r="G11" s="119" t="s">
        <v>43</v>
      </c>
      <c r="H11" s="126">
        <v>46090.0</v>
      </c>
      <c r="I11" s="121" t="s">
        <v>44</v>
      </c>
      <c r="J11" s="124" t="s">
        <v>936</v>
      </c>
      <c r="K11" s="124">
        <v>8.1282595445E10</v>
      </c>
      <c r="L11" s="124">
        <v>2239.0</v>
      </c>
      <c r="M11" s="121"/>
      <c r="N11" s="121"/>
      <c r="O11" s="127" t="s">
        <v>937</v>
      </c>
      <c r="P11" s="124" t="s">
        <v>938</v>
      </c>
      <c r="Q11" s="124" t="s">
        <v>939</v>
      </c>
      <c r="R11" s="124" t="s">
        <v>940</v>
      </c>
      <c r="S11" s="121"/>
      <c r="T11" s="124" t="s">
        <v>941</v>
      </c>
      <c r="U11" s="124" t="s">
        <v>942</v>
      </c>
      <c r="V11" s="124" t="s">
        <v>943</v>
      </c>
      <c r="W11" s="121" t="s">
        <v>944</v>
      </c>
      <c r="X11" s="121"/>
      <c r="Y11" s="124" t="s">
        <v>945</v>
      </c>
      <c r="Z11" s="76" t="s">
        <v>54</v>
      </c>
      <c r="AA11" s="76" t="s">
        <v>54</v>
      </c>
      <c r="AB11" s="76" t="s">
        <v>54</v>
      </c>
      <c r="AC11" s="76" t="s">
        <v>54</v>
      </c>
      <c r="AD11" s="76" t="s">
        <v>145</v>
      </c>
      <c r="AE11" s="76" t="s">
        <v>146</v>
      </c>
      <c r="AF11" s="76" t="s">
        <v>145</v>
      </c>
      <c r="AG11" s="76" t="s">
        <v>54</v>
      </c>
      <c r="AH11" s="76" t="s">
        <v>146</v>
      </c>
      <c r="AI11" s="76">
        <v>49.0</v>
      </c>
    </row>
    <row r="12" ht="14.25" customHeight="1">
      <c r="A12" s="121">
        <v>8.0</v>
      </c>
      <c r="B12" s="121"/>
      <c r="C12" s="121"/>
      <c r="D12" s="121" t="s">
        <v>946</v>
      </c>
      <c r="E12" s="128" t="s">
        <v>947</v>
      </c>
      <c r="F12" s="121" t="s">
        <v>948</v>
      </c>
      <c r="G12" s="119" t="s">
        <v>949</v>
      </c>
      <c r="H12" s="121"/>
      <c r="I12" s="121"/>
      <c r="J12" s="121"/>
      <c r="K12" s="121"/>
      <c r="L12" s="121"/>
      <c r="M12" s="121"/>
      <c r="N12" s="121"/>
      <c r="O12" s="124" t="s">
        <v>250</v>
      </c>
      <c r="P12" s="121"/>
      <c r="Q12" s="121"/>
      <c r="R12" s="121"/>
      <c r="S12" s="121"/>
      <c r="T12" s="121"/>
      <c r="U12" s="121"/>
      <c r="V12" s="121"/>
      <c r="W12" s="121"/>
      <c r="X12" s="121"/>
      <c r="Y12" s="121"/>
      <c r="Z12" s="68"/>
      <c r="AA12" s="68"/>
      <c r="AB12" s="68"/>
      <c r="AC12" s="68"/>
      <c r="AD12" s="68"/>
      <c r="AE12" s="68"/>
      <c r="AF12" s="68"/>
      <c r="AG12" s="68"/>
      <c r="AH12" s="68"/>
      <c r="AI12" s="68"/>
    </row>
    <row r="13" ht="14.25" customHeight="1">
      <c r="A13" s="129">
        <v>9.0</v>
      </c>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68"/>
      <c r="AA13" s="68"/>
      <c r="AB13" s="68"/>
      <c r="AC13" s="68"/>
      <c r="AD13" s="68"/>
      <c r="AE13" s="68"/>
      <c r="AF13" s="68"/>
      <c r="AG13" s="68"/>
      <c r="AH13" s="68"/>
      <c r="AI13" s="68"/>
    </row>
    <row r="14" ht="14.25" customHeight="1">
      <c r="A14" s="121">
        <v>10.0</v>
      </c>
      <c r="B14" s="121"/>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68"/>
      <c r="AA14" s="68"/>
      <c r="AB14" s="68"/>
      <c r="AC14" s="68"/>
      <c r="AD14" s="68"/>
      <c r="AE14" s="68"/>
      <c r="AF14" s="68"/>
      <c r="AG14" s="68"/>
      <c r="AH14" s="68"/>
      <c r="AI14" s="68"/>
    </row>
    <row r="15" ht="14.25" customHeight="1">
      <c r="Z15" s="57"/>
      <c r="AA15" s="57"/>
      <c r="AB15" s="57"/>
      <c r="AC15" s="57"/>
      <c r="AD15" s="57"/>
      <c r="AE15" s="57"/>
      <c r="AF15" s="57"/>
      <c r="AG15" s="57"/>
      <c r="AH15" s="57"/>
      <c r="AI15" s="57"/>
    </row>
    <row r="16" ht="14.25" customHeight="1">
      <c r="A16" s="62" t="s">
        <v>950</v>
      </c>
      <c r="Z16" s="57"/>
      <c r="AA16" s="57"/>
      <c r="AB16" s="57"/>
      <c r="AC16" s="57"/>
      <c r="AD16" s="57"/>
      <c r="AE16" s="57"/>
      <c r="AF16" s="57"/>
      <c r="AG16" s="57"/>
      <c r="AH16" s="57"/>
      <c r="AI16" s="57"/>
    </row>
    <row r="17" ht="14.25" customHeight="1">
      <c r="Z17" s="57"/>
      <c r="AA17" s="57"/>
      <c r="AB17" s="57"/>
      <c r="AC17" s="57"/>
      <c r="AD17" s="57"/>
      <c r="AE17" s="57"/>
      <c r="AF17" s="57"/>
      <c r="AG17" s="57"/>
      <c r="AH17" s="57"/>
      <c r="AI17" s="57"/>
    </row>
    <row r="18" ht="14.25" customHeight="1">
      <c r="Z18" s="57"/>
      <c r="AA18" s="57"/>
      <c r="AB18" s="57"/>
      <c r="AC18" s="57"/>
      <c r="AD18" s="57"/>
      <c r="AE18" s="57"/>
      <c r="AF18" s="57"/>
      <c r="AG18" s="57"/>
      <c r="AH18" s="57"/>
      <c r="AI18" s="57"/>
    </row>
    <row r="19" ht="14.25" customHeight="1">
      <c r="Z19" s="57"/>
      <c r="AA19" s="57"/>
      <c r="AB19" s="57"/>
      <c r="AC19" s="57"/>
      <c r="AD19" s="57"/>
      <c r="AE19" s="57"/>
      <c r="AF19" s="57"/>
      <c r="AG19" s="57"/>
      <c r="AH19" s="57"/>
      <c r="AI19" s="57"/>
    </row>
    <row r="20" ht="14.25" customHeight="1">
      <c r="C20" s="62" t="s">
        <v>216</v>
      </c>
      <c r="D20" s="62">
        <v>7.0</v>
      </c>
      <c r="Z20" s="57"/>
      <c r="AA20" s="57"/>
      <c r="AB20" s="57"/>
      <c r="AC20" s="57"/>
      <c r="AD20" s="57"/>
      <c r="AE20" s="57"/>
      <c r="AF20" s="57"/>
      <c r="AG20" s="57"/>
      <c r="AH20" s="57"/>
      <c r="AI20" s="57"/>
    </row>
    <row r="21" ht="14.25" customHeight="1">
      <c r="C21" s="62" t="s">
        <v>217</v>
      </c>
      <c r="D21" s="62">
        <v>1.0</v>
      </c>
      <c r="Z21" s="57"/>
      <c r="AA21" s="57"/>
      <c r="AB21" s="57"/>
      <c r="AC21" s="57"/>
      <c r="AD21" s="57"/>
      <c r="AE21" s="57"/>
      <c r="AF21" s="57"/>
      <c r="AG21" s="57"/>
      <c r="AH21" s="57"/>
      <c r="AI21" s="57"/>
    </row>
    <row r="22" ht="14.25" customHeight="1">
      <c r="Z22" s="57"/>
      <c r="AA22" s="57"/>
      <c r="AB22" s="57"/>
      <c r="AC22" s="57"/>
      <c r="AD22" s="57"/>
      <c r="AE22" s="57"/>
      <c r="AF22" s="57"/>
      <c r="AG22" s="57"/>
      <c r="AH22" s="57"/>
      <c r="AI22" s="57"/>
    </row>
    <row r="23" ht="14.25" customHeight="1">
      <c r="Z23" s="57"/>
      <c r="AA23" s="57"/>
      <c r="AB23" s="57"/>
      <c r="AC23" s="57"/>
      <c r="AD23" s="57"/>
      <c r="AE23" s="57"/>
      <c r="AF23" s="57"/>
      <c r="AG23" s="57"/>
      <c r="AH23" s="57"/>
      <c r="AI23" s="57"/>
    </row>
    <row r="24" ht="14.25" customHeight="1">
      <c r="Z24" s="57"/>
      <c r="AA24" s="57"/>
      <c r="AB24" s="57"/>
      <c r="AC24" s="57"/>
      <c r="AD24" s="57"/>
      <c r="AE24" s="57"/>
      <c r="AF24" s="57"/>
      <c r="AG24" s="57"/>
      <c r="AH24" s="57"/>
      <c r="AI24" s="57"/>
    </row>
    <row r="25" ht="14.25" customHeight="1">
      <c r="Z25" s="57"/>
      <c r="AA25" s="57"/>
      <c r="AB25" s="57"/>
      <c r="AC25" s="57"/>
      <c r="AD25" s="57"/>
      <c r="AE25" s="57"/>
      <c r="AF25" s="57"/>
      <c r="AG25" s="57"/>
      <c r="AH25" s="57"/>
      <c r="AI25" s="57"/>
    </row>
    <row r="26" ht="14.25" customHeight="1">
      <c r="Z26" s="57"/>
      <c r="AA26" s="57"/>
      <c r="AB26" s="57"/>
      <c r="AC26" s="57"/>
      <c r="AD26" s="57"/>
      <c r="AE26" s="57"/>
      <c r="AF26" s="57"/>
      <c r="AG26" s="57"/>
      <c r="AH26" s="57"/>
      <c r="AI26" s="57"/>
    </row>
    <row r="27" ht="14.25" customHeight="1">
      <c r="Z27" s="57"/>
      <c r="AA27" s="57"/>
      <c r="AB27" s="57"/>
      <c r="AC27" s="57"/>
      <c r="AD27" s="57"/>
      <c r="AE27" s="57"/>
      <c r="AF27" s="57"/>
      <c r="AG27" s="57"/>
      <c r="AH27" s="57"/>
      <c r="AI27" s="57"/>
    </row>
    <row r="28" ht="14.25" customHeight="1">
      <c r="Z28" s="57"/>
      <c r="AA28" s="57"/>
      <c r="AB28" s="57"/>
      <c r="AC28" s="57"/>
      <c r="AD28" s="57"/>
      <c r="AE28" s="57"/>
      <c r="AF28" s="57"/>
      <c r="AG28" s="57"/>
      <c r="AH28" s="57"/>
      <c r="AI28" s="57"/>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H28">
      <formula1>"Ada,Belum Ada,Proses,Belum mengurus"</formula1>
    </dataValidation>
    <dataValidation type="list" allowBlank="1" showErrorMessage="1" sqref="G5:G6 G10:G12">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1.57"/>
    <col customWidth="1" min="3" max="3" width="21.86"/>
    <col customWidth="1" min="4" max="4" width="11.86"/>
    <col customWidth="1" min="5" max="5" width="24.43"/>
    <col customWidth="1" min="6" max="6" width="15.86"/>
    <col customWidth="1" min="7" max="7" width="20.29"/>
    <col customWidth="1" min="8" max="10" width="21.14"/>
    <col customWidth="1" min="11" max="17" width="27.0"/>
    <col customWidth="1" min="18" max="23" width="26.43"/>
    <col customWidth="1" min="24" max="24" width="18.43"/>
    <col customWidth="1" min="25" max="25" width="12.43"/>
    <col customWidth="1" min="26" max="26" width="19.29"/>
    <col customWidth="1" min="27" max="34" width="8.71"/>
  </cols>
  <sheetData>
    <row r="1" ht="14.25" customHeight="1">
      <c r="K1" s="63" t="s">
        <v>1</v>
      </c>
      <c r="Y1" s="62"/>
      <c r="Z1" s="62"/>
      <c r="AA1" s="62"/>
      <c r="AB1" s="62"/>
      <c r="AC1" s="62"/>
      <c r="AD1" s="62"/>
      <c r="AE1" s="62"/>
      <c r="AF1" s="62"/>
      <c r="AG1" s="62"/>
      <c r="AH1" s="62"/>
    </row>
    <row r="2" ht="14.25" customHeight="1">
      <c r="K2" s="64" t="s">
        <v>2</v>
      </c>
      <c r="Y2" s="62"/>
      <c r="Z2" s="62"/>
      <c r="AA2" s="62"/>
      <c r="AB2" s="62"/>
      <c r="AC2" s="62"/>
      <c r="AD2" s="62"/>
      <c r="AE2" s="62"/>
      <c r="AF2" s="62"/>
      <c r="AG2" s="62"/>
      <c r="AH2" s="62"/>
    </row>
    <row r="3" ht="14.25" customHeight="1">
      <c r="Y3" s="62"/>
      <c r="Z3" s="62"/>
      <c r="AA3" s="62"/>
      <c r="AB3" s="62"/>
      <c r="AC3" s="62"/>
      <c r="AD3" s="62"/>
      <c r="AE3" s="62"/>
      <c r="AF3" s="62"/>
      <c r="AG3" s="62"/>
      <c r="AH3" s="62"/>
    </row>
    <row r="4" ht="40.5" customHeight="1">
      <c r="A4" s="65" t="s">
        <v>3</v>
      </c>
      <c r="B4" s="65" t="s">
        <v>4</v>
      </c>
      <c r="C4" s="65" t="s">
        <v>5</v>
      </c>
      <c r="D4" s="65" t="s">
        <v>6</v>
      </c>
      <c r="E4" s="65" t="s">
        <v>7</v>
      </c>
      <c r="F4" s="65" t="s">
        <v>8</v>
      </c>
      <c r="G4" s="65" t="s">
        <v>9</v>
      </c>
      <c r="H4" s="65" t="s">
        <v>10</v>
      </c>
      <c r="I4" s="65" t="s">
        <v>12</v>
      </c>
      <c r="J4" s="65" t="s">
        <v>13</v>
      </c>
      <c r="K4" s="65" t="s">
        <v>14</v>
      </c>
      <c r="L4" s="65" t="s">
        <v>15</v>
      </c>
      <c r="M4" s="65" t="s">
        <v>16</v>
      </c>
      <c r="N4" s="65" t="s">
        <v>147</v>
      </c>
      <c r="O4" s="65" t="s">
        <v>18</v>
      </c>
      <c r="P4" s="65" t="s">
        <v>19</v>
      </c>
      <c r="Q4" s="65" t="s">
        <v>20</v>
      </c>
      <c r="R4" s="65" t="s">
        <v>21</v>
      </c>
      <c r="S4" s="65" t="s">
        <v>22</v>
      </c>
      <c r="T4" s="65" t="s">
        <v>23</v>
      </c>
      <c r="U4" s="65" t="s">
        <v>24</v>
      </c>
      <c r="V4" s="65" t="s">
        <v>25</v>
      </c>
      <c r="W4" s="65" t="s">
        <v>26</v>
      </c>
      <c r="X4" s="65" t="s">
        <v>27</v>
      </c>
      <c r="Y4" s="66" t="s">
        <v>28</v>
      </c>
      <c r="Z4" s="66" t="s">
        <v>29</v>
      </c>
      <c r="AA4" s="66" t="s">
        <v>30</v>
      </c>
      <c r="AB4" s="66" t="s">
        <v>31</v>
      </c>
      <c r="AC4" s="66" t="s">
        <v>32</v>
      </c>
      <c r="AD4" s="66" t="s">
        <v>33</v>
      </c>
      <c r="AE4" s="66" t="s">
        <v>34</v>
      </c>
      <c r="AF4" s="66" t="s">
        <v>35</v>
      </c>
      <c r="AG4" s="66" t="s">
        <v>36</v>
      </c>
      <c r="AH4" s="66" t="s">
        <v>37</v>
      </c>
    </row>
    <row r="5" ht="14.25" customHeight="1">
      <c r="A5" s="67">
        <v>1.0</v>
      </c>
      <c r="B5" s="67" t="s">
        <v>951</v>
      </c>
      <c r="C5" s="67" t="s">
        <v>952</v>
      </c>
      <c r="D5" s="68" t="s">
        <v>953</v>
      </c>
      <c r="E5" s="67" t="s">
        <v>529</v>
      </c>
      <c r="F5" s="67" t="s">
        <v>954</v>
      </c>
      <c r="G5" s="67" t="s">
        <v>43</v>
      </c>
      <c r="H5" s="67">
        <v>2025.0</v>
      </c>
      <c r="I5" s="67" t="s">
        <v>955</v>
      </c>
      <c r="J5" s="67">
        <v>8.514151091E10</v>
      </c>
      <c r="K5" s="67">
        <v>2695.0</v>
      </c>
      <c r="L5" s="67" t="s">
        <v>956</v>
      </c>
      <c r="M5" s="67" t="s">
        <v>957</v>
      </c>
      <c r="N5" s="67" t="s">
        <v>958</v>
      </c>
      <c r="O5" s="67" t="s">
        <v>959</v>
      </c>
      <c r="P5" s="67" t="s">
        <v>960</v>
      </c>
      <c r="Q5" s="67" t="s">
        <v>961</v>
      </c>
      <c r="R5" s="67" t="s">
        <v>962</v>
      </c>
      <c r="S5" s="67"/>
      <c r="T5" s="67"/>
      <c r="U5" s="67"/>
      <c r="V5" s="67"/>
      <c r="W5" s="67"/>
      <c r="X5" s="68"/>
      <c r="Y5" s="54" t="s">
        <v>54</v>
      </c>
      <c r="Z5" s="130"/>
      <c r="AA5" s="130"/>
      <c r="AB5" s="130"/>
      <c r="AC5" s="130"/>
      <c r="AD5" s="130"/>
      <c r="AE5" s="130"/>
      <c r="AF5" s="130"/>
      <c r="AG5" s="130"/>
      <c r="AH5" s="130"/>
    </row>
    <row r="6" ht="14.25" customHeight="1">
      <c r="A6" s="83"/>
      <c r="B6" s="83"/>
      <c r="C6" s="83"/>
      <c r="D6" s="83"/>
      <c r="E6" s="83"/>
      <c r="F6" s="83"/>
      <c r="G6" s="83"/>
      <c r="H6" s="83"/>
      <c r="I6" s="83"/>
      <c r="J6" s="83"/>
      <c r="K6" s="73" t="s">
        <v>79</v>
      </c>
      <c r="L6" s="87">
        <v>207.0</v>
      </c>
      <c r="M6" s="87">
        <v>36.0</v>
      </c>
      <c r="N6" s="87">
        <v>8.0</v>
      </c>
      <c r="O6" s="87">
        <v>27.0</v>
      </c>
      <c r="P6" s="87">
        <v>1068.0</v>
      </c>
      <c r="Q6" s="87">
        <v>806.0</v>
      </c>
      <c r="R6" s="87">
        <v>532.0</v>
      </c>
      <c r="S6" s="83"/>
      <c r="T6" s="83"/>
      <c r="U6" s="83"/>
      <c r="V6" s="83"/>
      <c r="W6" s="83"/>
      <c r="X6" s="83"/>
      <c r="Y6" s="131"/>
      <c r="Z6" s="131"/>
      <c r="AA6" s="131"/>
      <c r="AB6" s="131"/>
      <c r="AC6" s="131"/>
      <c r="AD6" s="131"/>
      <c r="AE6" s="131"/>
      <c r="AF6" s="131"/>
      <c r="AG6" s="131"/>
      <c r="AH6" s="131"/>
    </row>
    <row r="7" ht="14.25" customHeight="1">
      <c r="A7" s="67">
        <v>2.0</v>
      </c>
      <c r="B7" s="67" t="s">
        <v>963</v>
      </c>
      <c r="C7" s="73" t="s">
        <v>964</v>
      </c>
      <c r="D7" s="67" t="s">
        <v>965</v>
      </c>
      <c r="E7" s="71" t="s">
        <v>966</v>
      </c>
      <c r="F7" s="67" t="s">
        <v>967</v>
      </c>
      <c r="G7" s="67" t="s">
        <v>43</v>
      </c>
      <c r="H7" s="67"/>
      <c r="I7" s="67" t="s">
        <v>968</v>
      </c>
      <c r="J7" s="72" t="s">
        <v>969</v>
      </c>
      <c r="K7" s="67">
        <v>2529.0</v>
      </c>
      <c r="L7" s="67"/>
      <c r="M7" s="67" t="s">
        <v>970</v>
      </c>
      <c r="N7" s="67"/>
      <c r="O7" s="67" t="s">
        <v>971</v>
      </c>
      <c r="P7" s="67" t="s">
        <v>972</v>
      </c>
      <c r="Q7" s="67" t="s">
        <v>973</v>
      </c>
      <c r="R7" s="67" t="s">
        <v>974</v>
      </c>
      <c r="S7" s="67" t="s">
        <v>975</v>
      </c>
      <c r="T7" s="67" t="s">
        <v>976</v>
      </c>
      <c r="U7" s="67" t="s">
        <v>977</v>
      </c>
      <c r="V7" s="67"/>
      <c r="W7" s="67"/>
      <c r="X7" s="67"/>
      <c r="Y7" s="130"/>
      <c r="Z7" s="130"/>
      <c r="AA7" s="130"/>
      <c r="AB7" s="130"/>
      <c r="AC7" s="130"/>
      <c r="AD7" s="130"/>
      <c r="AE7" s="130"/>
      <c r="AF7" s="130"/>
      <c r="AG7" s="130"/>
      <c r="AH7" s="130"/>
    </row>
    <row r="8" ht="14.25" customHeight="1">
      <c r="A8" s="68"/>
      <c r="B8" s="87"/>
      <c r="C8" s="68"/>
      <c r="D8" s="68"/>
      <c r="E8" s="68"/>
      <c r="F8" s="68"/>
      <c r="G8" s="68"/>
      <c r="H8" s="68"/>
      <c r="I8" s="68"/>
      <c r="J8" s="68"/>
      <c r="K8" s="68"/>
      <c r="L8" s="68"/>
      <c r="M8" s="68"/>
      <c r="N8" s="68"/>
      <c r="O8" s="68"/>
      <c r="P8" s="68"/>
      <c r="Q8" s="68"/>
      <c r="R8" s="68"/>
      <c r="S8" s="68"/>
      <c r="T8" s="68"/>
      <c r="U8" s="68"/>
      <c r="V8" s="68"/>
      <c r="W8" s="68"/>
      <c r="X8" s="68"/>
      <c r="Y8" s="131"/>
      <c r="Z8" s="131"/>
      <c r="AA8" s="131"/>
      <c r="AB8" s="131"/>
      <c r="AC8" s="131"/>
      <c r="AD8" s="131"/>
      <c r="AE8" s="131"/>
      <c r="AF8" s="131"/>
      <c r="AG8" s="131"/>
      <c r="AH8" s="131"/>
    </row>
    <row r="9" ht="14.25" customHeight="1">
      <c r="A9" s="68">
        <v>3.0</v>
      </c>
      <c r="B9" s="132" t="s">
        <v>978</v>
      </c>
      <c r="C9" s="132" t="s">
        <v>979</v>
      </c>
      <c r="D9" s="68" t="s">
        <v>980</v>
      </c>
      <c r="E9" s="132" t="s">
        <v>981</v>
      </c>
      <c r="F9" s="68" t="s">
        <v>982</v>
      </c>
      <c r="G9" s="74" t="s">
        <v>43</v>
      </c>
      <c r="H9" s="68" t="s">
        <v>983</v>
      </c>
      <c r="I9" s="68" t="s">
        <v>984</v>
      </c>
      <c r="J9" s="68">
        <v>8.213329687E10</v>
      </c>
      <c r="K9" s="68">
        <v>1695.0</v>
      </c>
      <c r="L9" s="121" t="s">
        <v>985</v>
      </c>
      <c r="M9" s="68" t="s">
        <v>986</v>
      </c>
      <c r="N9" s="68" t="s">
        <v>987</v>
      </c>
      <c r="O9" s="68" t="s">
        <v>988</v>
      </c>
      <c r="P9" s="68" t="s">
        <v>989</v>
      </c>
      <c r="Q9" s="68" t="s">
        <v>990</v>
      </c>
      <c r="R9" s="68" t="s">
        <v>991</v>
      </c>
      <c r="S9" s="68"/>
      <c r="T9" s="68"/>
      <c r="U9" s="68"/>
      <c r="V9" s="68"/>
      <c r="W9" s="68"/>
      <c r="X9" s="68"/>
      <c r="Y9" s="130"/>
      <c r="Z9" s="130"/>
      <c r="AA9" s="130"/>
      <c r="AB9" s="130"/>
      <c r="AC9" s="130"/>
      <c r="AD9" s="130"/>
      <c r="AE9" s="130"/>
      <c r="AF9" s="130"/>
      <c r="AG9" s="130"/>
      <c r="AH9" s="130"/>
    </row>
    <row r="10" ht="171.75" customHeight="1">
      <c r="A10" s="68">
        <v>4.0</v>
      </c>
      <c r="B10" s="133" t="s">
        <v>992</v>
      </c>
      <c r="C10" s="68" t="s">
        <v>993</v>
      </c>
      <c r="D10" s="134" t="s">
        <v>994</v>
      </c>
      <c r="E10" s="73" t="s">
        <v>995</v>
      </c>
      <c r="F10" s="68" t="s">
        <v>996</v>
      </c>
      <c r="G10" s="74" t="s">
        <v>997</v>
      </c>
      <c r="H10" s="68" t="s">
        <v>53</v>
      </c>
      <c r="I10" s="68" t="s">
        <v>998</v>
      </c>
      <c r="J10" s="68">
        <v>8.5399468033E10</v>
      </c>
      <c r="K10" s="68">
        <v>1499.0</v>
      </c>
      <c r="L10" s="135" t="s">
        <v>999</v>
      </c>
      <c r="M10" s="68"/>
      <c r="N10" s="68"/>
      <c r="O10" s="68"/>
      <c r="P10" s="68" t="s">
        <v>1000</v>
      </c>
      <c r="Q10" s="68" t="s">
        <v>1001</v>
      </c>
      <c r="R10" s="68" t="s">
        <v>1002</v>
      </c>
      <c r="S10" s="68">
        <v>115.0</v>
      </c>
      <c r="T10" s="68">
        <v>103.0</v>
      </c>
      <c r="U10" s="68">
        <v>125.0</v>
      </c>
      <c r="V10" s="68"/>
      <c r="W10" s="68"/>
      <c r="X10" s="68"/>
      <c r="Y10" s="131" t="s">
        <v>145</v>
      </c>
      <c r="Z10" s="131"/>
      <c r="AA10" s="131"/>
      <c r="AB10" s="131"/>
      <c r="AC10" s="131"/>
      <c r="AD10" s="131"/>
      <c r="AE10" s="131"/>
      <c r="AF10" s="131"/>
      <c r="AG10" s="131"/>
      <c r="AH10" s="131"/>
    </row>
    <row r="11" ht="14.25" customHeight="1">
      <c r="A11" s="68">
        <v>7.0</v>
      </c>
      <c r="B11" s="68"/>
      <c r="C11" s="68"/>
      <c r="D11" s="68"/>
      <c r="E11" s="68"/>
      <c r="F11" s="68"/>
      <c r="G11" s="68"/>
      <c r="H11" s="68"/>
      <c r="I11" s="68"/>
      <c r="J11" s="68"/>
      <c r="K11" s="68"/>
      <c r="L11" s="136"/>
      <c r="M11" s="68"/>
      <c r="N11" s="68"/>
      <c r="O11" s="68"/>
      <c r="P11" s="68"/>
      <c r="Q11" s="68"/>
      <c r="R11" s="68"/>
      <c r="S11" s="68"/>
      <c r="T11" s="68"/>
      <c r="U11" s="68"/>
      <c r="V11" s="68"/>
      <c r="W11" s="68"/>
      <c r="X11" s="68"/>
      <c r="Y11" s="130"/>
      <c r="Z11" s="130"/>
      <c r="AA11" s="130"/>
      <c r="AB11" s="130"/>
      <c r="AC11" s="130"/>
      <c r="AD11" s="130"/>
      <c r="AE11" s="130"/>
      <c r="AF11" s="130"/>
      <c r="AG11" s="130"/>
      <c r="AH11" s="130"/>
    </row>
    <row r="12" ht="14.25" customHeight="1">
      <c r="A12" s="68">
        <v>10.0</v>
      </c>
      <c r="B12" s="68"/>
      <c r="C12" s="68"/>
      <c r="D12" s="68"/>
      <c r="E12" s="68"/>
      <c r="F12" s="68"/>
      <c r="G12" s="68"/>
      <c r="H12" s="68"/>
      <c r="I12" s="68"/>
      <c r="J12" s="68"/>
      <c r="K12" s="68"/>
      <c r="L12" s="136"/>
      <c r="M12" s="68"/>
      <c r="N12" s="68"/>
      <c r="O12" s="68"/>
      <c r="P12" s="68"/>
      <c r="Q12" s="68"/>
      <c r="R12" s="68"/>
      <c r="S12" s="68"/>
      <c r="T12" s="68"/>
      <c r="U12" s="68"/>
      <c r="V12" s="68"/>
      <c r="W12" s="68"/>
      <c r="X12" s="68"/>
      <c r="Y12" s="131"/>
      <c r="Z12" s="131"/>
      <c r="AA12" s="131"/>
      <c r="AB12" s="131"/>
      <c r="AC12" s="131"/>
      <c r="AD12" s="131"/>
      <c r="AE12" s="131"/>
      <c r="AF12" s="131"/>
      <c r="AG12" s="131"/>
      <c r="AH12" s="131"/>
    </row>
    <row r="13" ht="14.25" customHeight="1">
      <c r="A13" s="68">
        <v>9.0</v>
      </c>
      <c r="B13" s="68"/>
      <c r="C13" s="68"/>
      <c r="D13" s="68"/>
      <c r="E13" s="68"/>
      <c r="F13" s="68"/>
      <c r="G13" s="68"/>
      <c r="H13" s="68"/>
      <c r="I13" s="68"/>
      <c r="J13" s="68"/>
      <c r="K13" s="68"/>
      <c r="L13" s="136"/>
      <c r="M13" s="68"/>
      <c r="N13" s="68"/>
      <c r="O13" s="68"/>
      <c r="P13" s="68"/>
      <c r="Q13" s="68"/>
      <c r="R13" s="68"/>
      <c r="S13" s="68"/>
      <c r="T13" s="68"/>
      <c r="U13" s="68"/>
      <c r="V13" s="68"/>
      <c r="W13" s="68"/>
      <c r="X13" s="68"/>
      <c r="Y13" s="130"/>
      <c r="Z13" s="130"/>
      <c r="AA13" s="130"/>
      <c r="AB13" s="130"/>
      <c r="AC13" s="130"/>
      <c r="AD13" s="130"/>
      <c r="AE13" s="130"/>
      <c r="AF13" s="130"/>
      <c r="AG13" s="130"/>
      <c r="AH13" s="130"/>
    </row>
    <row r="14" ht="14.25" customHeight="1">
      <c r="A14" s="68">
        <v>10.0</v>
      </c>
      <c r="B14" s="68"/>
      <c r="C14" s="68"/>
      <c r="D14" s="68"/>
      <c r="E14" s="68"/>
      <c r="F14" s="68"/>
      <c r="G14" s="68"/>
      <c r="H14" s="68"/>
      <c r="I14" s="68"/>
      <c r="J14" s="68"/>
      <c r="K14" s="68"/>
      <c r="L14" s="68"/>
      <c r="M14" s="68"/>
      <c r="N14" s="68"/>
      <c r="O14" s="68"/>
      <c r="P14" s="68"/>
      <c r="Q14" s="68"/>
      <c r="R14" s="68"/>
      <c r="S14" s="68"/>
      <c r="T14" s="68"/>
      <c r="U14" s="68"/>
      <c r="V14" s="68"/>
      <c r="W14" s="68"/>
      <c r="X14" s="68"/>
      <c r="Y14" s="131"/>
      <c r="Z14" s="131"/>
      <c r="AA14" s="131"/>
      <c r="AB14" s="131"/>
      <c r="AC14" s="131"/>
      <c r="AD14" s="131"/>
      <c r="AE14" s="131"/>
      <c r="AF14" s="131"/>
      <c r="AG14" s="131"/>
      <c r="AH14" s="131"/>
    </row>
    <row r="15" ht="14.25" customHeight="1">
      <c r="A15" s="68"/>
      <c r="B15" s="68"/>
      <c r="C15" s="68"/>
      <c r="D15" s="68"/>
      <c r="E15" s="68"/>
      <c r="F15" s="68"/>
      <c r="G15" s="68"/>
      <c r="H15" s="68"/>
      <c r="I15" s="68"/>
      <c r="J15" s="68"/>
      <c r="K15" s="68"/>
      <c r="L15" s="68"/>
      <c r="M15" s="68"/>
      <c r="N15" s="68"/>
      <c r="O15" s="68"/>
      <c r="P15" s="68"/>
      <c r="Q15" s="68"/>
      <c r="R15" s="68"/>
      <c r="S15" s="68"/>
      <c r="T15" s="68"/>
      <c r="U15" s="68"/>
      <c r="V15" s="68"/>
      <c r="W15" s="68"/>
      <c r="X15" s="68"/>
      <c r="Y15" s="131" t="s">
        <v>145</v>
      </c>
      <c r="Z15" s="131" t="s">
        <v>145</v>
      </c>
      <c r="AA15" s="131"/>
      <c r="AB15" s="131"/>
      <c r="AC15" s="131"/>
      <c r="AD15" s="131"/>
      <c r="AE15" s="131"/>
      <c r="AF15" s="131"/>
      <c r="AG15" s="131"/>
      <c r="AH15" s="131"/>
    </row>
    <row r="16" ht="14.25" customHeight="1">
      <c r="Y16" s="26"/>
      <c r="Z16" s="26"/>
      <c r="AA16" s="26"/>
      <c r="AB16" s="26"/>
      <c r="AC16" s="26"/>
      <c r="AD16" s="26"/>
      <c r="AE16" s="26"/>
      <c r="AF16" s="26"/>
      <c r="AG16" s="26"/>
      <c r="AH16" s="26"/>
    </row>
    <row r="17" ht="14.25" customHeight="1">
      <c r="Y17" s="25"/>
      <c r="Z17" s="25"/>
      <c r="AA17" s="25"/>
      <c r="AB17" s="25"/>
      <c r="AC17" s="25"/>
      <c r="AD17" s="25"/>
      <c r="AE17" s="25"/>
      <c r="AF17" s="25"/>
      <c r="AG17" s="25"/>
      <c r="AH17" s="25"/>
    </row>
    <row r="18" ht="14.25" customHeight="1">
      <c r="Y18" s="26"/>
      <c r="Z18" s="26"/>
      <c r="AA18" s="26"/>
      <c r="AB18" s="26"/>
      <c r="AC18" s="26"/>
      <c r="AD18" s="26"/>
      <c r="AE18" s="26"/>
      <c r="AF18" s="26"/>
      <c r="AG18" s="26"/>
      <c r="AH18" s="26"/>
    </row>
    <row r="19" ht="14.25" customHeight="1">
      <c r="Y19" s="25"/>
      <c r="Z19" s="25"/>
      <c r="AA19" s="25"/>
      <c r="AB19" s="25"/>
      <c r="AC19" s="25"/>
      <c r="AD19" s="25"/>
      <c r="AE19" s="25"/>
      <c r="AF19" s="25"/>
      <c r="AG19" s="25"/>
      <c r="AH19" s="25"/>
    </row>
    <row r="20" ht="14.25" customHeight="1">
      <c r="C20" s="62" t="s">
        <v>216</v>
      </c>
      <c r="D20" s="62">
        <v>2.0</v>
      </c>
      <c r="Y20" s="26"/>
      <c r="Z20" s="26"/>
      <c r="AA20" s="26"/>
      <c r="AB20" s="26"/>
      <c r="AC20" s="26"/>
      <c r="AD20" s="26"/>
      <c r="AE20" s="26"/>
      <c r="AF20" s="26"/>
      <c r="AG20" s="26"/>
      <c r="AH20" s="26"/>
    </row>
    <row r="21" ht="14.25" customHeight="1">
      <c r="C21" s="62" t="s">
        <v>217</v>
      </c>
      <c r="D21" s="62">
        <v>0.0</v>
      </c>
      <c r="Y21" s="25"/>
      <c r="Z21" s="25"/>
      <c r="AA21" s="25"/>
      <c r="AB21" s="25"/>
      <c r="AC21" s="25"/>
      <c r="AD21" s="25"/>
      <c r="AE21" s="25"/>
      <c r="AF21" s="25"/>
      <c r="AG21" s="25"/>
      <c r="AH21" s="25"/>
    </row>
    <row r="22" ht="14.25" customHeight="1">
      <c r="Y22" s="26"/>
      <c r="Z22" s="26"/>
      <c r="AA22" s="26"/>
      <c r="AB22" s="26"/>
      <c r="AC22" s="26"/>
      <c r="AD22" s="26"/>
      <c r="AE22" s="26"/>
      <c r="AF22" s="26"/>
      <c r="AG22" s="26"/>
      <c r="AH22" s="26"/>
    </row>
    <row r="23" ht="14.25" customHeight="1">
      <c r="Y23" s="25"/>
      <c r="Z23" s="25"/>
      <c r="AA23" s="25"/>
      <c r="AB23" s="25"/>
      <c r="AC23" s="25"/>
      <c r="AD23" s="25"/>
      <c r="AE23" s="25"/>
      <c r="AF23" s="25"/>
      <c r="AG23" s="25"/>
      <c r="AH23" s="25"/>
    </row>
    <row r="24" ht="14.25" customHeight="1">
      <c r="Y24" s="62"/>
      <c r="Z24" s="62"/>
      <c r="AA24" s="62"/>
      <c r="AB24" s="62"/>
      <c r="AC24" s="62"/>
      <c r="AD24" s="62"/>
      <c r="AE24" s="62"/>
      <c r="AF24" s="62"/>
      <c r="AG24" s="62"/>
      <c r="AH24" s="62"/>
    </row>
    <row r="25" ht="14.25" customHeight="1">
      <c r="Y25" s="62"/>
      <c r="Z25" s="62"/>
      <c r="AA25" s="62"/>
      <c r="AB25" s="62"/>
      <c r="AC25" s="62"/>
      <c r="AD25" s="62"/>
      <c r="AE25" s="62"/>
      <c r="AF25" s="62"/>
      <c r="AG25" s="62"/>
      <c r="AH25" s="62"/>
    </row>
    <row r="26" ht="14.25" customHeight="1">
      <c r="Y26" s="62"/>
      <c r="Z26" s="62"/>
      <c r="AA26" s="62"/>
      <c r="AB26" s="62"/>
      <c r="AC26" s="62"/>
      <c r="AD26" s="62"/>
      <c r="AE26" s="62"/>
      <c r="AF26" s="62"/>
      <c r="AG26" s="62"/>
      <c r="AH26" s="62"/>
    </row>
    <row r="27" ht="14.25" customHeight="1">
      <c r="Y27" s="62"/>
      <c r="Z27" s="62"/>
      <c r="AA27" s="62"/>
      <c r="AB27" s="62"/>
      <c r="AC27" s="62"/>
      <c r="AD27" s="62"/>
      <c r="AE27" s="62"/>
      <c r="AF27" s="62"/>
      <c r="AG27" s="62"/>
      <c r="AH27" s="62"/>
    </row>
    <row r="28" ht="14.25" customHeight="1">
      <c r="Y28" s="62"/>
      <c r="Z28" s="62"/>
      <c r="AA28" s="62"/>
      <c r="AB28" s="62"/>
      <c r="AC28" s="62"/>
      <c r="AD28" s="62"/>
      <c r="AE28" s="62" t="s">
        <v>145</v>
      </c>
      <c r="AF28" s="62" t="s">
        <v>54</v>
      </c>
      <c r="AG28" s="62"/>
      <c r="AH28" s="62"/>
    </row>
    <row r="29" ht="14.25" customHeight="1">
      <c r="Y29" s="62"/>
      <c r="Z29" s="62"/>
      <c r="AA29" s="62"/>
      <c r="AB29" s="62"/>
      <c r="AC29" s="62"/>
      <c r="AD29" s="62"/>
      <c r="AE29" s="62"/>
      <c r="AF29" s="62"/>
      <c r="AG29" s="62"/>
      <c r="AH29" s="62"/>
    </row>
    <row r="30" ht="14.25" customHeight="1">
      <c r="Y30" s="62"/>
      <c r="Z30" s="62"/>
      <c r="AA30" s="62"/>
      <c r="AB30" s="62"/>
      <c r="AC30" s="62"/>
      <c r="AD30" s="62"/>
      <c r="AE30" s="62"/>
      <c r="AF30" s="62"/>
      <c r="AG30" s="62"/>
      <c r="AH30" s="62"/>
    </row>
    <row r="31" ht="14.25" customHeight="1">
      <c r="Y31" s="62"/>
      <c r="Z31" s="62"/>
      <c r="AA31" s="62"/>
      <c r="AB31" s="62"/>
      <c r="AC31" s="62"/>
      <c r="AD31" s="62"/>
      <c r="AE31" s="62"/>
      <c r="AF31" s="62"/>
      <c r="AG31" s="62"/>
      <c r="AH31" s="62"/>
    </row>
    <row r="32" ht="14.25" customHeight="1">
      <c r="Y32" s="62"/>
      <c r="Z32" s="62"/>
      <c r="AA32" s="62"/>
      <c r="AB32" s="62"/>
      <c r="AC32" s="62"/>
      <c r="AD32" s="62"/>
      <c r="AE32" s="62"/>
      <c r="AF32" s="62"/>
      <c r="AG32" s="62"/>
      <c r="AH32" s="62"/>
    </row>
    <row r="33" ht="14.25" customHeight="1">
      <c r="Y33" s="62"/>
      <c r="Z33" s="62"/>
      <c r="AA33" s="62"/>
      <c r="AB33" s="62"/>
      <c r="AC33" s="62"/>
      <c r="AD33" s="62"/>
      <c r="AE33" s="62"/>
      <c r="AF33" s="62"/>
      <c r="AG33" s="62"/>
      <c r="AH33" s="62"/>
    </row>
    <row r="34" ht="14.25" customHeight="1">
      <c r="Y34" s="62"/>
      <c r="Z34" s="62"/>
      <c r="AA34" s="62"/>
      <c r="AB34" s="62"/>
      <c r="AC34" s="62"/>
      <c r="AD34" s="62"/>
      <c r="AE34" s="62"/>
      <c r="AF34" s="62"/>
      <c r="AG34" s="62"/>
      <c r="AH34" s="62"/>
    </row>
    <row r="35" ht="14.25" customHeight="1">
      <c r="Y35" s="62"/>
      <c r="Z35" s="62"/>
      <c r="AA35" s="62"/>
      <c r="AB35" s="62"/>
      <c r="AC35" s="62"/>
      <c r="AD35" s="62"/>
      <c r="AE35" s="62"/>
      <c r="AF35" s="62"/>
      <c r="AG35" s="62"/>
      <c r="AH35" s="62"/>
    </row>
    <row r="36" ht="14.25" customHeight="1">
      <c r="Y36" s="62"/>
      <c r="Z36" s="62"/>
      <c r="AA36" s="62"/>
      <c r="AB36" s="62"/>
      <c r="AC36" s="62"/>
      <c r="AD36" s="62"/>
      <c r="AE36" s="62"/>
      <c r="AF36" s="62"/>
      <c r="AG36" s="62"/>
      <c r="AH36" s="62"/>
    </row>
    <row r="37" ht="14.25" customHeight="1">
      <c r="Y37" s="62"/>
      <c r="Z37" s="62"/>
      <c r="AA37" s="62"/>
      <c r="AB37" s="62"/>
      <c r="AC37" s="62"/>
      <c r="AD37" s="62"/>
      <c r="AE37" s="62"/>
      <c r="AF37" s="62"/>
      <c r="AG37" s="62"/>
      <c r="AH37" s="62"/>
    </row>
    <row r="38" ht="14.25" customHeight="1">
      <c r="Y38" s="62"/>
      <c r="Z38" s="62"/>
      <c r="AA38" s="62"/>
      <c r="AB38" s="62"/>
      <c r="AC38" s="62"/>
      <c r="AD38" s="62"/>
      <c r="AE38" s="62"/>
      <c r="AF38" s="62"/>
      <c r="AG38" s="62"/>
      <c r="AH38" s="62"/>
    </row>
    <row r="39" ht="14.25" customHeight="1">
      <c r="Y39" s="62"/>
      <c r="Z39" s="62"/>
      <c r="AA39" s="62"/>
      <c r="AB39" s="62"/>
      <c r="AC39" s="62"/>
      <c r="AD39" s="62"/>
      <c r="AE39" s="62"/>
      <c r="AF39" s="62"/>
      <c r="AG39" s="62"/>
      <c r="AH39" s="62"/>
    </row>
    <row r="40" ht="14.25" customHeight="1">
      <c r="Y40" s="62"/>
      <c r="Z40" s="62"/>
      <c r="AA40" s="62"/>
      <c r="AB40" s="62"/>
      <c r="AC40" s="62"/>
      <c r="AD40" s="62"/>
      <c r="AE40" s="62"/>
      <c r="AF40" s="62"/>
      <c r="AG40" s="62"/>
      <c r="AH40" s="62"/>
    </row>
    <row r="41" ht="14.25" customHeight="1">
      <c r="Y41" s="62"/>
      <c r="Z41" s="62"/>
      <c r="AA41" s="62"/>
      <c r="AB41" s="62"/>
      <c r="AC41" s="62"/>
      <c r="AD41" s="62"/>
      <c r="AE41" s="62"/>
      <c r="AF41" s="62"/>
      <c r="AG41" s="62"/>
      <c r="AH41" s="62"/>
    </row>
    <row r="42" ht="14.25" customHeight="1">
      <c r="Y42" s="62"/>
      <c r="Z42" s="62"/>
      <c r="AA42" s="62"/>
      <c r="AB42" s="62"/>
      <c r="AC42" s="62"/>
      <c r="AD42" s="62"/>
      <c r="AE42" s="62"/>
      <c r="AF42" s="62"/>
      <c r="AG42" s="62"/>
      <c r="AH42" s="62"/>
    </row>
    <row r="43" ht="14.25" customHeight="1">
      <c r="Y43" s="62"/>
      <c r="Z43" s="62"/>
      <c r="AA43" s="62"/>
      <c r="AB43" s="62"/>
      <c r="AC43" s="62"/>
      <c r="AD43" s="62"/>
      <c r="AE43" s="62"/>
      <c r="AF43" s="62"/>
      <c r="AG43" s="62"/>
      <c r="AH43" s="62"/>
    </row>
    <row r="44" ht="14.25" customHeight="1">
      <c r="Y44" s="62"/>
      <c r="Z44" s="62"/>
      <c r="AA44" s="62"/>
      <c r="AB44" s="62"/>
      <c r="AC44" s="62"/>
      <c r="AD44" s="62"/>
      <c r="AE44" s="62"/>
      <c r="AF44" s="62"/>
      <c r="AG44" s="62"/>
      <c r="AH44" s="62"/>
    </row>
    <row r="45" ht="14.25" customHeight="1">
      <c r="Y45" s="62"/>
      <c r="Z45" s="62"/>
      <c r="AA45" s="62"/>
      <c r="AB45" s="62"/>
      <c r="AC45" s="62"/>
      <c r="AD45" s="62"/>
      <c r="AE45" s="62"/>
      <c r="AF45" s="62"/>
      <c r="AG45" s="62"/>
      <c r="AH45" s="62"/>
    </row>
    <row r="46" ht="14.25" customHeight="1">
      <c r="Y46" s="62"/>
      <c r="Z46" s="62"/>
      <c r="AA46" s="62"/>
      <c r="AB46" s="62"/>
      <c r="AC46" s="62"/>
      <c r="AD46" s="62"/>
      <c r="AE46" s="62"/>
      <c r="AF46" s="62"/>
      <c r="AG46" s="62"/>
      <c r="AH46" s="62"/>
    </row>
    <row r="47" ht="14.25" customHeight="1">
      <c r="Y47" s="62"/>
      <c r="Z47" s="62"/>
      <c r="AA47" s="62"/>
      <c r="AB47" s="62"/>
      <c r="AC47" s="62"/>
      <c r="AD47" s="62"/>
      <c r="AE47" s="62"/>
      <c r="AF47" s="62"/>
      <c r="AG47" s="62"/>
      <c r="AH47" s="62"/>
    </row>
    <row r="48" ht="14.25" customHeight="1">
      <c r="Y48" s="62"/>
      <c r="Z48" s="62"/>
      <c r="AA48" s="62"/>
      <c r="AB48" s="62"/>
      <c r="AC48" s="62"/>
      <c r="AD48" s="62"/>
      <c r="AE48" s="62"/>
      <c r="AF48" s="62"/>
      <c r="AG48" s="62"/>
      <c r="AH48" s="62"/>
    </row>
    <row r="49" ht="14.25" customHeight="1">
      <c r="Y49" s="62"/>
      <c r="Z49" s="62"/>
      <c r="AA49" s="62"/>
      <c r="AB49" s="62"/>
      <c r="AC49" s="62"/>
      <c r="AD49" s="62"/>
      <c r="AE49" s="62"/>
      <c r="AF49" s="62"/>
      <c r="AG49" s="62"/>
      <c r="AH49" s="62"/>
    </row>
    <row r="50" ht="14.25" customHeight="1">
      <c r="Y50" s="62"/>
      <c r="Z50" s="62"/>
      <c r="AA50" s="62"/>
      <c r="AB50" s="62"/>
      <c r="AC50" s="62"/>
      <c r="AD50" s="62"/>
      <c r="AE50" s="62"/>
      <c r="AF50" s="62"/>
      <c r="AG50" s="62"/>
      <c r="AH50" s="62"/>
    </row>
    <row r="51" ht="14.25" customHeight="1">
      <c r="Y51" s="62"/>
      <c r="Z51" s="62"/>
      <c r="AA51" s="62"/>
      <c r="AB51" s="62"/>
      <c r="AC51" s="62"/>
      <c r="AD51" s="62"/>
      <c r="AE51" s="62"/>
      <c r="AF51" s="62"/>
      <c r="AG51" s="62"/>
      <c r="AH51" s="62"/>
    </row>
    <row r="52" ht="14.25" customHeight="1">
      <c r="Y52" s="62"/>
      <c r="Z52" s="62"/>
      <c r="AA52" s="62"/>
      <c r="AB52" s="62"/>
      <c r="AC52" s="62"/>
      <c r="AD52" s="62"/>
      <c r="AE52" s="62"/>
      <c r="AF52" s="62"/>
      <c r="AG52" s="62"/>
      <c r="AH52" s="62"/>
    </row>
    <row r="53" ht="14.25" customHeight="1">
      <c r="Y53" s="62"/>
      <c r="Z53" s="62"/>
      <c r="AA53" s="62"/>
      <c r="AB53" s="62"/>
      <c r="AC53" s="62"/>
      <c r="AD53" s="62"/>
      <c r="AE53" s="62"/>
      <c r="AF53" s="62"/>
      <c r="AG53" s="62"/>
      <c r="AH53" s="62"/>
    </row>
    <row r="54" ht="14.25" customHeight="1">
      <c r="Y54" s="62"/>
      <c r="Z54" s="62"/>
      <c r="AA54" s="62"/>
      <c r="AB54" s="62"/>
      <c r="AC54" s="62"/>
      <c r="AD54" s="62"/>
      <c r="AE54" s="62"/>
      <c r="AF54" s="62"/>
      <c r="AG54" s="62"/>
      <c r="AH54" s="62"/>
    </row>
    <row r="55" ht="14.25" customHeight="1">
      <c r="Y55" s="62"/>
      <c r="Z55" s="62"/>
      <c r="AA55" s="62"/>
      <c r="AB55" s="62"/>
      <c r="AC55" s="62"/>
      <c r="AD55" s="62"/>
      <c r="AE55" s="62"/>
      <c r="AF55" s="62"/>
      <c r="AG55" s="62"/>
      <c r="AH55" s="62"/>
    </row>
    <row r="56" ht="14.25" customHeight="1">
      <c r="Y56" s="62"/>
      <c r="Z56" s="62"/>
      <c r="AA56" s="62"/>
      <c r="AB56" s="62"/>
      <c r="AC56" s="62"/>
      <c r="AD56" s="62"/>
      <c r="AE56" s="62"/>
      <c r="AF56" s="62"/>
      <c r="AG56" s="62"/>
      <c r="AH56" s="62"/>
    </row>
    <row r="57" ht="14.25" customHeight="1">
      <c r="Y57" s="62"/>
      <c r="Z57" s="62"/>
      <c r="AA57" s="62"/>
      <c r="AB57" s="62"/>
      <c r="AC57" s="62"/>
      <c r="AD57" s="62"/>
      <c r="AE57" s="62"/>
      <c r="AF57" s="62"/>
      <c r="AG57" s="62"/>
      <c r="AH57" s="62"/>
    </row>
    <row r="58" ht="14.25" customHeight="1">
      <c r="Y58" s="62"/>
      <c r="Z58" s="62"/>
      <c r="AA58" s="62"/>
      <c r="AB58" s="62"/>
      <c r="AC58" s="62"/>
      <c r="AD58" s="62"/>
      <c r="AE58" s="62"/>
      <c r="AF58" s="62"/>
      <c r="AG58" s="62"/>
      <c r="AH58" s="62"/>
    </row>
    <row r="59" ht="14.25" customHeight="1">
      <c r="Y59" s="62"/>
      <c r="Z59" s="62"/>
      <c r="AA59" s="62"/>
      <c r="AB59" s="62"/>
      <c r="AC59" s="62"/>
      <c r="AD59" s="62"/>
      <c r="AE59" s="62"/>
      <c r="AF59" s="62"/>
      <c r="AG59" s="62"/>
      <c r="AH59" s="62"/>
    </row>
    <row r="60" ht="14.25" customHeight="1">
      <c r="Y60" s="62"/>
      <c r="Z60" s="62"/>
      <c r="AA60" s="62"/>
      <c r="AB60" s="62"/>
      <c r="AC60" s="62"/>
      <c r="AD60" s="62"/>
      <c r="AE60" s="62"/>
      <c r="AF60" s="62"/>
      <c r="AG60" s="62"/>
      <c r="AH60" s="62"/>
    </row>
    <row r="61" ht="14.25" customHeight="1">
      <c r="Y61" s="62"/>
      <c r="Z61" s="62"/>
      <c r="AA61" s="62"/>
      <c r="AB61" s="62"/>
      <c r="AC61" s="62"/>
      <c r="AD61" s="62"/>
      <c r="AE61" s="62"/>
      <c r="AF61" s="62"/>
      <c r="AG61" s="62"/>
      <c r="AH61" s="62"/>
    </row>
    <row r="62" ht="14.25" customHeight="1">
      <c r="Y62" s="62"/>
      <c r="Z62" s="62"/>
      <c r="AA62" s="62"/>
      <c r="AB62" s="62"/>
      <c r="AC62" s="62"/>
      <c r="AD62" s="62"/>
      <c r="AE62" s="62"/>
      <c r="AF62" s="62"/>
      <c r="AG62" s="62"/>
      <c r="AH62" s="62"/>
    </row>
    <row r="63" ht="14.25" customHeight="1">
      <c r="Y63" s="62"/>
      <c r="Z63" s="62"/>
      <c r="AA63" s="62"/>
      <c r="AB63" s="62"/>
      <c r="AC63" s="62"/>
      <c r="AD63" s="62"/>
      <c r="AE63" s="62"/>
      <c r="AF63" s="62"/>
      <c r="AG63" s="62"/>
      <c r="AH63" s="62"/>
    </row>
    <row r="64" ht="14.25" customHeight="1">
      <c r="Y64" s="62"/>
      <c r="Z64" s="62"/>
      <c r="AA64" s="62"/>
      <c r="AB64" s="62"/>
      <c r="AC64" s="62"/>
      <c r="AD64" s="62"/>
      <c r="AE64" s="62"/>
      <c r="AF64" s="62"/>
      <c r="AG64" s="62"/>
      <c r="AH64" s="62"/>
    </row>
    <row r="65" ht="14.25" customHeight="1">
      <c r="Y65" s="62"/>
      <c r="Z65" s="62"/>
      <c r="AA65" s="62"/>
      <c r="AB65" s="62"/>
      <c r="AC65" s="62"/>
      <c r="AD65" s="62"/>
      <c r="AE65" s="62"/>
      <c r="AF65" s="62"/>
      <c r="AG65" s="62"/>
      <c r="AH65" s="62"/>
    </row>
    <row r="66" ht="14.25" customHeight="1">
      <c r="Y66" s="62"/>
      <c r="Z66" s="62"/>
      <c r="AA66" s="62"/>
      <c r="AB66" s="62"/>
      <c r="AC66" s="62"/>
      <c r="AD66" s="62"/>
      <c r="AE66" s="62"/>
      <c r="AF66" s="62"/>
      <c r="AG66" s="62"/>
      <c r="AH66" s="62"/>
    </row>
    <row r="67" ht="14.25" customHeight="1">
      <c r="Y67" s="62"/>
      <c r="Z67" s="62"/>
      <c r="AA67" s="62"/>
      <c r="AB67" s="62"/>
      <c r="AC67" s="62"/>
      <c r="AD67" s="62"/>
      <c r="AE67" s="62"/>
      <c r="AF67" s="62"/>
      <c r="AG67" s="62"/>
      <c r="AH67" s="62"/>
    </row>
    <row r="68" ht="14.25" customHeight="1">
      <c r="Y68" s="62"/>
      <c r="Z68" s="62"/>
      <c r="AA68" s="62"/>
      <c r="AB68" s="62"/>
      <c r="AC68" s="62"/>
      <c r="AD68" s="62"/>
      <c r="AE68" s="62"/>
      <c r="AF68" s="62"/>
      <c r="AG68" s="62"/>
      <c r="AH68" s="62"/>
    </row>
    <row r="69" ht="14.25" customHeight="1">
      <c r="Y69" s="62"/>
      <c r="Z69" s="62"/>
      <c r="AA69" s="62"/>
      <c r="AB69" s="62"/>
      <c r="AC69" s="62"/>
      <c r="AD69" s="62"/>
      <c r="AE69" s="62"/>
      <c r="AF69" s="62"/>
      <c r="AG69" s="62"/>
      <c r="AH69" s="62"/>
    </row>
    <row r="70" ht="14.25" customHeight="1">
      <c r="Y70" s="62"/>
      <c r="Z70" s="62"/>
      <c r="AA70" s="62"/>
      <c r="AB70" s="62"/>
      <c r="AC70" s="62"/>
      <c r="AD70" s="62"/>
      <c r="AE70" s="62"/>
      <c r="AF70" s="62"/>
      <c r="AG70" s="62"/>
      <c r="AH70" s="62"/>
    </row>
    <row r="71" ht="14.25" customHeight="1">
      <c r="Y71" s="62"/>
      <c r="Z71" s="62"/>
      <c r="AA71" s="62"/>
      <c r="AB71" s="62"/>
      <c r="AC71" s="62"/>
      <c r="AD71" s="62"/>
      <c r="AE71" s="62"/>
      <c r="AF71" s="62"/>
      <c r="AG71" s="62"/>
      <c r="AH71" s="62"/>
    </row>
    <row r="72" ht="14.25" customHeight="1">
      <c r="Y72" s="62"/>
      <c r="Z72" s="62"/>
      <c r="AA72" s="62"/>
      <c r="AB72" s="62"/>
      <c r="AC72" s="62"/>
      <c r="AD72" s="62"/>
      <c r="AE72" s="62"/>
      <c r="AF72" s="62"/>
      <c r="AG72" s="62"/>
      <c r="AH72" s="62"/>
    </row>
    <row r="73" ht="14.25" customHeight="1">
      <c r="Y73" s="62"/>
      <c r="Z73" s="62"/>
      <c r="AA73" s="62"/>
      <c r="AB73" s="62"/>
      <c r="AC73" s="62"/>
      <c r="AD73" s="62"/>
      <c r="AE73" s="62"/>
      <c r="AF73" s="62"/>
      <c r="AG73" s="62"/>
      <c r="AH73" s="62"/>
    </row>
    <row r="74" ht="14.25" customHeight="1">
      <c r="Y74" s="62"/>
      <c r="Z74" s="62"/>
      <c r="AA74" s="62"/>
      <c r="AB74" s="62"/>
      <c r="AC74" s="62"/>
      <c r="AD74" s="62"/>
      <c r="AE74" s="62"/>
      <c r="AF74" s="62"/>
      <c r="AG74" s="62"/>
      <c r="AH74" s="62"/>
    </row>
    <row r="75" ht="14.25" customHeight="1">
      <c r="Y75" s="62"/>
      <c r="Z75" s="62"/>
      <c r="AA75" s="62"/>
      <c r="AB75" s="62"/>
      <c r="AC75" s="62"/>
      <c r="AD75" s="62"/>
      <c r="AE75" s="62"/>
      <c r="AF75" s="62"/>
      <c r="AG75" s="62"/>
      <c r="AH75" s="62"/>
    </row>
    <row r="76" ht="14.25" customHeight="1">
      <c r="Y76" s="62"/>
      <c r="Z76" s="62"/>
      <c r="AA76" s="62"/>
      <c r="AB76" s="62"/>
      <c r="AC76" s="62"/>
      <c r="AD76" s="62"/>
      <c r="AE76" s="62"/>
      <c r="AF76" s="62"/>
      <c r="AG76" s="62"/>
      <c r="AH76" s="62"/>
    </row>
    <row r="77" ht="14.25" customHeight="1">
      <c r="Y77" s="62"/>
      <c r="Z77" s="62"/>
      <c r="AA77" s="62"/>
      <c r="AB77" s="62"/>
      <c r="AC77" s="62"/>
      <c r="AD77" s="62"/>
      <c r="AE77" s="62"/>
      <c r="AF77" s="62"/>
      <c r="AG77" s="62"/>
      <c r="AH77" s="62"/>
    </row>
    <row r="78" ht="14.25" customHeight="1">
      <c r="Y78" s="62"/>
      <c r="Z78" s="62"/>
      <c r="AA78" s="62"/>
      <c r="AB78" s="62"/>
      <c r="AC78" s="62"/>
      <c r="AD78" s="62"/>
      <c r="AE78" s="62"/>
      <c r="AF78" s="62"/>
      <c r="AG78" s="62"/>
      <c r="AH78" s="62"/>
    </row>
    <row r="79" ht="14.25" customHeight="1">
      <c r="Y79" s="62"/>
      <c r="Z79" s="62"/>
      <c r="AA79" s="62"/>
      <c r="AB79" s="62"/>
      <c r="AC79" s="62"/>
      <c r="AD79" s="62"/>
      <c r="AE79" s="62"/>
      <c r="AF79" s="62"/>
      <c r="AG79" s="62"/>
      <c r="AH79" s="62"/>
    </row>
    <row r="80" ht="14.25" customHeight="1">
      <c r="Y80" s="62"/>
      <c r="Z80" s="62"/>
      <c r="AA80" s="62"/>
      <c r="AB80" s="62"/>
      <c r="AC80" s="62"/>
      <c r="AD80" s="62"/>
      <c r="AE80" s="62"/>
      <c r="AF80" s="62"/>
      <c r="AG80" s="62"/>
      <c r="AH80" s="62"/>
    </row>
    <row r="81" ht="14.25" customHeight="1">
      <c r="Y81" s="62"/>
      <c r="Z81" s="62"/>
      <c r="AA81" s="62"/>
      <c r="AB81" s="62"/>
      <c r="AC81" s="62"/>
      <c r="AD81" s="62"/>
      <c r="AE81" s="62"/>
      <c r="AF81" s="62"/>
      <c r="AG81" s="62"/>
      <c r="AH81" s="62"/>
    </row>
    <row r="82" ht="14.25" customHeight="1">
      <c r="Y82" s="62"/>
      <c r="Z82" s="62"/>
      <c r="AA82" s="62"/>
      <c r="AB82" s="62"/>
      <c r="AC82" s="62"/>
      <c r="AD82" s="62"/>
      <c r="AE82" s="62"/>
      <c r="AF82" s="62"/>
      <c r="AG82" s="62"/>
      <c r="AH82" s="62"/>
    </row>
    <row r="83" ht="14.25" customHeight="1">
      <c r="Y83" s="62"/>
      <c r="Z83" s="62"/>
      <c r="AA83" s="62"/>
      <c r="AB83" s="62"/>
      <c r="AC83" s="62"/>
      <c r="AD83" s="62"/>
      <c r="AE83" s="62"/>
      <c r="AF83" s="62"/>
      <c r="AG83" s="62"/>
      <c r="AH83" s="62"/>
    </row>
    <row r="84" ht="14.25" customHeight="1">
      <c r="Y84" s="62"/>
      <c r="Z84" s="62"/>
      <c r="AA84" s="62"/>
      <c r="AB84" s="62"/>
      <c r="AC84" s="62"/>
      <c r="AD84" s="62"/>
      <c r="AE84" s="62"/>
      <c r="AF84" s="62"/>
      <c r="AG84" s="62"/>
      <c r="AH84" s="62"/>
    </row>
    <row r="85" ht="14.25" customHeight="1">
      <c r="Y85" s="62"/>
      <c r="Z85" s="62"/>
      <c r="AA85" s="62"/>
      <c r="AB85" s="62"/>
      <c r="AC85" s="62"/>
      <c r="AD85" s="62"/>
      <c r="AE85" s="62"/>
      <c r="AF85" s="62"/>
      <c r="AG85" s="62"/>
      <c r="AH85" s="62"/>
    </row>
    <row r="86" ht="14.25" customHeight="1">
      <c r="Y86" s="62"/>
      <c r="Z86" s="62"/>
      <c r="AA86" s="62"/>
      <c r="AB86" s="62"/>
      <c r="AC86" s="62"/>
      <c r="AD86" s="62"/>
      <c r="AE86" s="62"/>
      <c r="AF86" s="62"/>
      <c r="AG86" s="62"/>
      <c r="AH86" s="62"/>
    </row>
    <row r="87" ht="14.25" customHeight="1">
      <c r="Y87" s="62"/>
      <c r="Z87" s="62"/>
      <c r="AA87" s="62"/>
      <c r="AB87" s="62"/>
      <c r="AC87" s="62"/>
      <c r="AD87" s="62"/>
      <c r="AE87" s="62"/>
      <c r="AF87" s="62"/>
      <c r="AG87" s="62"/>
      <c r="AH87" s="62"/>
    </row>
    <row r="88" ht="14.25" customHeight="1">
      <c r="Y88" s="62"/>
      <c r="Z88" s="62"/>
      <c r="AA88" s="62"/>
      <c r="AB88" s="62"/>
      <c r="AC88" s="62"/>
      <c r="AD88" s="62"/>
      <c r="AE88" s="62"/>
      <c r="AF88" s="62"/>
      <c r="AG88" s="62"/>
      <c r="AH88" s="62"/>
    </row>
    <row r="89" ht="14.25" customHeight="1">
      <c r="Y89" s="62"/>
      <c r="Z89" s="62"/>
      <c r="AA89" s="62"/>
      <c r="AB89" s="62"/>
      <c r="AC89" s="62"/>
      <c r="AD89" s="62"/>
      <c r="AE89" s="62"/>
      <c r="AF89" s="62"/>
      <c r="AG89" s="62"/>
      <c r="AH89" s="62"/>
    </row>
    <row r="90" ht="14.25" customHeight="1">
      <c r="Y90" s="62"/>
      <c r="Z90" s="62"/>
      <c r="AA90" s="62"/>
      <c r="AB90" s="62"/>
      <c r="AC90" s="62"/>
      <c r="AD90" s="62"/>
      <c r="AE90" s="62"/>
      <c r="AF90" s="62"/>
      <c r="AG90" s="62"/>
      <c r="AH90" s="62"/>
    </row>
    <row r="91" ht="14.25" customHeight="1">
      <c r="Y91" s="62"/>
      <c r="Z91" s="62"/>
      <c r="AA91" s="62"/>
      <c r="AB91" s="62"/>
      <c r="AC91" s="62"/>
      <c r="AD91" s="62"/>
      <c r="AE91" s="62"/>
      <c r="AF91" s="62"/>
      <c r="AG91" s="62"/>
      <c r="AH91" s="62"/>
    </row>
    <row r="92" ht="14.25" customHeight="1">
      <c r="Y92" s="62"/>
      <c r="Z92" s="62"/>
      <c r="AA92" s="62"/>
      <c r="AB92" s="62"/>
      <c r="AC92" s="62"/>
      <c r="AD92" s="62"/>
      <c r="AE92" s="62"/>
      <c r="AF92" s="62"/>
      <c r="AG92" s="62"/>
      <c r="AH92" s="62"/>
    </row>
    <row r="93" ht="14.25" customHeight="1">
      <c r="Y93" s="62"/>
      <c r="Z93" s="62"/>
      <c r="AA93" s="62"/>
      <c r="AB93" s="62"/>
      <c r="AC93" s="62"/>
      <c r="AD93" s="62"/>
      <c r="AE93" s="62"/>
      <c r="AF93" s="62"/>
      <c r="AG93" s="62"/>
      <c r="AH93" s="62"/>
    </row>
    <row r="94" ht="14.25" customHeight="1">
      <c r="Y94" s="62"/>
      <c r="Z94" s="62"/>
      <c r="AA94" s="62"/>
      <c r="AB94" s="62"/>
      <c r="AC94" s="62"/>
      <c r="AD94" s="62"/>
      <c r="AE94" s="62"/>
      <c r="AF94" s="62"/>
      <c r="AG94" s="62"/>
      <c r="AH94" s="62"/>
    </row>
    <row r="95" ht="14.25" customHeight="1">
      <c r="Y95" s="62"/>
      <c r="Z95" s="62"/>
      <c r="AA95" s="62"/>
      <c r="AB95" s="62"/>
      <c r="AC95" s="62"/>
      <c r="AD95" s="62"/>
      <c r="AE95" s="62"/>
      <c r="AF95" s="62"/>
      <c r="AG95" s="62"/>
      <c r="AH95" s="62"/>
    </row>
    <row r="96" ht="14.25" customHeight="1">
      <c r="Y96" s="62"/>
      <c r="Z96" s="62"/>
      <c r="AA96" s="62"/>
      <c r="AB96" s="62"/>
      <c r="AC96" s="62"/>
      <c r="AD96" s="62"/>
      <c r="AE96" s="62"/>
      <c r="AF96" s="62"/>
      <c r="AG96" s="62"/>
      <c r="AH96" s="62"/>
    </row>
    <row r="97" ht="14.25" customHeight="1">
      <c r="Y97" s="62"/>
      <c r="Z97" s="62"/>
      <c r="AA97" s="62"/>
      <c r="AB97" s="62"/>
      <c r="AC97" s="62"/>
      <c r="AD97" s="62"/>
      <c r="AE97" s="62"/>
      <c r="AF97" s="62"/>
      <c r="AG97" s="62"/>
      <c r="AH97" s="62"/>
    </row>
    <row r="98" ht="14.25" customHeight="1">
      <c r="Y98" s="62"/>
      <c r="Z98" s="62"/>
      <c r="AA98" s="62"/>
      <c r="AB98" s="62"/>
      <c r="AC98" s="62"/>
      <c r="AD98" s="62"/>
      <c r="AE98" s="62"/>
      <c r="AF98" s="62"/>
      <c r="AG98" s="62"/>
      <c r="AH98" s="62"/>
    </row>
    <row r="99" ht="14.25" customHeight="1">
      <c r="Y99" s="62"/>
      <c r="Z99" s="62"/>
      <c r="AA99" s="62"/>
      <c r="AB99" s="62"/>
      <c r="AC99" s="62"/>
      <c r="AD99" s="62"/>
      <c r="AE99" s="62"/>
      <c r="AF99" s="62"/>
      <c r="AG99" s="62"/>
      <c r="AH99" s="62"/>
    </row>
    <row r="100" ht="14.25" customHeight="1">
      <c r="Y100" s="62"/>
      <c r="Z100" s="62"/>
      <c r="AA100" s="62"/>
      <c r="AB100" s="62"/>
      <c r="AC100" s="62"/>
      <c r="AD100" s="62"/>
      <c r="AE100" s="62"/>
      <c r="AF100" s="62"/>
      <c r="AG100" s="62"/>
      <c r="AH100" s="62"/>
    </row>
    <row r="101" ht="14.25" customHeight="1">
      <c r="Y101" s="62"/>
      <c r="Z101" s="62"/>
      <c r="AA101" s="62"/>
      <c r="AB101" s="62"/>
      <c r="AC101" s="62"/>
      <c r="AD101" s="62"/>
      <c r="AE101" s="62"/>
      <c r="AF101" s="62"/>
      <c r="AG101" s="62"/>
      <c r="AH101" s="62"/>
    </row>
    <row r="102" ht="14.25" customHeight="1">
      <c r="Y102" s="62"/>
      <c r="Z102" s="62"/>
      <c r="AA102" s="62"/>
      <c r="AB102" s="62"/>
      <c r="AC102" s="62"/>
      <c r="AD102" s="62"/>
      <c r="AE102" s="62"/>
      <c r="AF102" s="62"/>
      <c r="AG102" s="62"/>
      <c r="AH102" s="62"/>
    </row>
    <row r="103" ht="14.25" customHeight="1">
      <c r="Y103" s="62"/>
      <c r="Z103" s="62"/>
      <c r="AA103" s="62"/>
      <c r="AB103" s="62"/>
      <c r="AC103" s="62"/>
      <c r="AD103" s="62"/>
      <c r="AE103" s="62"/>
      <c r="AF103" s="62"/>
      <c r="AG103" s="62"/>
      <c r="AH103" s="62"/>
    </row>
    <row r="104" ht="14.25" customHeight="1">
      <c r="Y104" s="62"/>
      <c r="Z104" s="62"/>
      <c r="AA104" s="62"/>
      <c r="AB104" s="62"/>
      <c r="AC104" s="62"/>
      <c r="AD104" s="62"/>
      <c r="AE104" s="62"/>
      <c r="AF104" s="62"/>
      <c r="AG104" s="62"/>
      <c r="AH104" s="62"/>
    </row>
    <row r="105" ht="14.25" customHeight="1">
      <c r="Y105" s="62"/>
      <c r="Z105" s="62"/>
      <c r="AA105" s="62"/>
      <c r="AB105" s="62"/>
      <c r="AC105" s="62"/>
      <c r="AD105" s="62"/>
      <c r="AE105" s="62"/>
      <c r="AF105" s="62"/>
      <c r="AG105" s="62"/>
      <c r="AH105" s="62"/>
    </row>
    <row r="106" ht="14.25" customHeight="1">
      <c r="Y106" s="62"/>
      <c r="Z106" s="62"/>
      <c r="AA106" s="62"/>
      <c r="AB106" s="62"/>
      <c r="AC106" s="62"/>
      <c r="AD106" s="62"/>
      <c r="AE106" s="62"/>
      <c r="AF106" s="62"/>
      <c r="AG106" s="62"/>
      <c r="AH106" s="62"/>
    </row>
    <row r="107" ht="14.25" customHeight="1">
      <c r="Y107" s="62"/>
      <c r="Z107" s="62"/>
      <c r="AA107" s="62"/>
      <c r="AB107" s="62"/>
      <c r="AC107" s="62"/>
      <c r="AD107" s="62"/>
      <c r="AE107" s="62"/>
      <c r="AF107" s="62"/>
      <c r="AG107" s="62"/>
      <c r="AH107" s="62"/>
    </row>
    <row r="108" ht="14.25" customHeight="1">
      <c r="Y108" s="62"/>
      <c r="Z108" s="62"/>
      <c r="AA108" s="62"/>
      <c r="AB108" s="62"/>
      <c r="AC108" s="62"/>
      <c r="AD108" s="62"/>
      <c r="AE108" s="62"/>
      <c r="AF108" s="62"/>
      <c r="AG108" s="62"/>
      <c r="AH108" s="62"/>
    </row>
    <row r="109" ht="14.25" customHeight="1">
      <c r="Y109" s="62"/>
      <c r="Z109" s="62"/>
      <c r="AA109" s="62"/>
      <c r="AB109" s="62"/>
      <c r="AC109" s="62"/>
      <c r="AD109" s="62"/>
      <c r="AE109" s="62"/>
      <c r="AF109" s="62"/>
      <c r="AG109" s="62"/>
      <c r="AH109" s="62"/>
    </row>
    <row r="110" ht="14.25" customHeight="1">
      <c r="Y110" s="62"/>
      <c r="Z110" s="62"/>
      <c r="AA110" s="62"/>
      <c r="AB110" s="62"/>
      <c r="AC110" s="62"/>
      <c r="AD110" s="62"/>
      <c r="AE110" s="62"/>
      <c r="AF110" s="62"/>
      <c r="AG110" s="62"/>
      <c r="AH110" s="62"/>
    </row>
    <row r="111" ht="14.25" customHeight="1">
      <c r="Y111" s="62"/>
      <c r="Z111" s="62"/>
      <c r="AA111" s="62"/>
      <c r="AB111" s="62"/>
      <c r="AC111" s="62"/>
      <c r="AD111" s="62"/>
      <c r="AE111" s="62"/>
      <c r="AF111" s="62"/>
      <c r="AG111" s="62"/>
      <c r="AH111" s="62"/>
    </row>
    <row r="112" ht="14.25" customHeight="1">
      <c r="Y112" s="62"/>
      <c r="Z112" s="62"/>
      <c r="AA112" s="62"/>
      <c r="AB112" s="62"/>
      <c r="AC112" s="62"/>
      <c r="AD112" s="62"/>
      <c r="AE112" s="62"/>
      <c r="AF112" s="62"/>
      <c r="AG112" s="62"/>
      <c r="AH112" s="62"/>
    </row>
    <row r="113" ht="14.25" customHeight="1">
      <c r="Y113" s="62"/>
      <c r="Z113" s="62"/>
      <c r="AA113" s="62"/>
      <c r="AB113" s="62"/>
      <c r="AC113" s="62"/>
      <c r="AD113" s="62"/>
      <c r="AE113" s="62"/>
      <c r="AF113" s="62"/>
      <c r="AG113" s="62"/>
      <c r="AH113" s="62"/>
    </row>
    <row r="114" ht="14.25" customHeight="1">
      <c r="Y114" s="62"/>
      <c r="Z114" s="62"/>
      <c r="AA114" s="62"/>
      <c r="AB114" s="62"/>
      <c r="AC114" s="62"/>
      <c r="AD114" s="62"/>
      <c r="AE114" s="62"/>
      <c r="AF114" s="62"/>
      <c r="AG114" s="62"/>
      <c r="AH114" s="62"/>
    </row>
    <row r="115" ht="14.25" customHeight="1">
      <c r="Y115" s="62"/>
      <c r="Z115" s="62"/>
      <c r="AA115" s="62"/>
      <c r="AB115" s="62"/>
      <c r="AC115" s="62"/>
      <c r="AD115" s="62"/>
      <c r="AE115" s="62"/>
      <c r="AF115" s="62"/>
      <c r="AG115" s="62"/>
      <c r="AH115" s="62"/>
    </row>
    <row r="116" ht="14.25" customHeight="1">
      <c r="Y116" s="62"/>
      <c r="Z116" s="62"/>
      <c r="AA116" s="62"/>
      <c r="AB116" s="62"/>
      <c r="AC116" s="62"/>
      <c r="AD116" s="62"/>
      <c r="AE116" s="62"/>
      <c r="AF116" s="62"/>
      <c r="AG116" s="62"/>
      <c r="AH116" s="62"/>
    </row>
    <row r="117" ht="14.25" customHeight="1">
      <c r="Y117" s="62"/>
      <c r="Z117" s="62"/>
      <c r="AA117" s="62"/>
      <c r="AB117" s="62"/>
      <c r="AC117" s="62"/>
      <c r="AD117" s="62"/>
      <c r="AE117" s="62"/>
      <c r="AF117" s="62"/>
      <c r="AG117" s="62"/>
      <c r="AH117" s="62"/>
    </row>
    <row r="118" ht="14.25" customHeight="1">
      <c r="Y118" s="62"/>
      <c r="Z118" s="62"/>
      <c r="AA118" s="62"/>
      <c r="AB118" s="62"/>
      <c r="AC118" s="62"/>
      <c r="AD118" s="62"/>
      <c r="AE118" s="62"/>
      <c r="AF118" s="62"/>
      <c r="AG118" s="62"/>
      <c r="AH118" s="62"/>
    </row>
    <row r="119" ht="14.25" customHeight="1">
      <c r="Y119" s="62"/>
      <c r="Z119" s="62"/>
      <c r="AA119" s="62"/>
      <c r="AB119" s="62"/>
      <c r="AC119" s="62"/>
      <c r="AD119" s="62"/>
      <c r="AE119" s="62"/>
      <c r="AF119" s="62"/>
      <c r="AG119" s="62"/>
      <c r="AH119" s="62"/>
    </row>
    <row r="120" ht="14.25" customHeight="1">
      <c r="Y120" s="62"/>
      <c r="Z120" s="62"/>
      <c r="AA120" s="62"/>
      <c r="AB120" s="62"/>
      <c r="AC120" s="62"/>
      <c r="AD120" s="62"/>
      <c r="AE120" s="62"/>
      <c r="AF120" s="62"/>
      <c r="AG120" s="62"/>
      <c r="AH120" s="62"/>
    </row>
    <row r="121" ht="14.25" customHeight="1">
      <c r="Y121" s="62"/>
      <c r="Z121" s="62"/>
      <c r="AA121" s="62"/>
      <c r="AB121" s="62"/>
      <c r="AC121" s="62"/>
      <c r="AD121" s="62"/>
      <c r="AE121" s="62"/>
      <c r="AF121" s="62"/>
      <c r="AG121" s="62"/>
      <c r="AH121" s="62"/>
    </row>
    <row r="122" ht="14.25" customHeight="1">
      <c r="Y122" s="62"/>
      <c r="Z122" s="62"/>
      <c r="AA122" s="62"/>
      <c r="AB122" s="62"/>
      <c r="AC122" s="62"/>
      <c r="AD122" s="62"/>
      <c r="AE122" s="62"/>
      <c r="AF122" s="62"/>
      <c r="AG122" s="62"/>
      <c r="AH122" s="62"/>
    </row>
    <row r="123" ht="14.25" customHeight="1">
      <c r="Y123" s="62"/>
      <c r="Z123" s="62"/>
      <c r="AA123" s="62"/>
      <c r="AB123" s="62"/>
      <c r="AC123" s="62"/>
      <c r="AD123" s="62"/>
      <c r="AE123" s="62"/>
      <c r="AF123" s="62"/>
      <c r="AG123" s="62"/>
      <c r="AH123" s="62"/>
    </row>
    <row r="124" ht="14.25" customHeight="1">
      <c r="Y124" s="62"/>
      <c r="Z124" s="62"/>
      <c r="AA124" s="62"/>
      <c r="AB124" s="62"/>
      <c r="AC124" s="62"/>
      <c r="AD124" s="62"/>
      <c r="AE124" s="62"/>
      <c r="AF124" s="62"/>
      <c r="AG124" s="62"/>
      <c r="AH124" s="62"/>
    </row>
    <row r="125" ht="14.25" customHeight="1">
      <c r="Y125" s="62"/>
      <c r="Z125" s="62"/>
      <c r="AA125" s="62"/>
      <c r="AB125" s="62"/>
      <c r="AC125" s="62"/>
      <c r="AD125" s="62"/>
      <c r="AE125" s="62"/>
      <c r="AF125" s="62"/>
      <c r="AG125" s="62"/>
      <c r="AH125" s="62"/>
    </row>
    <row r="126" ht="14.25" customHeight="1">
      <c r="Y126" s="62"/>
      <c r="Z126" s="62"/>
      <c r="AA126" s="62"/>
      <c r="AB126" s="62"/>
      <c r="AC126" s="62"/>
      <c r="AD126" s="62"/>
      <c r="AE126" s="62"/>
      <c r="AF126" s="62"/>
      <c r="AG126" s="62"/>
      <c r="AH126" s="62"/>
    </row>
    <row r="127" ht="14.25" customHeight="1">
      <c r="Y127" s="62"/>
      <c r="Z127" s="62"/>
      <c r="AA127" s="62"/>
      <c r="AB127" s="62"/>
      <c r="AC127" s="62"/>
      <c r="AD127" s="62"/>
      <c r="AE127" s="62"/>
      <c r="AF127" s="62"/>
      <c r="AG127" s="62"/>
      <c r="AH127" s="62"/>
    </row>
    <row r="128" ht="14.25" customHeight="1">
      <c r="Y128" s="62"/>
      <c r="Z128" s="62"/>
      <c r="AA128" s="62"/>
      <c r="AB128" s="62"/>
      <c r="AC128" s="62"/>
      <c r="AD128" s="62"/>
      <c r="AE128" s="62"/>
      <c r="AF128" s="62"/>
      <c r="AG128" s="62"/>
      <c r="AH128" s="62"/>
    </row>
    <row r="129" ht="14.25" customHeight="1">
      <c r="Y129" s="62"/>
      <c r="Z129" s="62"/>
      <c r="AA129" s="62"/>
      <c r="AB129" s="62"/>
      <c r="AC129" s="62"/>
      <c r="AD129" s="62"/>
      <c r="AE129" s="62"/>
      <c r="AF129" s="62"/>
      <c r="AG129" s="62"/>
      <c r="AH129" s="62"/>
    </row>
    <row r="130" ht="14.25" customHeight="1">
      <c r="Y130" s="62"/>
      <c r="Z130" s="62"/>
      <c r="AA130" s="62"/>
      <c r="AB130" s="62"/>
      <c r="AC130" s="62"/>
      <c r="AD130" s="62"/>
      <c r="AE130" s="62"/>
      <c r="AF130" s="62"/>
      <c r="AG130" s="62"/>
      <c r="AH130" s="62"/>
    </row>
    <row r="131" ht="14.25" customHeight="1">
      <c r="Y131" s="62"/>
      <c r="Z131" s="62"/>
      <c r="AA131" s="62"/>
      <c r="AB131" s="62"/>
      <c r="AC131" s="62"/>
      <c r="AD131" s="62"/>
      <c r="AE131" s="62"/>
      <c r="AF131" s="62"/>
      <c r="AG131" s="62"/>
      <c r="AH131" s="62"/>
    </row>
    <row r="132" ht="14.25" customHeight="1">
      <c r="Y132" s="62"/>
      <c r="Z132" s="62"/>
      <c r="AA132" s="62"/>
      <c r="AB132" s="62"/>
      <c r="AC132" s="62"/>
      <c r="AD132" s="62"/>
      <c r="AE132" s="62"/>
      <c r="AF132" s="62"/>
      <c r="AG132" s="62"/>
      <c r="AH132" s="62"/>
    </row>
    <row r="133" ht="14.25" customHeight="1">
      <c r="Y133" s="62"/>
      <c r="Z133" s="62"/>
      <c r="AA133" s="62"/>
      <c r="AB133" s="62"/>
      <c r="AC133" s="62"/>
      <c r="AD133" s="62"/>
      <c r="AE133" s="62"/>
      <c r="AF133" s="62"/>
      <c r="AG133" s="62"/>
      <c r="AH133" s="62"/>
    </row>
    <row r="134" ht="14.25" customHeight="1">
      <c r="Y134" s="62"/>
      <c r="Z134" s="62"/>
      <c r="AA134" s="62"/>
      <c r="AB134" s="62"/>
      <c r="AC134" s="62"/>
      <c r="AD134" s="62"/>
      <c r="AE134" s="62"/>
      <c r="AF134" s="62"/>
      <c r="AG134" s="62"/>
      <c r="AH134" s="62"/>
    </row>
    <row r="135" ht="14.25" customHeight="1">
      <c r="Y135" s="62"/>
      <c r="Z135" s="62"/>
      <c r="AA135" s="62"/>
      <c r="AB135" s="62"/>
      <c r="AC135" s="62"/>
      <c r="AD135" s="62"/>
      <c r="AE135" s="62"/>
      <c r="AF135" s="62"/>
      <c r="AG135" s="62"/>
      <c r="AH135" s="62"/>
    </row>
    <row r="136" ht="14.25" customHeight="1">
      <c r="Y136" s="62"/>
      <c r="Z136" s="62"/>
      <c r="AA136" s="62"/>
      <c r="AB136" s="62"/>
      <c r="AC136" s="62"/>
      <c r="AD136" s="62"/>
      <c r="AE136" s="62"/>
      <c r="AF136" s="62"/>
      <c r="AG136" s="62"/>
      <c r="AH136" s="62"/>
    </row>
    <row r="137" ht="14.25" customHeight="1">
      <c r="Y137" s="62"/>
      <c r="Z137" s="62"/>
      <c r="AA137" s="62"/>
      <c r="AB137" s="62"/>
      <c r="AC137" s="62"/>
      <c r="AD137" s="62"/>
      <c r="AE137" s="62"/>
      <c r="AF137" s="62"/>
      <c r="AG137" s="62"/>
      <c r="AH137" s="62"/>
    </row>
    <row r="138" ht="14.25" customHeight="1">
      <c r="Y138" s="62"/>
      <c r="Z138" s="62"/>
      <c r="AA138" s="62"/>
      <c r="AB138" s="62"/>
      <c r="AC138" s="62"/>
      <c r="AD138" s="62"/>
      <c r="AE138" s="62"/>
      <c r="AF138" s="62"/>
      <c r="AG138" s="62"/>
      <c r="AH138" s="62"/>
    </row>
    <row r="139" ht="14.25" customHeight="1">
      <c r="Y139" s="62"/>
      <c r="Z139" s="62"/>
      <c r="AA139" s="62"/>
      <c r="AB139" s="62"/>
      <c r="AC139" s="62"/>
      <c r="AD139" s="62"/>
      <c r="AE139" s="62"/>
      <c r="AF139" s="62"/>
      <c r="AG139" s="62"/>
      <c r="AH139" s="62"/>
    </row>
    <row r="140" ht="14.25" customHeight="1">
      <c r="Y140" s="62"/>
      <c r="Z140" s="62"/>
      <c r="AA140" s="62"/>
      <c r="AB140" s="62"/>
      <c r="AC140" s="62"/>
      <c r="AD140" s="62"/>
      <c r="AE140" s="62"/>
      <c r="AF140" s="62"/>
      <c r="AG140" s="62"/>
      <c r="AH140" s="62"/>
    </row>
    <row r="141" ht="14.25" customHeight="1">
      <c r="Y141" s="62"/>
      <c r="Z141" s="62"/>
      <c r="AA141" s="62"/>
      <c r="AB141" s="62"/>
      <c r="AC141" s="62"/>
      <c r="AD141" s="62"/>
      <c r="AE141" s="62"/>
      <c r="AF141" s="62"/>
      <c r="AG141" s="62"/>
      <c r="AH141" s="62"/>
    </row>
    <row r="142" ht="14.25" customHeight="1">
      <c r="Y142" s="62"/>
      <c r="Z142" s="62"/>
      <c r="AA142" s="62"/>
      <c r="AB142" s="62"/>
      <c r="AC142" s="62"/>
      <c r="AD142" s="62"/>
      <c r="AE142" s="62"/>
      <c r="AF142" s="62"/>
      <c r="AG142" s="62"/>
      <c r="AH142" s="62"/>
    </row>
    <row r="143" ht="14.25" customHeight="1">
      <c r="Y143" s="62"/>
      <c r="Z143" s="62"/>
      <c r="AA143" s="62"/>
      <c r="AB143" s="62"/>
      <c r="AC143" s="62"/>
      <c r="AD143" s="62"/>
      <c r="AE143" s="62"/>
      <c r="AF143" s="62"/>
      <c r="AG143" s="62"/>
      <c r="AH143" s="62"/>
    </row>
    <row r="144" ht="14.25" customHeight="1">
      <c r="Y144" s="62"/>
      <c r="Z144" s="62"/>
      <c r="AA144" s="62"/>
      <c r="AB144" s="62"/>
      <c r="AC144" s="62"/>
      <c r="AD144" s="62"/>
      <c r="AE144" s="62"/>
      <c r="AF144" s="62"/>
      <c r="AG144" s="62"/>
      <c r="AH144" s="62"/>
    </row>
    <row r="145" ht="14.25" customHeight="1">
      <c r="Y145" s="62"/>
      <c r="Z145" s="62"/>
      <c r="AA145" s="62"/>
      <c r="AB145" s="62"/>
      <c r="AC145" s="62"/>
      <c r="AD145" s="62"/>
      <c r="AE145" s="62"/>
      <c r="AF145" s="62"/>
      <c r="AG145" s="62"/>
      <c r="AH145" s="62"/>
    </row>
    <row r="146" ht="14.25" customHeight="1">
      <c r="Y146" s="62"/>
      <c r="Z146" s="62"/>
      <c r="AA146" s="62"/>
      <c r="AB146" s="62"/>
      <c r="AC146" s="62"/>
      <c r="AD146" s="62"/>
      <c r="AE146" s="62"/>
      <c r="AF146" s="62"/>
      <c r="AG146" s="62"/>
      <c r="AH146" s="62"/>
    </row>
    <row r="147" ht="14.25" customHeight="1">
      <c r="Y147" s="62"/>
      <c r="Z147" s="62"/>
      <c r="AA147" s="62"/>
      <c r="AB147" s="62"/>
      <c r="AC147" s="62"/>
      <c r="AD147" s="62"/>
      <c r="AE147" s="62"/>
      <c r="AF147" s="62"/>
      <c r="AG147" s="62"/>
      <c r="AH147" s="62"/>
    </row>
    <row r="148" ht="14.25" customHeight="1">
      <c r="Y148" s="62"/>
      <c r="Z148" s="62"/>
      <c r="AA148" s="62"/>
      <c r="AB148" s="62"/>
      <c r="AC148" s="62"/>
      <c r="AD148" s="62"/>
      <c r="AE148" s="62"/>
      <c r="AF148" s="62"/>
      <c r="AG148" s="62"/>
      <c r="AH148" s="62"/>
    </row>
    <row r="149" ht="14.25" customHeight="1">
      <c r="Y149" s="62"/>
      <c r="Z149" s="62"/>
      <c r="AA149" s="62"/>
      <c r="AB149" s="62"/>
      <c r="AC149" s="62"/>
      <c r="AD149" s="62"/>
      <c r="AE149" s="62"/>
      <c r="AF149" s="62"/>
      <c r="AG149" s="62"/>
      <c r="AH149" s="62"/>
    </row>
    <row r="150" ht="14.25" customHeight="1">
      <c r="Y150" s="62"/>
      <c r="Z150" s="62"/>
      <c r="AA150" s="62"/>
      <c r="AB150" s="62"/>
      <c r="AC150" s="62"/>
      <c r="AD150" s="62"/>
      <c r="AE150" s="62"/>
      <c r="AF150" s="62"/>
      <c r="AG150" s="62"/>
      <c r="AH150" s="62"/>
    </row>
    <row r="151" ht="14.25" customHeight="1">
      <c r="Y151" s="62"/>
      <c r="Z151" s="62"/>
      <c r="AA151" s="62"/>
      <c r="AB151" s="62"/>
      <c r="AC151" s="62"/>
      <c r="AD151" s="62"/>
      <c r="AE151" s="62"/>
      <c r="AF151" s="62"/>
      <c r="AG151" s="62"/>
      <c r="AH151" s="62"/>
    </row>
    <row r="152" ht="14.25" customHeight="1">
      <c r="Y152" s="62"/>
      <c r="Z152" s="62"/>
      <c r="AA152" s="62"/>
      <c r="AB152" s="62"/>
      <c r="AC152" s="62"/>
      <c r="AD152" s="62"/>
      <c r="AE152" s="62"/>
      <c r="AF152" s="62"/>
      <c r="AG152" s="62"/>
      <c r="AH152" s="62"/>
    </row>
    <row r="153" ht="14.25" customHeight="1">
      <c r="Y153" s="62"/>
      <c r="Z153" s="62"/>
      <c r="AA153" s="62"/>
      <c r="AB153" s="62"/>
      <c r="AC153" s="62"/>
      <c r="AD153" s="62"/>
      <c r="AE153" s="62"/>
      <c r="AF153" s="62"/>
      <c r="AG153" s="62"/>
      <c r="AH153" s="62"/>
    </row>
    <row r="154" ht="14.25" customHeight="1">
      <c r="Y154" s="62"/>
      <c r="Z154" s="62"/>
      <c r="AA154" s="62"/>
      <c r="AB154" s="62"/>
      <c r="AC154" s="62"/>
      <c r="AD154" s="62"/>
      <c r="AE154" s="62"/>
      <c r="AF154" s="62"/>
      <c r="AG154" s="62"/>
      <c r="AH154" s="62"/>
    </row>
    <row r="155" ht="14.25" customHeight="1">
      <c r="Y155" s="62"/>
      <c r="Z155" s="62"/>
      <c r="AA155" s="62"/>
      <c r="AB155" s="62"/>
      <c r="AC155" s="62"/>
      <c r="AD155" s="62"/>
      <c r="AE155" s="62"/>
      <c r="AF155" s="62"/>
      <c r="AG155" s="62"/>
      <c r="AH155" s="62"/>
    </row>
    <row r="156" ht="14.25" customHeight="1">
      <c r="Y156" s="62"/>
      <c r="Z156" s="62"/>
      <c r="AA156" s="62"/>
      <c r="AB156" s="62"/>
      <c r="AC156" s="62"/>
      <c r="AD156" s="62"/>
      <c r="AE156" s="62"/>
      <c r="AF156" s="62"/>
      <c r="AG156" s="62"/>
      <c r="AH156" s="62"/>
    </row>
    <row r="157" ht="14.25" customHeight="1">
      <c r="Y157" s="62"/>
      <c r="Z157" s="62"/>
      <c r="AA157" s="62"/>
      <c r="AB157" s="62"/>
      <c r="AC157" s="62"/>
      <c r="AD157" s="62"/>
      <c r="AE157" s="62"/>
      <c r="AF157" s="62"/>
      <c r="AG157" s="62"/>
      <c r="AH157" s="62"/>
    </row>
    <row r="158" ht="14.25" customHeight="1">
      <c r="Y158" s="62"/>
      <c r="Z158" s="62"/>
      <c r="AA158" s="62"/>
      <c r="AB158" s="62"/>
      <c r="AC158" s="62"/>
      <c r="AD158" s="62"/>
      <c r="AE158" s="62"/>
      <c r="AF158" s="62"/>
      <c r="AG158" s="62"/>
      <c r="AH158" s="62"/>
    </row>
    <row r="159" ht="14.25" customHeight="1">
      <c r="Y159" s="62"/>
      <c r="Z159" s="62"/>
      <c r="AA159" s="62"/>
      <c r="AB159" s="62"/>
      <c r="AC159" s="62"/>
      <c r="AD159" s="62"/>
      <c r="AE159" s="62"/>
      <c r="AF159" s="62"/>
      <c r="AG159" s="62"/>
      <c r="AH159" s="62"/>
    </row>
    <row r="160" ht="14.25" customHeight="1">
      <c r="Y160" s="62"/>
      <c r="Z160" s="62"/>
      <c r="AA160" s="62"/>
      <c r="AB160" s="62"/>
      <c r="AC160" s="62"/>
      <c r="AD160" s="62"/>
      <c r="AE160" s="62"/>
      <c r="AF160" s="62"/>
      <c r="AG160" s="62"/>
      <c r="AH160" s="62"/>
    </row>
    <row r="161" ht="14.25" customHeight="1">
      <c r="Y161" s="62"/>
      <c r="Z161" s="62"/>
      <c r="AA161" s="62"/>
      <c r="AB161" s="62"/>
      <c r="AC161" s="62"/>
      <c r="AD161" s="62"/>
      <c r="AE161" s="62"/>
      <c r="AF161" s="62"/>
      <c r="AG161" s="62"/>
      <c r="AH161" s="62"/>
    </row>
    <row r="162" ht="14.25" customHeight="1">
      <c r="Y162" s="62"/>
      <c r="Z162" s="62"/>
      <c r="AA162" s="62"/>
      <c r="AB162" s="62"/>
      <c r="AC162" s="62"/>
      <c r="AD162" s="62"/>
      <c r="AE162" s="62"/>
      <c r="AF162" s="62"/>
      <c r="AG162" s="62"/>
      <c r="AH162" s="62"/>
    </row>
    <row r="163" ht="14.25" customHeight="1">
      <c r="Y163" s="62"/>
      <c r="Z163" s="62"/>
      <c r="AA163" s="62"/>
      <c r="AB163" s="62"/>
      <c r="AC163" s="62"/>
      <c r="AD163" s="62"/>
      <c r="AE163" s="62"/>
      <c r="AF163" s="62"/>
      <c r="AG163" s="62"/>
      <c r="AH163" s="62"/>
    </row>
    <row r="164" ht="14.25" customHeight="1">
      <c r="Y164" s="62"/>
      <c r="Z164" s="62"/>
      <c r="AA164" s="62"/>
      <c r="AB164" s="62"/>
      <c r="AC164" s="62"/>
      <c r="AD164" s="62"/>
      <c r="AE164" s="62"/>
      <c r="AF164" s="62"/>
      <c r="AG164" s="62"/>
      <c r="AH164" s="62"/>
    </row>
    <row r="165" ht="14.25" customHeight="1">
      <c r="Y165" s="62"/>
      <c r="Z165" s="62"/>
      <c r="AA165" s="62"/>
      <c r="AB165" s="62"/>
      <c r="AC165" s="62"/>
      <c r="AD165" s="62"/>
      <c r="AE165" s="62"/>
      <c r="AF165" s="62"/>
      <c r="AG165" s="62"/>
      <c r="AH165" s="62"/>
    </row>
    <row r="166" ht="14.25" customHeight="1">
      <c r="Y166" s="62"/>
      <c r="Z166" s="62"/>
      <c r="AA166" s="62"/>
      <c r="AB166" s="62"/>
      <c r="AC166" s="62"/>
      <c r="AD166" s="62"/>
      <c r="AE166" s="62"/>
      <c r="AF166" s="62"/>
      <c r="AG166" s="62"/>
      <c r="AH166" s="62"/>
    </row>
    <row r="167" ht="14.25" customHeight="1">
      <c r="Y167" s="62"/>
      <c r="Z167" s="62"/>
      <c r="AA167" s="62"/>
      <c r="AB167" s="62"/>
      <c r="AC167" s="62"/>
      <c r="AD167" s="62"/>
      <c r="AE167" s="62"/>
      <c r="AF167" s="62"/>
      <c r="AG167" s="62"/>
      <c r="AH167" s="62"/>
    </row>
    <row r="168" ht="14.25" customHeight="1">
      <c r="Y168" s="62"/>
      <c r="Z168" s="62"/>
      <c r="AA168" s="62"/>
      <c r="AB168" s="62"/>
      <c r="AC168" s="62"/>
      <c r="AD168" s="62"/>
      <c r="AE168" s="62"/>
      <c r="AF168" s="62"/>
      <c r="AG168" s="62"/>
      <c r="AH168" s="62"/>
    </row>
    <row r="169" ht="14.25" customHeight="1">
      <c r="Y169" s="62"/>
      <c r="Z169" s="62"/>
      <c r="AA169" s="62"/>
      <c r="AB169" s="62"/>
      <c r="AC169" s="62"/>
      <c r="AD169" s="62"/>
      <c r="AE169" s="62"/>
      <c r="AF169" s="62"/>
      <c r="AG169" s="62"/>
      <c r="AH169" s="62"/>
    </row>
    <row r="170" ht="14.25" customHeight="1">
      <c r="Y170" s="62"/>
      <c r="Z170" s="62"/>
      <c r="AA170" s="62"/>
      <c r="AB170" s="62"/>
      <c r="AC170" s="62"/>
      <c r="AD170" s="62"/>
      <c r="AE170" s="62"/>
      <c r="AF170" s="62"/>
      <c r="AG170" s="62"/>
      <c r="AH170" s="62"/>
    </row>
    <row r="171" ht="14.25" customHeight="1">
      <c r="Y171" s="62"/>
      <c r="Z171" s="62"/>
      <c r="AA171" s="62"/>
      <c r="AB171" s="62"/>
      <c r="AC171" s="62"/>
      <c r="AD171" s="62"/>
      <c r="AE171" s="62"/>
      <c r="AF171" s="62"/>
      <c r="AG171" s="62"/>
      <c r="AH171" s="62"/>
    </row>
    <row r="172" ht="14.25" customHeight="1">
      <c r="Y172" s="62"/>
      <c r="Z172" s="62"/>
      <c r="AA172" s="62"/>
      <c r="AB172" s="62"/>
      <c r="AC172" s="62"/>
      <c r="AD172" s="62"/>
      <c r="AE172" s="62"/>
      <c r="AF172" s="62"/>
      <c r="AG172" s="62"/>
      <c r="AH172" s="62"/>
    </row>
    <row r="173" ht="14.25" customHeight="1">
      <c r="Y173" s="62"/>
      <c r="Z173" s="62"/>
      <c r="AA173" s="62"/>
      <c r="AB173" s="62"/>
      <c r="AC173" s="62"/>
      <c r="AD173" s="62"/>
      <c r="AE173" s="62"/>
      <c r="AF173" s="62"/>
      <c r="AG173" s="62"/>
      <c r="AH173" s="62"/>
    </row>
    <row r="174" ht="14.25" customHeight="1">
      <c r="Y174" s="62"/>
      <c r="Z174" s="62"/>
      <c r="AA174" s="62"/>
      <c r="AB174" s="62"/>
      <c r="AC174" s="62"/>
      <c r="AD174" s="62"/>
      <c r="AE174" s="62"/>
      <c r="AF174" s="62"/>
      <c r="AG174" s="62"/>
      <c r="AH174" s="62"/>
    </row>
    <row r="175" ht="14.25" customHeight="1">
      <c r="Y175" s="62"/>
      <c r="Z175" s="62"/>
      <c r="AA175" s="62"/>
      <c r="AB175" s="62"/>
      <c r="AC175" s="62"/>
      <c r="AD175" s="62"/>
      <c r="AE175" s="62"/>
      <c r="AF175" s="62"/>
      <c r="AG175" s="62"/>
      <c r="AH175" s="62"/>
    </row>
    <row r="176" ht="14.25" customHeight="1">
      <c r="Y176" s="62"/>
      <c r="Z176" s="62"/>
      <c r="AA176" s="62"/>
      <c r="AB176" s="62"/>
      <c r="AC176" s="62"/>
      <c r="AD176" s="62"/>
      <c r="AE176" s="62"/>
      <c r="AF176" s="62"/>
      <c r="AG176" s="62"/>
      <c r="AH176" s="62"/>
    </row>
    <row r="177" ht="14.25" customHeight="1">
      <c r="Y177" s="62"/>
      <c r="Z177" s="62"/>
      <c r="AA177" s="62"/>
      <c r="AB177" s="62"/>
      <c r="AC177" s="62"/>
      <c r="AD177" s="62"/>
      <c r="AE177" s="62"/>
      <c r="AF177" s="62"/>
      <c r="AG177" s="62"/>
      <c r="AH177" s="62"/>
    </row>
    <row r="178" ht="14.25" customHeight="1">
      <c r="Y178" s="62"/>
      <c r="Z178" s="62"/>
      <c r="AA178" s="62"/>
      <c r="AB178" s="62"/>
      <c r="AC178" s="62"/>
      <c r="AD178" s="62"/>
      <c r="AE178" s="62"/>
      <c r="AF178" s="62"/>
      <c r="AG178" s="62"/>
      <c r="AH178" s="62"/>
    </row>
    <row r="179" ht="14.25" customHeight="1">
      <c r="Y179" s="62"/>
      <c r="Z179" s="62"/>
      <c r="AA179" s="62"/>
      <c r="AB179" s="62"/>
      <c r="AC179" s="62"/>
      <c r="AD179" s="62"/>
      <c r="AE179" s="62"/>
      <c r="AF179" s="62"/>
      <c r="AG179" s="62"/>
      <c r="AH179" s="62"/>
    </row>
    <row r="180" ht="14.25" customHeight="1">
      <c r="Y180" s="62"/>
      <c r="Z180" s="62"/>
      <c r="AA180" s="62"/>
      <c r="AB180" s="62"/>
      <c r="AC180" s="62"/>
      <c r="AD180" s="62"/>
      <c r="AE180" s="62"/>
      <c r="AF180" s="62"/>
      <c r="AG180" s="62"/>
      <c r="AH180" s="62"/>
    </row>
    <row r="181" ht="14.25" customHeight="1">
      <c r="Y181" s="62"/>
      <c r="Z181" s="62"/>
      <c r="AA181" s="62"/>
      <c r="AB181" s="62"/>
      <c r="AC181" s="62"/>
      <c r="AD181" s="62"/>
      <c r="AE181" s="62"/>
      <c r="AF181" s="62"/>
      <c r="AG181" s="62"/>
      <c r="AH181" s="62"/>
    </row>
    <row r="182" ht="14.25" customHeight="1">
      <c r="Y182" s="62"/>
      <c r="Z182" s="62"/>
      <c r="AA182" s="62"/>
      <c r="AB182" s="62"/>
      <c r="AC182" s="62"/>
      <c r="AD182" s="62"/>
      <c r="AE182" s="62"/>
      <c r="AF182" s="62"/>
      <c r="AG182" s="62"/>
      <c r="AH182" s="62"/>
    </row>
    <row r="183" ht="14.25" customHeight="1">
      <c r="Y183" s="62"/>
      <c r="Z183" s="62"/>
      <c r="AA183" s="62"/>
      <c r="AB183" s="62"/>
      <c r="AC183" s="62"/>
      <c r="AD183" s="62"/>
      <c r="AE183" s="62"/>
      <c r="AF183" s="62"/>
      <c r="AG183" s="62"/>
      <c r="AH183" s="62"/>
    </row>
    <row r="184" ht="14.25" customHeight="1">
      <c r="Y184" s="62"/>
      <c r="Z184" s="62"/>
      <c r="AA184" s="62"/>
      <c r="AB184" s="62"/>
      <c r="AC184" s="62"/>
      <c r="AD184" s="62"/>
      <c r="AE184" s="62"/>
      <c r="AF184" s="62"/>
      <c r="AG184" s="62"/>
      <c r="AH184" s="62"/>
    </row>
    <row r="185" ht="14.25" customHeight="1">
      <c r="Y185" s="62"/>
      <c r="Z185" s="62"/>
      <c r="AA185" s="62"/>
      <c r="AB185" s="62"/>
      <c r="AC185" s="62"/>
      <c r="AD185" s="62"/>
      <c r="AE185" s="62"/>
      <c r="AF185" s="62"/>
      <c r="AG185" s="62"/>
      <c r="AH185" s="62"/>
    </row>
    <row r="186" ht="14.25" customHeight="1">
      <c r="Y186" s="62"/>
      <c r="Z186" s="62"/>
      <c r="AA186" s="62"/>
      <c r="AB186" s="62"/>
      <c r="AC186" s="62"/>
      <c r="AD186" s="62"/>
      <c r="AE186" s="62"/>
      <c r="AF186" s="62"/>
      <c r="AG186" s="62"/>
      <c r="AH186" s="62"/>
    </row>
    <row r="187" ht="14.25" customHeight="1">
      <c r="Y187" s="62"/>
      <c r="Z187" s="62"/>
      <c r="AA187" s="62"/>
      <c r="AB187" s="62"/>
      <c r="AC187" s="62"/>
      <c r="AD187" s="62"/>
      <c r="AE187" s="62"/>
      <c r="AF187" s="62"/>
      <c r="AG187" s="62"/>
      <c r="AH187" s="62"/>
    </row>
    <row r="188" ht="14.25" customHeight="1">
      <c r="Y188" s="62"/>
      <c r="Z188" s="62"/>
      <c r="AA188" s="62"/>
      <c r="AB188" s="62"/>
      <c r="AC188" s="62"/>
      <c r="AD188" s="62"/>
      <c r="AE188" s="62"/>
      <c r="AF188" s="62"/>
      <c r="AG188" s="62"/>
      <c r="AH188" s="62"/>
    </row>
    <row r="189" ht="14.25" customHeight="1">
      <c r="Y189" s="62"/>
      <c r="Z189" s="62"/>
      <c r="AA189" s="62"/>
      <c r="AB189" s="62"/>
      <c r="AC189" s="62"/>
      <c r="AD189" s="62"/>
      <c r="AE189" s="62"/>
      <c r="AF189" s="62"/>
      <c r="AG189" s="62"/>
      <c r="AH189" s="62"/>
    </row>
    <row r="190" ht="14.25" customHeight="1">
      <c r="Y190" s="62"/>
      <c r="Z190" s="62"/>
      <c r="AA190" s="62"/>
      <c r="AB190" s="62"/>
      <c r="AC190" s="62"/>
      <c r="AD190" s="62"/>
      <c r="AE190" s="62"/>
      <c r="AF190" s="62"/>
      <c r="AG190" s="62"/>
      <c r="AH190" s="62"/>
    </row>
    <row r="191" ht="14.25" customHeight="1">
      <c r="Y191" s="62"/>
      <c r="Z191" s="62"/>
      <c r="AA191" s="62"/>
      <c r="AB191" s="62"/>
      <c r="AC191" s="62"/>
      <c r="AD191" s="62"/>
      <c r="AE191" s="62"/>
      <c r="AF191" s="62"/>
      <c r="AG191" s="62"/>
      <c r="AH191" s="62"/>
    </row>
    <row r="192" ht="14.25" customHeight="1">
      <c r="Y192" s="62"/>
      <c r="Z192" s="62"/>
      <c r="AA192" s="62"/>
      <c r="AB192" s="62"/>
      <c r="AC192" s="62"/>
      <c r="AD192" s="62"/>
      <c r="AE192" s="62"/>
      <c r="AF192" s="62"/>
      <c r="AG192" s="62"/>
      <c r="AH192" s="62"/>
    </row>
    <row r="193" ht="14.25" customHeight="1">
      <c r="Y193" s="62"/>
      <c r="Z193" s="62"/>
      <c r="AA193" s="62"/>
      <c r="AB193" s="62"/>
      <c r="AC193" s="62"/>
      <c r="AD193" s="62"/>
      <c r="AE193" s="62"/>
      <c r="AF193" s="62"/>
      <c r="AG193" s="62"/>
      <c r="AH193" s="62"/>
    </row>
    <row r="194" ht="14.25" customHeight="1">
      <c r="Y194" s="62"/>
      <c r="Z194" s="62"/>
      <c r="AA194" s="62"/>
      <c r="AB194" s="62"/>
      <c r="AC194" s="62"/>
      <c r="AD194" s="62"/>
      <c r="AE194" s="62"/>
      <c r="AF194" s="62"/>
      <c r="AG194" s="62"/>
      <c r="AH194" s="62"/>
    </row>
    <row r="195" ht="14.25" customHeight="1">
      <c r="Y195" s="62"/>
      <c r="Z195" s="62"/>
      <c r="AA195" s="62"/>
      <c r="AB195" s="62"/>
      <c r="AC195" s="62"/>
      <c r="AD195" s="62"/>
      <c r="AE195" s="62"/>
      <c r="AF195" s="62"/>
      <c r="AG195" s="62"/>
      <c r="AH195" s="62"/>
    </row>
    <row r="196" ht="14.25" customHeight="1">
      <c r="Y196" s="62"/>
      <c r="Z196" s="62"/>
      <c r="AA196" s="62"/>
      <c r="AB196" s="62"/>
      <c r="AC196" s="62"/>
      <c r="AD196" s="62"/>
      <c r="AE196" s="62"/>
      <c r="AF196" s="62"/>
      <c r="AG196" s="62"/>
      <c r="AH196" s="62"/>
    </row>
    <row r="197" ht="14.25" customHeight="1">
      <c r="Y197" s="62"/>
      <c r="Z197" s="62"/>
      <c r="AA197" s="62"/>
      <c r="AB197" s="62"/>
      <c r="AC197" s="62"/>
      <c r="AD197" s="62"/>
      <c r="AE197" s="62"/>
      <c r="AF197" s="62"/>
      <c r="AG197" s="62"/>
      <c r="AH197" s="62"/>
    </row>
    <row r="198" ht="14.25" customHeight="1">
      <c r="Y198" s="62"/>
      <c r="Z198" s="62"/>
      <c r="AA198" s="62"/>
      <c r="AB198" s="62"/>
      <c r="AC198" s="62"/>
      <c r="AD198" s="62"/>
      <c r="AE198" s="62"/>
      <c r="AF198" s="62"/>
      <c r="AG198" s="62"/>
      <c r="AH198" s="62"/>
    </row>
    <row r="199" ht="14.25" customHeight="1">
      <c r="Y199" s="62"/>
      <c r="Z199" s="62"/>
      <c r="AA199" s="62"/>
      <c r="AB199" s="62"/>
      <c r="AC199" s="62"/>
      <c r="AD199" s="62"/>
      <c r="AE199" s="62"/>
      <c r="AF199" s="62"/>
      <c r="AG199" s="62"/>
      <c r="AH199" s="62"/>
    </row>
    <row r="200" ht="14.25" customHeight="1">
      <c r="Y200" s="62"/>
      <c r="Z200" s="62"/>
      <c r="AA200" s="62"/>
      <c r="AB200" s="62"/>
      <c r="AC200" s="62"/>
      <c r="AD200" s="62"/>
      <c r="AE200" s="62"/>
      <c r="AF200" s="62"/>
      <c r="AG200" s="62"/>
      <c r="AH200" s="62"/>
    </row>
    <row r="201" ht="14.25" customHeight="1">
      <c r="Y201" s="62"/>
      <c r="Z201" s="62"/>
      <c r="AA201" s="62"/>
      <c r="AB201" s="62"/>
      <c r="AC201" s="62"/>
      <c r="AD201" s="62"/>
      <c r="AE201" s="62"/>
      <c r="AF201" s="62"/>
      <c r="AG201" s="62"/>
      <c r="AH201" s="62"/>
    </row>
    <row r="202" ht="14.25" customHeight="1">
      <c r="Y202" s="62"/>
      <c r="Z202" s="62"/>
      <c r="AA202" s="62"/>
      <c r="AB202" s="62"/>
      <c r="AC202" s="62"/>
      <c r="AD202" s="62"/>
      <c r="AE202" s="62"/>
      <c r="AF202" s="62"/>
      <c r="AG202" s="62"/>
      <c r="AH202" s="62"/>
    </row>
    <row r="203" ht="14.25" customHeight="1">
      <c r="Y203" s="62"/>
      <c r="Z203" s="62"/>
      <c r="AA203" s="62"/>
      <c r="AB203" s="62"/>
      <c r="AC203" s="62"/>
      <c r="AD203" s="62"/>
      <c r="AE203" s="62"/>
      <c r="AF203" s="62"/>
      <c r="AG203" s="62"/>
      <c r="AH203" s="62"/>
    </row>
    <row r="204" ht="14.25" customHeight="1">
      <c r="Y204" s="62"/>
      <c r="Z204" s="62"/>
      <c r="AA204" s="62"/>
      <c r="AB204" s="62"/>
      <c r="AC204" s="62"/>
      <c r="AD204" s="62"/>
      <c r="AE204" s="62"/>
      <c r="AF204" s="62"/>
      <c r="AG204" s="62"/>
      <c r="AH204" s="62"/>
    </row>
    <row r="205" ht="14.25" customHeight="1">
      <c r="Y205" s="62"/>
      <c r="Z205" s="62"/>
      <c r="AA205" s="62"/>
      <c r="AB205" s="62"/>
      <c r="AC205" s="62"/>
      <c r="AD205" s="62"/>
      <c r="AE205" s="62"/>
      <c r="AF205" s="62"/>
      <c r="AG205" s="62"/>
      <c r="AH205" s="62"/>
    </row>
    <row r="206" ht="14.25" customHeight="1">
      <c r="Y206" s="62"/>
      <c r="Z206" s="62"/>
      <c r="AA206" s="62"/>
      <c r="AB206" s="62"/>
      <c r="AC206" s="62"/>
      <c r="AD206" s="62"/>
      <c r="AE206" s="62"/>
      <c r="AF206" s="62"/>
      <c r="AG206" s="62"/>
      <c r="AH206" s="62"/>
    </row>
    <row r="207" ht="14.25" customHeight="1">
      <c r="Y207" s="62"/>
      <c r="Z207" s="62"/>
      <c r="AA207" s="62"/>
      <c r="AB207" s="62"/>
      <c r="AC207" s="62"/>
      <c r="AD207" s="62"/>
      <c r="AE207" s="62"/>
      <c r="AF207" s="62"/>
      <c r="AG207" s="62"/>
      <c r="AH207" s="62"/>
    </row>
    <row r="208" ht="14.25" customHeight="1">
      <c r="Y208" s="62"/>
      <c r="Z208" s="62"/>
      <c r="AA208" s="62"/>
      <c r="AB208" s="62"/>
      <c r="AC208" s="62"/>
      <c r="AD208" s="62"/>
      <c r="AE208" s="62"/>
      <c r="AF208" s="62"/>
      <c r="AG208" s="62"/>
      <c r="AH208" s="62"/>
    </row>
    <row r="209" ht="14.25" customHeight="1">
      <c r="Y209" s="62"/>
      <c r="Z209" s="62"/>
      <c r="AA209" s="62"/>
      <c r="AB209" s="62"/>
      <c r="AC209" s="62"/>
      <c r="AD209" s="62"/>
      <c r="AE209" s="62"/>
      <c r="AF209" s="62"/>
      <c r="AG209" s="62"/>
      <c r="AH209" s="62"/>
    </row>
    <row r="210" ht="14.25" customHeight="1">
      <c r="Y210" s="62"/>
      <c r="Z210" s="62"/>
      <c r="AA210" s="62"/>
      <c r="AB210" s="62"/>
      <c r="AC210" s="62"/>
      <c r="AD210" s="62"/>
      <c r="AE210" s="62"/>
      <c r="AF210" s="62"/>
      <c r="AG210" s="62"/>
      <c r="AH210" s="62"/>
    </row>
    <row r="211" ht="14.25" customHeight="1">
      <c r="Y211" s="62"/>
      <c r="Z211" s="62"/>
      <c r="AA211" s="62"/>
      <c r="AB211" s="62"/>
      <c r="AC211" s="62"/>
      <c r="AD211" s="62"/>
      <c r="AE211" s="62"/>
      <c r="AF211" s="62"/>
      <c r="AG211" s="62"/>
      <c r="AH211" s="62"/>
    </row>
    <row r="212" ht="14.25" customHeight="1">
      <c r="Y212" s="62"/>
      <c r="Z212" s="62"/>
      <c r="AA212" s="62"/>
      <c r="AB212" s="62"/>
      <c r="AC212" s="62"/>
      <c r="AD212" s="62"/>
      <c r="AE212" s="62"/>
      <c r="AF212" s="62"/>
      <c r="AG212" s="62"/>
      <c r="AH212" s="62"/>
    </row>
    <row r="213" ht="14.25" customHeight="1">
      <c r="Y213" s="62"/>
      <c r="Z213" s="62"/>
      <c r="AA213" s="62"/>
      <c r="AB213" s="62"/>
      <c r="AC213" s="62"/>
      <c r="AD213" s="62"/>
      <c r="AE213" s="62"/>
      <c r="AF213" s="62"/>
      <c r="AG213" s="62"/>
      <c r="AH213" s="62"/>
    </row>
    <row r="214" ht="14.25" customHeight="1">
      <c r="Y214" s="62"/>
      <c r="Z214" s="62"/>
      <c r="AA214" s="62"/>
      <c r="AB214" s="62"/>
      <c r="AC214" s="62"/>
      <c r="AD214" s="62"/>
      <c r="AE214" s="62"/>
      <c r="AF214" s="62"/>
      <c r="AG214" s="62"/>
      <c r="AH214" s="62"/>
    </row>
    <row r="215" ht="14.25" customHeight="1">
      <c r="Y215" s="62"/>
      <c r="Z215" s="62"/>
      <c r="AA215" s="62"/>
      <c r="AB215" s="62"/>
      <c r="AC215" s="62"/>
      <c r="AD215" s="62"/>
      <c r="AE215" s="62"/>
      <c r="AF215" s="62"/>
      <c r="AG215" s="62"/>
      <c r="AH215" s="62"/>
    </row>
    <row r="216" ht="14.25" customHeight="1">
      <c r="Y216" s="62"/>
      <c r="Z216" s="62"/>
      <c r="AA216" s="62"/>
      <c r="AB216" s="62"/>
      <c r="AC216" s="62"/>
      <c r="AD216" s="62"/>
      <c r="AE216" s="62"/>
      <c r="AF216" s="62"/>
      <c r="AG216" s="62"/>
      <c r="AH216" s="62"/>
    </row>
    <row r="217" ht="14.25" customHeight="1">
      <c r="Y217" s="62"/>
      <c r="Z217" s="62"/>
      <c r="AA217" s="62"/>
      <c r="AB217" s="62"/>
      <c r="AC217" s="62"/>
      <c r="AD217" s="62"/>
      <c r="AE217" s="62"/>
      <c r="AF217" s="62"/>
      <c r="AG217" s="62"/>
      <c r="AH217" s="62"/>
    </row>
    <row r="218" ht="14.25" customHeight="1">
      <c r="Y218" s="62"/>
      <c r="Z218" s="62"/>
      <c r="AA218" s="62"/>
      <c r="AB218" s="62"/>
      <c r="AC218" s="62"/>
      <c r="AD218" s="62"/>
      <c r="AE218" s="62"/>
      <c r="AF218" s="62"/>
      <c r="AG218" s="62"/>
      <c r="AH218" s="62"/>
    </row>
    <row r="219" ht="14.25" customHeight="1">
      <c r="Y219" s="62"/>
      <c r="Z219" s="62"/>
      <c r="AA219" s="62"/>
      <c r="AB219" s="62"/>
      <c r="AC219" s="62"/>
      <c r="AD219" s="62"/>
      <c r="AE219" s="62"/>
      <c r="AF219" s="62"/>
      <c r="AG219" s="62"/>
      <c r="AH219" s="62"/>
    </row>
    <row r="220" ht="14.25" customHeight="1">
      <c r="Y220" s="62"/>
      <c r="Z220" s="62"/>
      <c r="AA220" s="62"/>
      <c r="AB220" s="62"/>
      <c r="AC220" s="62"/>
      <c r="AD220" s="62"/>
      <c r="AE220" s="62"/>
      <c r="AF220" s="62"/>
      <c r="AG220" s="62"/>
      <c r="AH220" s="62"/>
    </row>
    <row r="221" ht="14.25" customHeight="1">
      <c r="Y221" s="62"/>
      <c r="Z221" s="62"/>
      <c r="AA221" s="62"/>
      <c r="AB221" s="62"/>
      <c r="AC221" s="62"/>
      <c r="AD221" s="62"/>
      <c r="AE221" s="62"/>
      <c r="AF221" s="62"/>
      <c r="AG221" s="62"/>
      <c r="AH221" s="62"/>
    </row>
    <row r="222" ht="14.25" customHeight="1">
      <c r="Y222" s="62"/>
      <c r="Z222" s="62"/>
      <c r="AA222" s="62"/>
      <c r="AB222" s="62"/>
      <c r="AC222" s="62"/>
      <c r="AD222" s="62"/>
      <c r="AE222" s="62"/>
      <c r="AF222" s="62"/>
      <c r="AG222" s="62"/>
      <c r="AH222" s="62"/>
    </row>
    <row r="223" ht="14.25" customHeight="1">
      <c r="Y223" s="62"/>
      <c r="Z223" s="62"/>
      <c r="AA223" s="62"/>
      <c r="AB223" s="62"/>
      <c r="AC223" s="62"/>
      <c r="AD223" s="62"/>
      <c r="AE223" s="62"/>
      <c r="AF223" s="62"/>
      <c r="AG223" s="62"/>
      <c r="AH223" s="62"/>
    </row>
    <row r="224" ht="14.25" customHeight="1">
      <c r="Y224" s="62"/>
      <c r="Z224" s="62"/>
      <c r="AA224" s="62"/>
      <c r="AB224" s="62"/>
      <c r="AC224" s="62"/>
      <c r="AD224" s="62"/>
      <c r="AE224" s="62"/>
      <c r="AF224" s="62"/>
      <c r="AG224" s="62"/>
      <c r="AH224" s="62"/>
    </row>
    <row r="225" ht="14.25" customHeight="1">
      <c r="Y225" s="62"/>
      <c r="Z225" s="62"/>
      <c r="AA225" s="62"/>
      <c r="AB225" s="62"/>
      <c r="AC225" s="62"/>
      <c r="AD225" s="62"/>
      <c r="AE225" s="62"/>
      <c r="AF225" s="62"/>
      <c r="AG225" s="62"/>
      <c r="AH225" s="62"/>
    </row>
    <row r="226" ht="14.25" customHeight="1">
      <c r="Y226" s="62"/>
      <c r="Z226" s="62"/>
      <c r="AA226" s="62"/>
      <c r="AB226" s="62"/>
      <c r="AC226" s="62"/>
      <c r="AD226" s="62"/>
      <c r="AE226" s="62"/>
      <c r="AF226" s="62"/>
      <c r="AG226" s="62"/>
      <c r="AH226" s="62"/>
    </row>
    <row r="227" ht="14.25" customHeight="1">
      <c r="Y227" s="62"/>
      <c r="Z227" s="62"/>
      <c r="AA227" s="62"/>
      <c r="AB227" s="62"/>
      <c r="AC227" s="62"/>
      <c r="AD227" s="62"/>
      <c r="AE227" s="62"/>
      <c r="AF227" s="62"/>
      <c r="AG227" s="62"/>
      <c r="AH227" s="62"/>
    </row>
    <row r="228" ht="14.25" customHeight="1">
      <c r="Y228" s="62"/>
      <c r="Z228" s="62"/>
      <c r="AA228" s="62"/>
      <c r="AB228" s="62"/>
      <c r="AC228" s="62"/>
      <c r="AD228" s="62"/>
      <c r="AE228" s="62"/>
      <c r="AF228" s="62"/>
      <c r="AG228" s="62"/>
      <c r="AH228" s="62"/>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K1:P1"/>
    <mergeCell ref="K2:P2"/>
  </mergeCells>
  <dataValidations>
    <dataValidation type="list" allowBlank="1" showErrorMessage="1" sqref="Y5:AG28">
      <formula1>"Ada,Belum Ada,Proses,Belum mengurus"</formula1>
    </dataValidation>
    <dataValidation type="list" allowBlank="1" showErrorMessage="1" sqref="G5 G7">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1.57"/>
    <col customWidth="1" min="3" max="3" width="21.86"/>
    <col customWidth="1" min="4" max="4" width="11.86"/>
    <col customWidth="1" min="5" max="5" width="19.29"/>
    <col customWidth="1" min="6" max="6" width="15.86"/>
    <col customWidth="1" min="7" max="7" width="17.14"/>
    <col customWidth="1" min="8" max="11" width="21.14"/>
    <col customWidth="1" min="12" max="17" width="27.0"/>
    <col customWidth="1" min="18" max="18" width="29.57"/>
    <col customWidth="1" min="19" max="19" width="30.14"/>
    <col customWidth="1" min="20" max="24" width="26.43"/>
    <col customWidth="1" min="25" max="25" width="18.43"/>
    <col customWidth="1" min="26" max="35" width="8.71"/>
  </cols>
  <sheetData>
    <row r="1" ht="14.25" customHeight="1">
      <c r="L1" s="63" t="s">
        <v>1</v>
      </c>
      <c r="Z1" s="62"/>
      <c r="AA1" s="62"/>
      <c r="AB1" s="62"/>
      <c r="AC1" s="62"/>
      <c r="AD1" s="62"/>
      <c r="AE1" s="62"/>
      <c r="AF1" s="62"/>
      <c r="AG1" s="62"/>
      <c r="AH1" s="62"/>
      <c r="AI1" s="62"/>
    </row>
    <row r="2" ht="14.25" customHeight="1">
      <c r="L2" s="137" t="s">
        <v>2</v>
      </c>
      <c r="Z2" s="62"/>
      <c r="AA2" s="62"/>
      <c r="AB2" s="62"/>
      <c r="AC2" s="62"/>
      <c r="AD2" s="62"/>
      <c r="AE2" s="62"/>
      <c r="AF2" s="62"/>
      <c r="AG2" s="62"/>
      <c r="AH2" s="62"/>
      <c r="AI2" s="62"/>
    </row>
    <row r="3" ht="14.25" customHeight="1">
      <c r="Z3" s="62"/>
      <c r="AA3" s="62"/>
      <c r="AB3" s="62"/>
      <c r="AC3" s="62"/>
      <c r="AD3" s="62"/>
      <c r="AE3" s="62"/>
      <c r="AF3" s="62"/>
      <c r="AG3" s="62"/>
      <c r="AH3" s="62"/>
      <c r="AI3" s="62"/>
    </row>
    <row r="4" ht="40.5" customHeight="1">
      <c r="A4" s="65" t="s">
        <v>3</v>
      </c>
      <c r="B4" s="65" t="s">
        <v>4</v>
      </c>
      <c r="C4" s="65" t="s">
        <v>5</v>
      </c>
      <c r="D4" s="65" t="s">
        <v>6</v>
      </c>
      <c r="E4" s="65" t="s">
        <v>7</v>
      </c>
      <c r="F4" s="65" t="s">
        <v>8</v>
      </c>
      <c r="G4" s="65" t="s">
        <v>9</v>
      </c>
      <c r="H4" s="65" t="s">
        <v>1003</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14.25" customHeight="1">
      <c r="A5" s="67">
        <v>1.0</v>
      </c>
      <c r="B5" s="67" t="s">
        <v>1004</v>
      </c>
      <c r="C5" s="67" t="s">
        <v>1005</v>
      </c>
      <c r="D5" s="68" t="s">
        <v>1006</v>
      </c>
      <c r="E5" s="67" t="s">
        <v>1007</v>
      </c>
      <c r="F5" s="67" t="s">
        <v>1008</v>
      </c>
      <c r="G5" s="67" t="s">
        <v>43</v>
      </c>
      <c r="H5" s="79">
        <v>46009.0</v>
      </c>
      <c r="I5" s="67" t="s">
        <v>1009</v>
      </c>
      <c r="J5" s="67" t="s">
        <v>1010</v>
      </c>
      <c r="K5" s="80" t="s">
        <v>1011</v>
      </c>
      <c r="L5" s="68">
        <v>2641.0</v>
      </c>
      <c r="M5" s="67"/>
      <c r="N5" s="67" t="s">
        <v>1012</v>
      </c>
      <c r="O5" s="67" t="s">
        <v>1013</v>
      </c>
      <c r="P5" s="67" t="s">
        <v>1014</v>
      </c>
      <c r="Q5" s="67" t="s">
        <v>1015</v>
      </c>
      <c r="R5" s="67" t="s">
        <v>1016</v>
      </c>
      <c r="S5" s="67" t="s">
        <v>1017</v>
      </c>
      <c r="T5" s="67" t="s">
        <v>1018</v>
      </c>
      <c r="U5" s="67" t="s">
        <v>1019</v>
      </c>
      <c r="V5" s="67" t="s">
        <v>1020</v>
      </c>
      <c r="W5" s="67" t="s">
        <v>1021</v>
      </c>
      <c r="X5" s="67"/>
      <c r="Y5" s="68"/>
      <c r="Z5" s="54" t="s">
        <v>54</v>
      </c>
      <c r="AA5" s="130"/>
      <c r="AB5" s="130"/>
      <c r="AC5" s="130"/>
      <c r="AD5" s="130"/>
      <c r="AE5" s="130"/>
      <c r="AF5" s="130"/>
      <c r="AG5" s="130"/>
      <c r="AH5" s="130"/>
      <c r="AI5" s="130"/>
    </row>
    <row r="6" ht="14.25" customHeight="1">
      <c r="A6" s="67">
        <v>2.0</v>
      </c>
      <c r="B6" s="67" t="s">
        <v>1022</v>
      </c>
      <c r="C6" s="87" t="s">
        <v>1023</v>
      </c>
      <c r="D6" s="68" t="s">
        <v>1024</v>
      </c>
      <c r="E6" s="67" t="s">
        <v>780</v>
      </c>
      <c r="F6" s="67" t="s">
        <v>1025</v>
      </c>
      <c r="G6" s="67" t="s">
        <v>1026</v>
      </c>
      <c r="H6" s="79">
        <v>45672.0</v>
      </c>
      <c r="I6" s="67" t="s">
        <v>44</v>
      </c>
      <c r="J6" s="67" t="s">
        <v>1027</v>
      </c>
      <c r="K6" s="116">
        <v>8.551732607E9</v>
      </c>
      <c r="L6" s="68">
        <v>2049.0</v>
      </c>
      <c r="M6" s="67" t="s">
        <v>1028</v>
      </c>
      <c r="N6" s="67" t="s">
        <v>1029</v>
      </c>
      <c r="O6" s="67"/>
      <c r="P6" s="67"/>
      <c r="Q6" s="67" t="s">
        <v>1030</v>
      </c>
      <c r="R6" s="67" t="s">
        <v>1031</v>
      </c>
      <c r="S6" s="67" t="s">
        <v>1032</v>
      </c>
      <c r="T6" s="67"/>
      <c r="U6" s="67"/>
      <c r="V6" s="67"/>
      <c r="W6" s="67"/>
      <c r="X6" s="67"/>
      <c r="Y6" s="67"/>
      <c r="Z6" s="131"/>
      <c r="AA6" s="131"/>
      <c r="AB6" s="131"/>
      <c r="AC6" s="131"/>
      <c r="AD6" s="131"/>
      <c r="AE6" s="131"/>
      <c r="AF6" s="131"/>
      <c r="AG6" s="131"/>
      <c r="AH6" s="131"/>
      <c r="AI6" s="131"/>
    </row>
    <row r="7" ht="14.25" customHeight="1">
      <c r="A7" s="68">
        <v>3.0</v>
      </c>
      <c r="B7" s="68" t="s">
        <v>1033</v>
      </c>
      <c r="C7" s="68" t="s">
        <v>1034</v>
      </c>
      <c r="D7" s="68" t="s">
        <v>1035</v>
      </c>
      <c r="E7" s="68" t="s">
        <v>1036</v>
      </c>
      <c r="F7" s="68" t="s">
        <v>1037</v>
      </c>
      <c r="G7" s="68" t="s">
        <v>1026</v>
      </c>
      <c r="H7" s="68"/>
      <c r="I7" s="68" t="s">
        <v>44</v>
      </c>
      <c r="J7" s="68" t="s">
        <v>1038</v>
      </c>
      <c r="K7" s="68">
        <v>8.2211554201E10</v>
      </c>
      <c r="L7" s="68">
        <v>2636.0</v>
      </c>
      <c r="M7" s="68"/>
      <c r="N7" s="68" t="s">
        <v>1039</v>
      </c>
      <c r="O7" s="68"/>
      <c r="P7" s="68" t="s">
        <v>1040</v>
      </c>
      <c r="Q7" s="68" t="s">
        <v>1041</v>
      </c>
      <c r="R7" s="68" t="s">
        <v>1042</v>
      </c>
      <c r="S7" s="68"/>
      <c r="T7" s="68" t="s">
        <v>1043</v>
      </c>
      <c r="U7" s="68" t="s">
        <v>1044</v>
      </c>
      <c r="V7" s="68" t="s">
        <v>1045</v>
      </c>
      <c r="W7" s="68" t="s">
        <v>1046</v>
      </c>
      <c r="X7" s="68">
        <v>0.0</v>
      </c>
      <c r="Y7" s="68"/>
      <c r="Z7" s="130"/>
      <c r="AA7" s="130"/>
      <c r="AB7" s="130"/>
      <c r="AC7" s="130"/>
      <c r="AD7" s="130"/>
      <c r="AE7" s="130"/>
      <c r="AF7" s="130"/>
      <c r="AG7" s="130"/>
      <c r="AH7" s="130"/>
      <c r="AI7" s="130"/>
    </row>
    <row r="8" ht="14.25" customHeight="1">
      <c r="A8" s="68">
        <v>4.0</v>
      </c>
      <c r="B8" s="68" t="s">
        <v>1047</v>
      </c>
      <c r="C8" s="68" t="s">
        <v>1048</v>
      </c>
      <c r="D8" s="68" t="s">
        <v>1049</v>
      </c>
      <c r="E8" s="68" t="s">
        <v>1050</v>
      </c>
      <c r="F8" s="68" t="s">
        <v>1051</v>
      </c>
      <c r="G8" s="68" t="s">
        <v>1026</v>
      </c>
      <c r="H8" s="68"/>
      <c r="I8" s="68" t="s">
        <v>44</v>
      </c>
      <c r="J8" s="68" t="s">
        <v>1052</v>
      </c>
      <c r="K8" s="80" t="s">
        <v>1053</v>
      </c>
      <c r="L8" s="68">
        <v>2386.0</v>
      </c>
      <c r="M8" s="67" t="s">
        <v>1054</v>
      </c>
      <c r="N8" s="68"/>
      <c r="O8" s="68"/>
      <c r="P8" s="68" t="s">
        <v>1055</v>
      </c>
      <c r="Q8" s="68" t="s">
        <v>1056</v>
      </c>
      <c r="R8" s="68" t="s">
        <v>1057</v>
      </c>
      <c r="S8" s="68"/>
      <c r="T8" s="68" t="s">
        <v>1058</v>
      </c>
      <c r="U8" s="68" t="s">
        <v>1059</v>
      </c>
      <c r="V8" s="68" t="s">
        <v>1060</v>
      </c>
      <c r="W8" s="68" t="s">
        <v>1061</v>
      </c>
      <c r="X8" s="68"/>
      <c r="Y8" s="68"/>
      <c r="Z8" s="131"/>
      <c r="AA8" s="131"/>
      <c r="AB8" s="131"/>
      <c r="AC8" s="131"/>
      <c r="AD8" s="131"/>
      <c r="AE8" s="131"/>
      <c r="AF8" s="131"/>
      <c r="AG8" s="131"/>
      <c r="AH8" s="131"/>
      <c r="AI8" s="131"/>
    </row>
    <row r="9" ht="14.25" customHeight="1">
      <c r="A9" s="68">
        <v>5.0</v>
      </c>
      <c r="B9" s="68" t="s">
        <v>1062</v>
      </c>
      <c r="C9" s="68" t="s">
        <v>1063</v>
      </c>
      <c r="D9" s="68" t="s">
        <v>1064</v>
      </c>
      <c r="E9" s="68" t="s">
        <v>1036</v>
      </c>
      <c r="F9" s="68" t="s">
        <v>1065</v>
      </c>
      <c r="G9" s="68" t="s">
        <v>1026</v>
      </c>
      <c r="H9" s="68"/>
      <c r="I9" s="68" t="s">
        <v>1066</v>
      </c>
      <c r="J9" s="68" t="s">
        <v>1067</v>
      </c>
      <c r="K9" s="68">
        <v>8.7721833075E10</v>
      </c>
      <c r="L9" s="68">
        <v>2473.0</v>
      </c>
      <c r="M9" s="68"/>
      <c r="N9" s="68"/>
      <c r="O9" s="68"/>
      <c r="P9" s="68" t="s">
        <v>1068</v>
      </c>
      <c r="Q9" s="68" t="s">
        <v>1069</v>
      </c>
      <c r="R9" s="68" t="s">
        <v>1070</v>
      </c>
      <c r="S9" s="68" t="s">
        <v>1071</v>
      </c>
      <c r="T9" s="68" t="s">
        <v>1072</v>
      </c>
      <c r="U9" s="68" t="s">
        <v>1073</v>
      </c>
      <c r="V9" s="68" t="s">
        <v>1074</v>
      </c>
      <c r="W9" s="68"/>
      <c r="X9" s="68"/>
      <c r="Y9" s="68"/>
      <c r="Z9" s="130"/>
      <c r="AA9" s="130"/>
      <c r="AB9" s="130"/>
      <c r="AC9" s="130"/>
      <c r="AD9" s="130"/>
      <c r="AE9" s="130"/>
      <c r="AF9" s="130"/>
      <c r="AG9" s="130"/>
      <c r="AH9" s="130"/>
      <c r="AI9" s="130"/>
    </row>
    <row r="10" ht="14.25" customHeight="1">
      <c r="A10" s="68">
        <v>6.0</v>
      </c>
      <c r="B10" s="68" t="s">
        <v>1075</v>
      </c>
      <c r="C10" s="68" t="s">
        <v>1076</v>
      </c>
      <c r="D10" s="68" t="s">
        <v>1077</v>
      </c>
      <c r="E10" s="68" t="s">
        <v>1078</v>
      </c>
      <c r="F10" s="67" t="s">
        <v>1079</v>
      </c>
      <c r="G10" s="68" t="s">
        <v>1026</v>
      </c>
      <c r="H10" s="68"/>
      <c r="I10" s="68" t="s">
        <v>72</v>
      </c>
      <c r="J10" s="68" t="s">
        <v>1080</v>
      </c>
      <c r="K10" s="68">
        <v>8.2123924376E10</v>
      </c>
      <c r="L10" s="68">
        <v>1104.0</v>
      </c>
      <c r="M10" s="68"/>
      <c r="N10" s="68"/>
      <c r="O10" s="68"/>
      <c r="P10" s="68"/>
      <c r="Q10" s="67" t="s">
        <v>1081</v>
      </c>
      <c r="R10" s="68" t="s">
        <v>1082</v>
      </c>
      <c r="S10" s="68" t="s">
        <v>1083</v>
      </c>
      <c r="T10" s="68"/>
      <c r="U10" s="68"/>
      <c r="V10" s="68"/>
      <c r="W10" s="68"/>
      <c r="X10" s="68"/>
      <c r="Y10" s="68"/>
      <c r="Z10" s="131"/>
      <c r="AA10" s="131"/>
      <c r="AB10" s="131"/>
      <c r="AC10" s="131"/>
      <c r="AD10" s="131"/>
      <c r="AE10" s="131"/>
      <c r="AF10" s="131"/>
      <c r="AG10" s="131"/>
      <c r="AH10" s="131"/>
      <c r="AI10" s="131"/>
    </row>
    <row r="11" ht="14.25" customHeight="1">
      <c r="A11" s="68"/>
      <c r="B11" s="68"/>
      <c r="C11" s="69"/>
      <c r="D11" s="68"/>
      <c r="E11" s="68"/>
      <c r="F11" s="67"/>
      <c r="G11" s="68"/>
      <c r="H11" s="68"/>
      <c r="I11" s="68"/>
      <c r="J11" s="68"/>
      <c r="K11" s="68"/>
      <c r="L11" s="68"/>
      <c r="M11" s="68"/>
      <c r="N11" s="68"/>
      <c r="O11" s="68"/>
      <c r="P11" s="68"/>
      <c r="Q11" s="68"/>
      <c r="R11" s="68"/>
      <c r="S11" s="68"/>
      <c r="T11" s="68"/>
      <c r="U11" s="68"/>
      <c r="V11" s="68"/>
      <c r="W11" s="68"/>
      <c r="X11" s="68"/>
      <c r="Y11" s="68"/>
      <c r="Z11" s="130"/>
      <c r="AA11" s="130"/>
      <c r="AB11" s="130"/>
      <c r="AC11" s="130"/>
      <c r="AD11" s="130"/>
      <c r="AE11" s="130"/>
      <c r="AF11" s="130"/>
      <c r="AG11" s="130"/>
      <c r="AH11" s="130"/>
      <c r="AI11" s="130"/>
    </row>
    <row r="12" ht="14.25" customHeight="1">
      <c r="A12" s="68">
        <v>7.0</v>
      </c>
      <c r="B12" s="68"/>
      <c r="C12" s="68"/>
      <c r="D12" s="68"/>
      <c r="E12" s="68"/>
      <c r="F12" s="68"/>
      <c r="G12" s="68"/>
      <c r="H12" s="68"/>
      <c r="I12" s="68"/>
      <c r="J12" s="68"/>
      <c r="K12" s="68"/>
      <c r="L12" s="68"/>
      <c r="M12" s="68"/>
      <c r="N12" s="68"/>
      <c r="O12" s="68"/>
      <c r="P12" s="68"/>
      <c r="Q12" s="68"/>
      <c r="R12" s="68"/>
      <c r="S12" s="68"/>
      <c r="T12" s="68"/>
      <c r="U12" s="68"/>
      <c r="V12" s="68"/>
      <c r="W12" s="68"/>
      <c r="X12" s="68"/>
      <c r="Y12" s="68"/>
      <c r="Z12" s="131"/>
      <c r="AA12" s="131"/>
      <c r="AB12" s="131"/>
      <c r="AC12" s="131"/>
      <c r="AD12" s="131"/>
      <c r="AE12" s="131"/>
      <c r="AF12" s="131"/>
      <c r="AG12" s="131"/>
      <c r="AH12" s="131"/>
      <c r="AI12" s="131"/>
    </row>
    <row r="13" ht="14.25" customHeight="1">
      <c r="A13" s="68">
        <v>8.0</v>
      </c>
      <c r="B13" s="68"/>
      <c r="C13" s="68"/>
      <c r="D13" s="68"/>
      <c r="E13" s="68"/>
      <c r="F13" s="68"/>
      <c r="G13" s="68"/>
      <c r="H13" s="68"/>
      <c r="I13" s="68"/>
      <c r="J13" s="68"/>
      <c r="K13" s="68"/>
      <c r="L13" s="68"/>
      <c r="M13" s="68"/>
      <c r="N13" s="68"/>
      <c r="O13" s="68"/>
      <c r="P13" s="68"/>
      <c r="Q13" s="68"/>
      <c r="R13" s="68"/>
      <c r="S13" s="68"/>
      <c r="T13" s="68"/>
      <c r="U13" s="68"/>
      <c r="V13" s="68"/>
      <c r="W13" s="68"/>
      <c r="X13" s="68"/>
      <c r="Y13" s="68"/>
      <c r="Z13" s="130"/>
      <c r="AA13" s="130"/>
      <c r="AB13" s="130"/>
      <c r="AC13" s="130"/>
      <c r="AD13" s="130"/>
      <c r="AE13" s="130"/>
      <c r="AF13" s="130"/>
      <c r="AG13" s="130"/>
      <c r="AH13" s="130"/>
      <c r="AI13" s="130"/>
    </row>
    <row r="14" ht="14.25" customHeight="1">
      <c r="A14" s="68">
        <v>9.0</v>
      </c>
      <c r="B14" s="68"/>
      <c r="C14" s="68"/>
      <c r="D14" s="68"/>
      <c r="E14" s="68"/>
      <c r="F14" s="68"/>
      <c r="G14" s="68"/>
      <c r="H14" s="68"/>
      <c r="I14" s="68"/>
      <c r="J14" s="68"/>
      <c r="K14" s="68"/>
      <c r="L14" s="68"/>
      <c r="M14" s="68"/>
      <c r="N14" s="68"/>
      <c r="O14" s="68"/>
      <c r="P14" s="68"/>
      <c r="Q14" s="68"/>
      <c r="R14" s="68"/>
      <c r="S14" s="68"/>
      <c r="T14" s="68"/>
      <c r="U14" s="68"/>
      <c r="V14" s="68"/>
      <c r="W14" s="68"/>
      <c r="X14" s="68"/>
      <c r="Y14" s="68"/>
      <c r="Z14" s="131"/>
      <c r="AA14" s="131"/>
      <c r="AB14" s="131"/>
      <c r="AC14" s="131"/>
      <c r="AD14" s="131"/>
      <c r="AE14" s="131"/>
      <c r="AF14" s="131"/>
      <c r="AG14" s="131"/>
      <c r="AH14" s="131"/>
      <c r="AI14" s="131"/>
    </row>
    <row r="15" ht="14.25" customHeight="1">
      <c r="A15" s="68">
        <v>10.0</v>
      </c>
      <c r="B15" s="68"/>
      <c r="C15" s="68"/>
      <c r="D15" s="68"/>
      <c r="E15" s="68"/>
      <c r="F15" s="68"/>
      <c r="G15" s="68"/>
      <c r="H15" s="68"/>
      <c r="I15" s="68"/>
      <c r="J15" s="68"/>
      <c r="K15" s="68"/>
      <c r="L15" s="68"/>
      <c r="M15" s="68"/>
      <c r="N15" s="68"/>
      <c r="O15" s="68"/>
      <c r="P15" s="68"/>
      <c r="Q15" s="68"/>
      <c r="R15" s="68"/>
      <c r="S15" s="68"/>
      <c r="T15" s="68"/>
      <c r="U15" s="68"/>
      <c r="V15" s="68"/>
      <c r="W15" s="68"/>
      <c r="X15" s="68"/>
      <c r="Y15" s="68"/>
      <c r="Z15" s="130"/>
      <c r="AA15" s="130"/>
      <c r="AB15" s="130"/>
      <c r="AC15" s="130"/>
      <c r="AD15" s="130"/>
      <c r="AE15" s="130"/>
      <c r="AF15" s="130"/>
      <c r="AG15" s="130"/>
      <c r="AH15" s="130"/>
      <c r="AI15" s="130"/>
    </row>
    <row r="16" ht="14.25" customHeight="1">
      <c r="Z16" s="26"/>
      <c r="AA16" s="26"/>
      <c r="AB16" s="26"/>
      <c r="AC16" s="26"/>
      <c r="AD16" s="26"/>
      <c r="AE16" s="26"/>
      <c r="AF16" s="26"/>
      <c r="AG16" s="26"/>
      <c r="AH16" s="26"/>
      <c r="AI16" s="26"/>
    </row>
    <row r="17" ht="14.25" customHeight="1">
      <c r="Z17" s="25"/>
      <c r="AA17" s="25"/>
      <c r="AB17" s="25"/>
      <c r="AC17" s="25"/>
      <c r="AD17" s="25"/>
      <c r="AE17" s="25"/>
      <c r="AF17" s="25"/>
      <c r="AG17" s="25"/>
      <c r="AH17" s="25"/>
      <c r="AI17" s="25"/>
    </row>
    <row r="18" ht="14.25" customHeight="1">
      <c r="Z18" s="26"/>
      <c r="AA18" s="26"/>
      <c r="AB18" s="26"/>
      <c r="AC18" s="26"/>
      <c r="AD18" s="26"/>
      <c r="AE18" s="26"/>
      <c r="AF18" s="26"/>
      <c r="AG18" s="26"/>
      <c r="AH18" s="26"/>
      <c r="AI18" s="26"/>
    </row>
    <row r="19" ht="14.25" customHeight="1">
      <c r="Z19" s="25"/>
      <c r="AA19" s="25"/>
      <c r="AB19" s="25"/>
      <c r="AC19" s="25"/>
      <c r="AD19" s="25"/>
      <c r="AE19" s="25"/>
      <c r="AF19" s="25"/>
      <c r="AG19" s="25"/>
      <c r="AH19" s="25"/>
      <c r="AI19" s="25"/>
    </row>
    <row r="20" ht="14.25" customHeight="1">
      <c r="Z20" s="26"/>
      <c r="AA20" s="26"/>
      <c r="AB20" s="26"/>
      <c r="AC20" s="26"/>
      <c r="AD20" s="26"/>
      <c r="AE20" s="26"/>
      <c r="AF20" s="26"/>
      <c r="AG20" s="26"/>
      <c r="AH20" s="26"/>
      <c r="AI20" s="26"/>
    </row>
    <row r="21" ht="14.25" customHeight="1">
      <c r="Z21" s="25"/>
      <c r="AA21" s="25"/>
      <c r="AB21" s="25"/>
      <c r="AC21" s="25"/>
      <c r="AD21" s="25"/>
      <c r="AE21" s="25"/>
      <c r="AF21" s="25"/>
      <c r="AG21" s="25"/>
      <c r="AH21" s="25"/>
      <c r="AI21" s="25"/>
    </row>
    <row r="22" ht="14.25" customHeight="1">
      <c r="C22" s="62" t="s">
        <v>216</v>
      </c>
      <c r="D22" s="62">
        <v>4.0</v>
      </c>
      <c r="Z22" s="26"/>
      <c r="AA22" s="26"/>
      <c r="AB22" s="26"/>
      <c r="AC22" s="26"/>
      <c r="AD22" s="26"/>
      <c r="AE22" s="26"/>
      <c r="AF22" s="26"/>
      <c r="AG22" s="26"/>
      <c r="AH22" s="26"/>
      <c r="AI22" s="26"/>
    </row>
    <row r="23" ht="14.25" customHeight="1">
      <c r="C23" s="62" t="s">
        <v>217</v>
      </c>
      <c r="D23" s="62">
        <v>2.0</v>
      </c>
      <c r="Z23" s="25"/>
      <c r="AA23" s="25"/>
      <c r="AB23" s="25"/>
      <c r="AC23" s="25"/>
      <c r="AD23" s="25"/>
      <c r="AE23" s="25"/>
      <c r="AF23" s="25"/>
      <c r="AG23" s="25"/>
      <c r="AH23" s="25"/>
      <c r="AI23" s="25"/>
    </row>
    <row r="24" ht="14.25" customHeight="1">
      <c r="Z24" s="62"/>
      <c r="AA24" s="62"/>
      <c r="AB24" s="62"/>
      <c r="AC24" s="62"/>
      <c r="AD24" s="62"/>
      <c r="AE24" s="62"/>
      <c r="AF24" s="62"/>
      <c r="AG24" s="62"/>
      <c r="AH24" s="62"/>
      <c r="AI24" s="62"/>
    </row>
    <row r="25" ht="14.25" customHeight="1">
      <c r="Z25" s="62"/>
      <c r="AA25" s="62"/>
      <c r="AB25" s="62"/>
      <c r="AC25" s="62"/>
      <c r="AD25" s="62"/>
      <c r="AE25" s="62"/>
      <c r="AF25" s="62"/>
      <c r="AG25" s="62"/>
      <c r="AH25" s="62"/>
      <c r="AI25" s="62"/>
    </row>
    <row r="26" ht="14.25" customHeight="1">
      <c r="Z26" s="62"/>
      <c r="AA26" s="62"/>
      <c r="AB26" s="62"/>
      <c r="AC26" s="62"/>
      <c r="AD26" s="62"/>
      <c r="AE26" s="62"/>
      <c r="AF26" s="62"/>
      <c r="AG26" s="62"/>
      <c r="AH26" s="62"/>
      <c r="AI26" s="62"/>
    </row>
    <row r="27" ht="14.25" customHeight="1">
      <c r="Z27" s="62"/>
      <c r="AA27" s="62"/>
      <c r="AB27" s="62"/>
      <c r="AC27" s="62"/>
      <c r="AD27" s="62"/>
      <c r="AE27" s="62"/>
      <c r="AF27" s="62"/>
      <c r="AG27" s="62"/>
      <c r="AH27" s="62"/>
      <c r="AI27" s="62"/>
    </row>
    <row r="28" ht="14.25" customHeight="1">
      <c r="Z28" s="62"/>
      <c r="AA28" s="62"/>
      <c r="AB28" s="62"/>
      <c r="AC28" s="62"/>
      <c r="AD28" s="62"/>
      <c r="AE28" s="62"/>
      <c r="AF28" s="62"/>
      <c r="AG28" s="62"/>
      <c r="AH28" s="62"/>
      <c r="AI28" s="62"/>
    </row>
    <row r="29" ht="14.25" customHeight="1">
      <c r="Z29" s="62"/>
      <c r="AA29" s="62"/>
      <c r="AB29" s="62"/>
      <c r="AC29" s="62"/>
      <c r="AD29" s="62"/>
      <c r="AE29" s="62"/>
      <c r="AF29" s="62"/>
      <c r="AG29" s="62"/>
      <c r="AH29" s="62"/>
      <c r="AI29" s="62"/>
    </row>
    <row r="30" ht="14.25" customHeight="1">
      <c r="Z30" s="62"/>
      <c r="AA30" s="62"/>
      <c r="AB30" s="62"/>
      <c r="AC30" s="62"/>
      <c r="AD30" s="62"/>
      <c r="AE30" s="62"/>
      <c r="AF30" s="62"/>
      <c r="AG30" s="62"/>
      <c r="AH30" s="62"/>
      <c r="AI30" s="62"/>
    </row>
    <row r="31" ht="14.25" customHeight="1">
      <c r="Z31" s="62"/>
      <c r="AA31" s="62"/>
      <c r="AB31" s="62"/>
      <c r="AC31" s="62"/>
      <c r="AD31" s="62"/>
      <c r="AE31" s="62"/>
      <c r="AF31" s="62"/>
      <c r="AG31" s="62"/>
      <c r="AH31" s="62"/>
      <c r="AI31" s="62"/>
    </row>
    <row r="32" ht="14.25" customHeight="1">
      <c r="Z32" s="62"/>
      <c r="AA32" s="62"/>
      <c r="AB32" s="62"/>
      <c r="AC32" s="62"/>
      <c r="AD32" s="62"/>
      <c r="AE32" s="62"/>
      <c r="AF32" s="62"/>
      <c r="AG32" s="62"/>
      <c r="AH32" s="62"/>
      <c r="AI32" s="62"/>
    </row>
    <row r="33" ht="14.25" customHeight="1">
      <c r="Z33" s="62"/>
      <c r="AA33" s="62"/>
      <c r="AB33" s="62"/>
      <c r="AC33" s="62"/>
      <c r="AD33" s="62"/>
      <c r="AE33" s="62"/>
      <c r="AF33" s="62"/>
      <c r="AG33" s="62"/>
      <c r="AH33" s="62"/>
      <c r="AI33" s="62"/>
    </row>
    <row r="34" ht="14.25" customHeight="1">
      <c r="Z34" s="62"/>
      <c r="AA34" s="62"/>
      <c r="AB34" s="62"/>
      <c r="AC34" s="62"/>
      <c r="AD34" s="62"/>
      <c r="AE34" s="62"/>
      <c r="AF34" s="62"/>
      <c r="AG34" s="62"/>
      <c r="AH34" s="62"/>
      <c r="AI34" s="62"/>
    </row>
    <row r="35" ht="14.25" customHeight="1">
      <c r="Z35" s="62"/>
      <c r="AA35" s="62"/>
      <c r="AB35" s="62"/>
      <c r="AC35" s="62"/>
      <c r="AD35" s="62"/>
      <c r="AE35" s="62"/>
      <c r="AF35" s="62"/>
      <c r="AG35" s="62"/>
      <c r="AH35" s="62"/>
      <c r="AI35" s="62"/>
    </row>
    <row r="36" ht="14.25" customHeight="1">
      <c r="Z36" s="62"/>
      <c r="AA36" s="62"/>
      <c r="AB36" s="62"/>
      <c r="AC36" s="62"/>
      <c r="AD36" s="62"/>
      <c r="AE36" s="62"/>
      <c r="AF36" s="62"/>
      <c r="AG36" s="62"/>
      <c r="AH36" s="62"/>
      <c r="AI36" s="62"/>
    </row>
    <row r="37" ht="14.25" customHeight="1">
      <c r="Z37" s="62"/>
      <c r="AA37" s="62"/>
      <c r="AB37" s="62"/>
      <c r="AC37" s="62"/>
      <c r="AD37" s="62"/>
      <c r="AE37" s="62"/>
      <c r="AF37" s="62"/>
      <c r="AG37" s="62"/>
      <c r="AH37" s="62"/>
      <c r="AI37" s="62"/>
    </row>
    <row r="38" ht="14.25" customHeight="1">
      <c r="Z38" s="62"/>
      <c r="AA38" s="62"/>
      <c r="AB38" s="62"/>
      <c r="AC38" s="62"/>
      <c r="AD38" s="62"/>
      <c r="AE38" s="62"/>
      <c r="AF38" s="62"/>
      <c r="AG38" s="62"/>
      <c r="AH38" s="62"/>
      <c r="AI38" s="62"/>
    </row>
    <row r="39" ht="14.25" customHeight="1">
      <c r="Z39" s="62"/>
      <c r="AA39" s="62"/>
      <c r="AB39" s="62"/>
      <c r="AC39" s="62"/>
      <c r="AD39" s="62"/>
      <c r="AE39" s="62"/>
      <c r="AF39" s="62"/>
      <c r="AG39" s="62"/>
      <c r="AH39" s="62"/>
      <c r="AI39" s="62"/>
    </row>
    <row r="40" ht="14.25" customHeight="1">
      <c r="Z40" s="62"/>
      <c r="AA40" s="62"/>
      <c r="AB40" s="62"/>
      <c r="AC40" s="62"/>
      <c r="AD40" s="62"/>
      <c r="AE40" s="62"/>
      <c r="AF40" s="62"/>
      <c r="AG40" s="62"/>
      <c r="AH40" s="62"/>
      <c r="AI40" s="62"/>
    </row>
    <row r="41" ht="14.25" customHeight="1">
      <c r="Z41" s="62"/>
      <c r="AA41" s="62"/>
      <c r="AB41" s="62"/>
      <c r="AC41" s="62"/>
      <c r="AD41" s="62"/>
      <c r="AE41" s="62"/>
      <c r="AF41" s="62"/>
      <c r="AG41" s="62"/>
      <c r="AH41" s="62"/>
      <c r="AI41" s="62"/>
    </row>
    <row r="42" ht="14.25" customHeight="1">
      <c r="Z42" s="62"/>
      <c r="AA42" s="62"/>
      <c r="AB42" s="62"/>
      <c r="AC42" s="62"/>
      <c r="AD42" s="62"/>
      <c r="AE42" s="62"/>
      <c r="AF42" s="62"/>
      <c r="AG42" s="62"/>
      <c r="AH42" s="62"/>
      <c r="AI42" s="62"/>
    </row>
    <row r="43" ht="14.25" customHeight="1">
      <c r="Z43" s="62"/>
      <c r="AA43" s="62"/>
      <c r="AB43" s="62"/>
      <c r="AC43" s="62"/>
      <c r="AD43" s="62"/>
      <c r="AE43" s="62"/>
      <c r="AF43" s="62"/>
      <c r="AG43" s="62"/>
      <c r="AH43" s="62"/>
      <c r="AI43" s="62"/>
    </row>
    <row r="44" ht="14.25" customHeight="1">
      <c r="Z44" s="62"/>
      <c r="AA44" s="62"/>
      <c r="AB44" s="62"/>
      <c r="AC44" s="62"/>
      <c r="AD44" s="62"/>
      <c r="AE44" s="62"/>
      <c r="AF44" s="62"/>
      <c r="AG44" s="62"/>
      <c r="AH44" s="62"/>
      <c r="AI44" s="62"/>
    </row>
    <row r="45" ht="14.25" customHeight="1">
      <c r="Z45" s="62"/>
      <c r="AA45" s="62"/>
      <c r="AB45" s="62"/>
      <c r="AC45" s="62"/>
      <c r="AD45" s="62"/>
      <c r="AE45" s="62"/>
      <c r="AF45" s="62"/>
      <c r="AG45" s="62"/>
      <c r="AH45" s="62"/>
      <c r="AI45" s="62"/>
    </row>
    <row r="46" ht="14.25" customHeight="1">
      <c r="Z46" s="62"/>
      <c r="AA46" s="62"/>
      <c r="AB46" s="62"/>
      <c r="AC46" s="62"/>
      <c r="AD46" s="62"/>
      <c r="AE46" s="62"/>
      <c r="AF46" s="62"/>
      <c r="AG46" s="62"/>
      <c r="AH46" s="62"/>
      <c r="AI46" s="62"/>
    </row>
    <row r="47" ht="14.25" customHeight="1">
      <c r="Z47" s="62"/>
      <c r="AA47" s="62"/>
      <c r="AB47" s="62"/>
      <c r="AC47" s="62"/>
      <c r="AD47" s="62"/>
      <c r="AE47" s="62"/>
      <c r="AF47" s="62"/>
      <c r="AG47" s="62"/>
      <c r="AH47" s="62"/>
      <c r="AI47" s="62"/>
    </row>
    <row r="48" ht="14.25" customHeight="1">
      <c r="Z48" s="62"/>
      <c r="AA48" s="62"/>
      <c r="AB48" s="62"/>
      <c r="AC48" s="62"/>
      <c r="AD48" s="62"/>
      <c r="AE48" s="62"/>
      <c r="AF48" s="62"/>
      <c r="AG48" s="62"/>
      <c r="AH48" s="62"/>
      <c r="AI48" s="62"/>
    </row>
    <row r="49" ht="14.25" customHeight="1">
      <c r="Z49" s="62"/>
      <c r="AA49" s="62"/>
      <c r="AB49" s="62"/>
      <c r="AC49" s="62"/>
      <c r="AD49" s="62"/>
      <c r="AE49" s="62"/>
      <c r="AF49" s="62"/>
      <c r="AG49" s="62"/>
      <c r="AH49" s="62"/>
      <c r="AI49" s="62"/>
    </row>
    <row r="50" ht="14.25" customHeight="1">
      <c r="Z50" s="62"/>
      <c r="AA50" s="62"/>
      <c r="AB50" s="62"/>
      <c r="AC50" s="62"/>
      <c r="AD50" s="62"/>
      <c r="AE50" s="62"/>
      <c r="AF50" s="62"/>
      <c r="AG50" s="62"/>
      <c r="AH50" s="62"/>
      <c r="AI50" s="62"/>
    </row>
    <row r="51" ht="14.25" customHeight="1">
      <c r="Z51" s="62"/>
      <c r="AA51" s="62"/>
      <c r="AB51" s="62"/>
      <c r="AC51" s="62"/>
      <c r="AD51" s="62"/>
      <c r="AE51" s="62"/>
      <c r="AF51" s="62"/>
      <c r="AG51" s="62"/>
      <c r="AH51" s="62"/>
      <c r="AI51" s="62"/>
    </row>
    <row r="52" ht="14.25" customHeight="1">
      <c r="Z52" s="62"/>
      <c r="AA52" s="62"/>
      <c r="AB52" s="62"/>
      <c r="AC52" s="62"/>
      <c r="AD52" s="62"/>
      <c r="AE52" s="62"/>
      <c r="AF52" s="62"/>
      <c r="AG52" s="62"/>
      <c r="AH52" s="62"/>
      <c r="AI52" s="62"/>
    </row>
    <row r="53" ht="14.25" customHeight="1">
      <c r="Z53" s="62"/>
      <c r="AA53" s="62"/>
      <c r="AB53" s="62"/>
      <c r="AC53" s="62"/>
      <c r="AD53" s="62"/>
      <c r="AE53" s="62"/>
      <c r="AF53" s="62"/>
      <c r="AG53" s="62"/>
      <c r="AH53" s="62"/>
      <c r="AI53" s="62"/>
    </row>
    <row r="54" ht="14.25" customHeight="1">
      <c r="Z54" s="62"/>
      <c r="AA54" s="62"/>
      <c r="AB54" s="62"/>
      <c r="AC54" s="62"/>
      <c r="AD54" s="62"/>
      <c r="AE54" s="62"/>
      <c r="AF54" s="62"/>
      <c r="AG54" s="62"/>
      <c r="AH54" s="62"/>
      <c r="AI54" s="62"/>
    </row>
    <row r="55" ht="14.25" customHeight="1">
      <c r="Z55" s="62"/>
      <c r="AA55" s="62"/>
      <c r="AB55" s="62"/>
      <c r="AC55" s="62"/>
      <c r="AD55" s="62"/>
      <c r="AE55" s="62"/>
      <c r="AF55" s="62"/>
      <c r="AG55" s="62"/>
      <c r="AH55" s="62"/>
      <c r="AI55" s="62"/>
    </row>
    <row r="56" ht="14.25" customHeight="1">
      <c r="Z56" s="62"/>
      <c r="AA56" s="62"/>
      <c r="AB56" s="62"/>
      <c r="AC56" s="62"/>
      <c r="AD56" s="62"/>
      <c r="AE56" s="62"/>
      <c r="AF56" s="62"/>
      <c r="AG56" s="62"/>
      <c r="AH56" s="62"/>
      <c r="AI56" s="62"/>
    </row>
    <row r="57" ht="14.25" customHeight="1">
      <c r="Z57" s="62"/>
      <c r="AA57" s="62"/>
      <c r="AB57" s="62"/>
      <c r="AC57" s="62"/>
      <c r="AD57" s="62"/>
      <c r="AE57" s="62"/>
      <c r="AF57" s="62"/>
      <c r="AG57" s="62"/>
      <c r="AH57" s="62"/>
      <c r="AI57" s="62"/>
    </row>
    <row r="58" ht="14.25" customHeight="1">
      <c r="Z58" s="62"/>
      <c r="AA58" s="62"/>
      <c r="AB58" s="62"/>
      <c r="AC58" s="62"/>
      <c r="AD58" s="62"/>
      <c r="AE58" s="62"/>
      <c r="AF58" s="62"/>
      <c r="AG58" s="62"/>
      <c r="AH58" s="62"/>
      <c r="AI58" s="62"/>
    </row>
    <row r="59" ht="14.25" customHeight="1">
      <c r="Z59" s="62"/>
      <c r="AA59" s="62"/>
      <c r="AB59" s="62"/>
      <c r="AC59" s="62"/>
      <c r="AD59" s="62"/>
      <c r="AE59" s="62"/>
      <c r="AF59" s="62"/>
      <c r="AG59" s="62"/>
      <c r="AH59" s="62"/>
      <c r="AI59" s="62"/>
    </row>
    <row r="60" ht="14.25" customHeight="1">
      <c r="Z60" s="62"/>
      <c r="AA60" s="62"/>
      <c r="AB60" s="62"/>
      <c r="AC60" s="62"/>
      <c r="AD60" s="62"/>
      <c r="AE60" s="62"/>
      <c r="AF60" s="62"/>
      <c r="AG60" s="62"/>
      <c r="AH60" s="62"/>
      <c r="AI60" s="62"/>
    </row>
    <row r="61" ht="14.25" customHeight="1">
      <c r="Z61" s="62"/>
      <c r="AA61" s="62"/>
      <c r="AB61" s="62"/>
      <c r="AC61" s="62"/>
      <c r="AD61" s="62"/>
      <c r="AE61" s="62"/>
      <c r="AF61" s="62"/>
      <c r="AG61" s="62"/>
      <c r="AH61" s="62"/>
      <c r="AI61" s="62"/>
    </row>
    <row r="62" ht="14.25" customHeight="1">
      <c r="Z62" s="62"/>
      <c r="AA62" s="62"/>
      <c r="AB62" s="62"/>
      <c r="AC62" s="62"/>
      <c r="AD62" s="62"/>
      <c r="AE62" s="62"/>
      <c r="AF62" s="62"/>
      <c r="AG62" s="62"/>
      <c r="AH62" s="62"/>
      <c r="AI62" s="62"/>
    </row>
    <row r="63" ht="14.25" customHeight="1">
      <c r="Z63" s="62"/>
      <c r="AA63" s="62"/>
      <c r="AB63" s="62"/>
      <c r="AC63" s="62"/>
      <c r="AD63" s="62"/>
      <c r="AE63" s="62"/>
      <c r="AF63" s="62"/>
      <c r="AG63" s="62"/>
      <c r="AH63" s="62"/>
      <c r="AI63" s="62"/>
    </row>
    <row r="64" ht="14.25" customHeight="1">
      <c r="Z64" s="62"/>
      <c r="AA64" s="62"/>
      <c r="AB64" s="62"/>
      <c r="AC64" s="62"/>
      <c r="AD64" s="62"/>
      <c r="AE64" s="62"/>
      <c r="AF64" s="62"/>
      <c r="AG64" s="62"/>
      <c r="AH64" s="62"/>
      <c r="AI64" s="62"/>
    </row>
    <row r="65" ht="14.25" customHeight="1">
      <c r="Z65" s="62"/>
      <c r="AA65" s="62"/>
      <c r="AB65" s="62"/>
      <c r="AC65" s="62"/>
      <c r="AD65" s="62"/>
      <c r="AE65" s="62"/>
      <c r="AF65" s="62"/>
      <c r="AG65" s="62"/>
      <c r="AH65" s="62"/>
      <c r="AI65" s="62"/>
    </row>
    <row r="66" ht="14.25" customHeight="1">
      <c r="Z66" s="62"/>
      <c r="AA66" s="62"/>
      <c r="AB66" s="62"/>
      <c r="AC66" s="62"/>
      <c r="AD66" s="62"/>
      <c r="AE66" s="62"/>
      <c r="AF66" s="62"/>
      <c r="AG66" s="62"/>
      <c r="AH66" s="62"/>
      <c r="AI66" s="62"/>
    </row>
    <row r="67" ht="14.25" customHeight="1">
      <c r="Z67" s="62"/>
      <c r="AA67" s="62"/>
      <c r="AB67" s="62"/>
      <c r="AC67" s="62"/>
      <c r="AD67" s="62"/>
      <c r="AE67" s="62"/>
      <c r="AF67" s="62"/>
      <c r="AG67" s="62"/>
      <c r="AH67" s="62"/>
      <c r="AI67" s="62"/>
    </row>
    <row r="68" ht="14.25" customHeight="1">
      <c r="Z68" s="62"/>
      <c r="AA68" s="62"/>
      <c r="AB68" s="62"/>
      <c r="AC68" s="62"/>
      <c r="AD68" s="62"/>
      <c r="AE68" s="62"/>
      <c r="AF68" s="62"/>
      <c r="AG68" s="62"/>
      <c r="AH68" s="62"/>
      <c r="AI68" s="62"/>
    </row>
    <row r="69" ht="14.25" customHeight="1">
      <c r="Z69" s="62"/>
      <c r="AA69" s="62"/>
      <c r="AB69" s="62"/>
      <c r="AC69" s="62"/>
      <c r="AD69" s="62"/>
      <c r="AE69" s="62"/>
      <c r="AF69" s="62"/>
      <c r="AG69" s="62"/>
      <c r="AH69" s="62"/>
      <c r="AI69" s="62"/>
    </row>
    <row r="70" ht="14.25" customHeight="1">
      <c r="Z70" s="62"/>
      <c r="AA70" s="62"/>
      <c r="AB70" s="62"/>
      <c r="AC70" s="62"/>
      <c r="AD70" s="62"/>
      <c r="AE70" s="62"/>
      <c r="AF70" s="62"/>
      <c r="AG70" s="62"/>
      <c r="AH70" s="62"/>
      <c r="AI70" s="62"/>
    </row>
    <row r="71" ht="14.25" customHeight="1">
      <c r="Z71" s="62"/>
      <c r="AA71" s="62"/>
      <c r="AB71" s="62"/>
      <c r="AC71" s="62"/>
      <c r="AD71" s="62"/>
      <c r="AE71" s="62"/>
      <c r="AF71" s="62"/>
      <c r="AG71" s="62"/>
      <c r="AH71" s="62"/>
      <c r="AI71" s="62"/>
    </row>
    <row r="72" ht="14.25" customHeight="1">
      <c r="Z72" s="62"/>
      <c r="AA72" s="62"/>
      <c r="AB72" s="62"/>
      <c r="AC72" s="62"/>
      <c r="AD72" s="62"/>
      <c r="AE72" s="62"/>
      <c r="AF72" s="62"/>
      <c r="AG72" s="62"/>
      <c r="AH72" s="62"/>
      <c r="AI72" s="62"/>
    </row>
    <row r="73" ht="14.25" customHeight="1">
      <c r="Z73" s="62"/>
      <c r="AA73" s="62"/>
      <c r="AB73" s="62"/>
      <c r="AC73" s="62"/>
      <c r="AD73" s="62"/>
      <c r="AE73" s="62"/>
      <c r="AF73" s="62"/>
      <c r="AG73" s="62"/>
      <c r="AH73" s="62"/>
      <c r="AI73" s="62"/>
    </row>
    <row r="74" ht="14.25" customHeight="1">
      <c r="Z74" s="62"/>
      <c r="AA74" s="62"/>
      <c r="AB74" s="62"/>
      <c r="AC74" s="62"/>
      <c r="AD74" s="62"/>
      <c r="AE74" s="62"/>
      <c r="AF74" s="62"/>
      <c r="AG74" s="62"/>
      <c r="AH74" s="62"/>
      <c r="AI74" s="62"/>
    </row>
    <row r="75" ht="14.25" customHeight="1">
      <c r="Z75" s="62"/>
      <c r="AA75" s="62"/>
      <c r="AB75" s="62"/>
      <c r="AC75" s="62"/>
      <c r="AD75" s="62"/>
      <c r="AE75" s="62"/>
      <c r="AF75" s="62"/>
      <c r="AG75" s="62"/>
      <c r="AH75" s="62"/>
      <c r="AI75" s="62"/>
    </row>
    <row r="76" ht="14.25" customHeight="1">
      <c r="Z76" s="62"/>
      <c r="AA76" s="62"/>
      <c r="AB76" s="62"/>
      <c r="AC76" s="62"/>
      <c r="AD76" s="62"/>
      <c r="AE76" s="62"/>
      <c r="AF76" s="62"/>
      <c r="AG76" s="62"/>
      <c r="AH76" s="62"/>
      <c r="AI76" s="62"/>
    </row>
    <row r="77" ht="14.25" customHeight="1">
      <c r="Z77" s="62"/>
      <c r="AA77" s="62"/>
      <c r="AB77" s="62"/>
      <c r="AC77" s="62"/>
      <c r="AD77" s="62"/>
      <c r="AE77" s="62"/>
      <c r="AF77" s="62"/>
      <c r="AG77" s="62"/>
      <c r="AH77" s="62"/>
      <c r="AI77" s="62"/>
    </row>
    <row r="78" ht="14.25" customHeight="1">
      <c r="Z78" s="62"/>
      <c r="AA78" s="62"/>
      <c r="AB78" s="62"/>
      <c r="AC78" s="62"/>
      <c r="AD78" s="62"/>
      <c r="AE78" s="62"/>
      <c r="AF78" s="62"/>
      <c r="AG78" s="62"/>
      <c r="AH78" s="62"/>
      <c r="AI78" s="62"/>
    </row>
    <row r="79" ht="14.25" customHeight="1">
      <c r="Z79" s="62"/>
      <c r="AA79" s="62"/>
      <c r="AB79" s="62"/>
      <c r="AC79" s="62"/>
      <c r="AD79" s="62"/>
      <c r="AE79" s="62"/>
      <c r="AF79" s="62"/>
      <c r="AG79" s="62"/>
      <c r="AH79" s="62"/>
      <c r="AI79" s="62"/>
    </row>
    <row r="80" ht="14.25" customHeight="1">
      <c r="Z80" s="62"/>
      <c r="AA80" s="62"/>
      <c r="AB80" s="62"/>
      <c r="AC80" s="62"/>
      <c r="AD80" s="62"/>
      <c r="AE80" s="62"/>
      <c r="AF80" s="62"/>
      <c r="AG80" s="62"/>
      <c r="AH80" s="62"/>
      <c r="AI80" s="62"/>
    </row>
    <row r="81" ht="14.25" customHeight="1">
      <c r="Z81" s="62"/>
      <c r="AA81" s="62"/>
      <c r="AB81" s="62"/>
      <c r="AC81" s="62"/>
      <c r="AD81" s="62"/>
      <c r="AE81" s="62"/>
      <c r="AF81" s="62"/>
      <c r="AG81" s="62"/>
      <c r="AH81" s="62"/>
      <c r="AI81" s="62"/>
    </row>
    <row r="82" ht="14.25" customHeight="1">
      <c r="Z82" s="62"/>
      <c r="AA82" s="62"/>
      <c r="AB82" s="62"/>
      <c r="AC82" s="62"/>
      <c r="AD82" s="62"/>
      <c r="AE82" s="62"/>
      <c r="AF82" s="62"/>
      <c r="AG82" s="62"/>
      <c r="AH82" s="62"/>
      <c r="AI82" s="62"/>
    </row>
    <row r="83" ht="14.25" customHeight="1">
      <c r="Z83" s="62"/>
      <c r="AA83" s="62"/>
      <c r="AB83" s="62"/>
      <c r="AC83" s="62"/>
      <c r="AD83" s="62"/>
      <c r="AE83" s="62"/>
      <c r="AF83" s="62"/>
      <c r="AG83" s="62"/>
      <c r="AH83" s="62"/>
      <c r="AI83" s="62"/>
    </row>
    <row r="84" ht="14.25" customHeight="1">
      <c r="Z84" s="62"/>
      <c r="AA84" s="62"/>
      <c r="AB84" s="62"/>
      <c r="AC84" s="62"/>
      <c r="AD84" s="62"/>
      <c r="AE84" s="62"/>
      <c r="AF84" s="62"/>
      <c r="AG84" s="62"/>
      <c r="AH84" s="62"/>
      <c r="AI84" s="62"/>
    </row>
    <row r="85" ht="14.25" customHeight="1">
      <c r="Z85" s="62"/>
      <c r="AA85" s="62"/>
      <c r="AB85" s="62"/>
      <c r="AC85" s="62"/>
      <c r="AD85" s="62"/>
      <c r="AE85" s="62"/>
      <c r="AF85" s="62"/>
      <c r="AG85" s="62"/>
      <c r="AH85" s="62"/>
      <c r="AI85" s="62"/>
    </row>
    <row r="86" ht="14.25" customHeight="1">
      <c r="Z86" s="62"/>
      <c r="AA86" s="62"/>
      <c r="AB86" s="62"/>
      <c r="AC86" s="62"/>
      <c r="AD86" s="62"/>
      <c r="AE86" s="62"/>
      <c r="AF86" s="62"/>
      <c r="AG86" s="62"/>
      <c r="AH86" s="62"/>
      <c r="AI86" s="62"/>
    </row>
    <row r="87" ht="14.25" customHeight="1">
      <c r="Z87" s="62"/>
      <c r="AA87" s="62"/>
      <c r="AB87" s="62"/>
      <c r="AC87" s="62"/>
      <c r="AD87" s="62"/>
      <c r="AE87" s="62"/>
      <c r="AF87" s="62"/>
      <c r="AG87" s="62"/>
      <c r="AH87" s="62"/>
      <c r="AI87" s="62"/>
    </row>
    <row r="88" ht="14.25" customHeight="1">
      <c r="Z88" s="62"/>
      <c r="AA88" s="62"/>
      <c r="AB88" s="62"/>
      <c r="AC88" s="62"/>
      <c r="AD88" s="62"/>
      <c r="AE88" s="62"/>
      <c r="AF88" s="62"/>
      <c r="AG88" s="62"/>
      <c r="AH88" s="62"/>
      <c r="AI88" s="62"/>
    </row>
    <row r="89" ht="14.25" customHeight="1">
      <c r="Z89" s="62"/>
      <c r="AA89" s="62"/>
      <c r="AB89" s="62"/>
      <c r="AC89" s="62"/>
      <c r="AD89" s="62"/>
      <c r="AE89" s="62"/>
      <c r="AF89" s="62"/>
      <c r="AG89" s="62"/>
      <c r="AH89" s="62"/>
      <c r="AI89" s="62"/>
    </row>
    <row r="90" ht="14.25" customHeight="1">
      <c r="Z90" s="62"/>
      <c r="AA90" s="62"/>
      <c r="AB90" s="62"/>
      <c r="AC90" s="62"/>
      <c r="AD90" s="62"/>
      <c r="AE90" s="62"/>
      <c r="AF90" s="62"/>
      <c r="AG90" s="62"/>
      <c r="AH90" s="62"/>
      <c r="AI90" s="62"/>
    </row>
    <row r="91" ht="14.25" customHeight="1">
      <c r="Z91" s="62"/>
      <c r="AA91" s="62"/>
      <c r="AB91" s="62"/>
      <c r="AC91" s="62"/>
      <c r="AD91" s="62"/>
      <c r="AE91" s="62"/>
      <c r="AF91" s="62"/>
      <c r="AG91" s="62"/>
      <c r="AH91" s="62"/>
      <c r="AI91" s="62"/>
    </row>
    <row r="92" ht="14.25" customHeight="1">
      <c r="Z92" s="62"/>
      <c r="AA92" s="62"/>
      <c r="AB92" s="62"/>
      <c r="AC92" s="62"/>
      <c r="AD92" s="62"/>
      <c r="AE92" s="62"/>
      <c r="AF92" s="62"/>
      <c r="AG92" s="62"/>
      <c r="AH92" s="62"/>
      <c r="AI92" s="62"/>
    </row>
    <row r="93" ht="14.25" customHeight="1">
      <c r="Z93" s="62"/>
      <c r="AA93" s="62"/>
      <c r="AB93" s="62"/>
      <c r="AC93" s="62"/>
      <c r="AD93" s="62"/>
      <c r="AE93" s="62"/>
      <c r="AF93" s="62"/>
      <c r="AG93" s="62"/>
      <c r="AH93" s="62"/>
      <c r="AI93" s="62"/>
    </row>
    <row r="94" ht="14.25" customHeight="1">
      <c r="Z94" s="62"/>
      <c r="AA94" s="62"/>
      <c r="AB94" s="62"/>
      <c r="AC94" s="62"/>
      <c r="AD94" s="62"/>
      <c r="AE94" s="62"/>
      <c r="AF94" s="62"/>
      <c r="AG94" s="62"/>
      <c r="AH94" s="62"/>
      <c r="AI94" s="62"/>
    </row>
    <row r="95" ht="14.25" customHeight="1">
      <c r="Z95" s="62"/>
      <c r="AA95" s="62"/>
      <c r="AB95" s="62"/>
      <c r="AC95" s="62"/>
      <c r="AD95" s="62"/>
      <c r="AE95" s="62"/>
      <c r="AF95" s="62"/>
      <c r="AG95" s="62"/>
      <c r="AH95" s="62"/>
      <c r="AI95" s="62"/>
    </row>
    <row r="96" ht="14.25" customHeight="1">
      <c r="Z96" s="62"/>
      <c r="AA96" s="62"/>
      <c r="AB96" s="62"/>
      <c r="AC96" s="62"/>
      <c r="AD96" s="62"/>
      <c r="AE96" s="62"/>
      <c r="AF96" s="62"/>
      <c r="AG96" s="62"/>
      <c r="AH96" s="62"/>
      <c r="AI96" s="62"/>
    </row>
    <row r="97" ht="14.25" customHeight="1">
      <c r="Z97" s="62"/>
      <c r="AA97" s="62"/>
      <c r="AB97" s="62"/>
      <c r="AC97" s="62"/>
      <c r="AD97" s="62"/>
      <c r="AE97" s="62"/>
      <c r="AF97" s="62"/>
      <c r="AG97" s="62"/>
      <c r="AH97" s="62"/>
      <c r="AI97" s="62"/>
    </row>
    <row r="98" ht="14.25" customHeight="1">
      <c r="Z98" s="62"/>
      <c r="AA98" s="62"/>
      <c r="AB98" s="62"/>
      <c r="AC98" s="62"/>
      <c r="AD98" s="62"/>
      <c r="AE98" s="62"/>
      <c r="AF98" s="62"/>
      <c r="AG98" s="62"/>
      <c r="AH98" s="62"/>
      <c r="AI98" s="62"/>
    </row>
    <row r="99" ht="14.25" customHeight="1">
      <c r="Z99" s="62"/>
      <c r="AA99" s="62"/>
      <c r="AB99" s="62"/>
      <c r="AC99" s="62"/>
      <c r="AD99" s="62"/>
      <c r="AE99" s="62"/>
      <c r="AF99" s="62"/>
      <c r="AG99" s="62"/>
      <c r="AH99" s="62"/>
      <c r="AI99" s="62"/>
    </row>
    <row r="100" ht="14.25" customHeight="1">
      <c r="Z100" s="62"/>
      <c r="AA100" s="62"/>
      <c r="AB100" s="62"/>
      <c r="AC100" s="62"/>
      <c r="AD100" s="62"/>
      <c r="AE100" s="62"/>
      <c r="AF100" s="62"/>
      <c r="AG100" s="62"/>
      <c r="AH100" s="62"/>
      <c r="AI100" s="62"/>
    </row>
    <row r="101" ht="14.25" customHeight="1">
      <c r="Z101" s="62"/>
      <c r="AA101" s="62"/>
      <c r="AB101" s="62"/>
      <c r="AC101" s="62"/>
      <c r="AD101" s="62"/>
      <c r="AE101" s="62"/>
      <c r="AF101" s="62"/>
      <c r="AG101" s="62"/>
      <c r="AH101" s="62"/>
      <c r="AI101" s="62"/>
    </row>
    <row r="102" ht="14.25" customHeight="1">
      <c r="Z102" s="62"/>
      <c r="AA102" s="62"/>
      <c r="AB102" s="62"/>
      <c r="AC102" s="62"/>
      <c r="AD102" s="62"/>
      <c r="AE102" s="62"/>
      <c r="AF102" s="62"/>
      <c r="AG102" s="62"/>
      <c r="AH102" s="62"/>
      <c r="AI102" s="62"/>
    </row>
    <row r="103" ht="14.25" customHeight="1">
      <c r="Z103" s="62"/>
      <c r="AA103" s="62"/>
      <c r="AB103" s="62"/>
      <c r="AC103" s="62"/>
      <c r="AD103" s="62"/>
      <c r="AE103" s="62"/>
      <c r="AF103" s="62"/>
      <c r="AG103" s="62"/>
      <c r="AH103" s="62"/>
      <c r="AI103" s="62"/>
    </row>
    <row r="104" ht="14.25" customHeight="1">
      <c r="Z104" s="62"/>
      <c r="AA104" s="62"/>
      <c r="AB104" s="62"/>
      <c r="AC104" s="62"/>
      <c r="AD104" s="62"/>
      <c r="AE104" s="62"/>
      <c r="AF104" s="62"/>
      <c r="AG104" s="62"/>
      <c r="AH104" s="62"/>
      <c r="AI104" s="62"/>
    </row>
    <row r="105" ht="14.25" customHeight="1">
      <c r="Z105" s="62"/>
      <c r="AA105" s="62"/>
      <c r="AB105" s="62"/>
      <c r="AC105" s="62"/>
      <c r="AD105" s="62"/>
      <c r="AE105" s="62"/>
      <c r="AF105" s="62"/>
      <c r="AG105" s="62"/>
      <c r="AH105" s="62"/>
      <c r="AI105" s="62"/>
    </row>
    <row r="106" ht="14.25" customHeight="1">
      <c r="Z106" s="62"/>
      <c r="AA106" s="62"/>
      <c r="AB106" s="62"/>
      <c r="AC106" s="62"/>
      <c r="AD106" s="62"/>
      <c r="AE106" s="62"/>
      <c r="AF106" s="62"/>
      <c r="AG106" s="62"/>
      <c r="AH106" s="62"/>
      <c r="AI106" s="62"/>
    </row>
    <row r="107" ht="14.25" customHeight="1">
      <c r="Z107" s="62"/>
      <c r="AA107" s="62"/>
      <c r="AB107" s="62"/>
      <c r="AC107" s="62"/>
      <c r="AD107" s="62"/>
      <c r="AE107" s="62"/>
      <c r="AF107" s="62"/>
      <c r="AG107" s="62"/>
      <c r="AH107" s="62"/>
      <c r="AI107" s="62"/>
    </row>
    <row r="108" ht="14.25" customHeight="1">
      <c r="Z108" s="62"/>
      <c r="AA108" s="62"/>
      <c r="AB108" s="62"/>
      <c r="AC108" s="62"/>
      <c r="AD108" s="62"/>
      <c r="AE108" s="62"/>
      <c r="AF108" s="62"/>
      <c r="AG108" s="62"/>
      <c r="AH108" s="62"/>
      <c r="AI108" s="62"/>
    </row>
    <row r="109" ht="14.25" customHeight="1">
      <c r="Z109" s="62"/>
      <c r="AA109" s="62"/>
      <c r="AB109" s="62"/>
      <c r="AC109" s="62"/>
      <c r="AD109" s="62"/>
      <c r="AE109" s="62"/>
      <c r="AF109" s="62"/>
      <c r="AG109" s="62"/>
      <c r="AH109" s="62"/>
      <c r="AI109" s="62"/>
    </row>
    <row r="110" ht="14.25" customHeight="1">
      <c r="Z110" s="62"/>
      <c r="AA110" s="62"/>
      <c r="AB110" s="62"/>
      <c r="AC110" s="62"/>
      <c r="AD110" s="62"/>
      <c r="AE110" s="62"/>
      <c r="AF110" s="62"/>
      <c r="AG110" s="62"/>
      <c r="AH110" s="62"/>
      <c r="AI110" s="62"/>
    </row>
    <row r="111" ht="14.25" customHeight="1">
      <c r="Z111" s="62"/>
      <c r="AA111" s="62"/>
      <c r="AB111" s="62"/>
      <c r="AC111" s="62"/>
      <c r="AD111" s="62"/>
      <c r="AE111" s="62"/>
      <c r="AF111" s="62"/>
      <c r="AG111" s="62"/>
      <c r="AH111" s="62"/>
      <c r="AI111" s="62"/>
    </row>
    <row r="112" ht="14.25" customHeight="1">
      <c r="Z112" s="62"/>
      <c r="AA112" s="62"/>
      <c r="AB112" s="62"/>
      <c r="AC112" s="62"/>
      <c r="AD112" s="62"/>
      <c r="AE112" s="62"/>
      <c r="AF112" s="62"/>
      <c r="AG112" s="62"/>
      <c r="AH112" s="62"/>
      <c r="AI112" s="62"/>
    </row>
    <row r="113" ht="14.25" customHeight="1">
      <c r="Z113" s="62"/>
      <c r="AA113" s="62"/>
      <c r="AB113" s="62"/>
      <c r="AC113" s="62"/>
      <c r="AD113" s="62"/>
      <c r="AE113" s="62"/>
      <c r="AF113" s="62"/>
      <c r="AG113" s="62"/>
      <c r="AH113" s="62"/>
      <c r="AI113" s="62"/>
    </row>
    <row r="114" ht="14.25" customHeight="1">
      <c r="Z114" s="62"/>
      <c r="AA114" s="62"/>
      <c r="AB114" s="62"/>
      <c r="AC114" s="62"/>
      <c r="AD114" s="62"/>
      <c r="AE114" s="62"/>
      <c r="AF114" s="62"/>
      <c r="AG114" s="62"/>
      <c r="AH114" s="62"/>
      <c r="AI114" s="62"/>
    </row>
    <row r="115" ht="14.25" customHeight="1">
      <c r="Z115" s="62"/>
      <c r="AA115" s="62"/>
      <c r="AB115" s="62"/>
      <c r="AC115" s="62"/>
      <c r="AD115" s="62"/>
      <c r="AE115" s="62"/>
      <c r="AF115" s="62"/>
      <c r="AG115" s="62"/>
      <c r="AH115" s="62"/>
      <c r="AI115" s="62"/>
    </row>
    <row r="116" ht="14.25" customHeight="1">
      <c r="Z116" s="62"/>
      <c r="AA116" s="62"/>
      <c r="AB116" s="62"/>
      <c r="AC116" s="62"/>
      <c r="AD116" s="62"/>
      <c r="AE116" s="62"/>
      <c r="AF116" s="62"/>
      <c r="AG116" s="62"/>
      <c r="AH116" s="62"/>
      <c r="AI116" s="62"/>
    </row>
    <row r="117" ht="14.25" customHeight="1">
      <c r="Z117" s="62"/>
      <c r="AA117" s="62"/>
      <c r="AB117" s="62"/>
      <c r="AC117" s="62"/>
      <c r="AD117" s="62"/>
      <c r="AE117" s="62"/>
      <c r="AF117" s="62"/>
      <c r="AG117" s="62"/>
      <c r="AH117" s="62"/>
      <c r="AI117" s="62"/>
    </row>
    <row r="118" ht="14.25" customHeight="1">
      <c r="Z118" s="62"/>
      <c r="AA118" s="62"/>
      <c r="AB118" s="62"/>
      <c r="AC118" s="62"/>
      <c r="AD118" s="62"/>
      <c r="AE118" s="62"/>
      <c r="AF118" s="62"/>
      <c r="AG118" s="62"/>
      <c r="AH118" s="62"/>
      <c r="AI118" s="62"/>
    </row>
    <row r="119" ht="14.25" customHeight="1">
      <c r="Z119" s="62"/>
      <c r="AA119" s="62"/>
      <c r="AB119" s="62"/>
      <c r="AC119" s="62"/>
      <c r="AD119" s="62"/>
      <c r="AE119" s="62"/>
      <c r="AF119" s="62"/>
      <c r="AG119" s="62"/>
      <c r="AH119" s="62"/>
      <c r="AI119" s="62"/>
    </row>
    <row r="120" ht="14.25" customHeight="1">
      <c r="Z120" s="62"/>
      <c r="AA120" s="62"/>
      <c r="AB120" s="62"/>
      <c r="AC120" s="62"/>
      <c r="AD120" s="62"/>
      <c r="AE120" s="62"/>
      <c r="AF120" s="62"/>
      <c r="AG120" s="62"/>
      <c r="AH120" s="62"/>
      <c r="AI120" s="62"/>
    </row>
    <row r="121" ht="14.25" customHeight="1">
      <c r="Z121" s="62"/>
      <c r="AA121" s="62"/>
      <c r="AB121" s="62"/>
      <c r="AC121" s="62"/>
      <c r="AD121" s="62"/>
      <c r="AE121" s="62"/>
      <c r="AF121" s="62"/>
      <c r="AG121" s="62"/>
      <c r="AH121" s="62"/>
      <c r="AI121" s="62"/>
    </row>
    <row r="122" ht="14.25" customHeight="1">
      <c r="Z122" s="62"/>
      <c r="AA122" s="62"/>
      <c r="AB122" s="62"/>
      <c r="AC122" s="62"/>
      <c r="AD122" s="62"/>
      <c r="AE122" s="62"/>
      <c r="AF122" s="62"/>
      <c r="AG122" s="62"/>
      <c r="AH122" s="62"/>
      <c r="AI122" s="62"/>
    </row>
    <row r="123" ht="14.25" customHeight="1">
      <c r="Z123" s="62"/>
      <c r="AA123" s="62"/>
      <c r="AB123" s="62"/>
      <c r="AC123" s="62"/>
      <c r="AD123" s="62"/>
      <c r="AE123" s="62"/>
      <c r="AF123" s="62"/>
      <c r="AG123" s="62"/>
      <c r="AH123" s="62"/>
      <c r="AI123" s="62"/>
    </row>
    <row r="124" ht="14.25" customHeight="1">
      <c r="Z124" s="62"/>
      <c r="AA124" s="62"/>
      <c r="AB124" s="62"/>
      <c r="AC124" s="62"/>
      <c r="AD124" s="62"/>
      <c r="AE124" s="62"/>
      <c r="AF124" s="62"/>
      <c r="AG124" s="62"/>
      <c r="AH124" s="62"/>
      <c r="AI124" s="62"/>
    </row>
    <row r="125" ht="14.25" customHeight="1">
      <c r="Z125" s="62"/>
      <c r="AA125" s="62"/>
      <c r="AB125" s="62"/>
      <c r="AC125" s="62"/>
      <c r="AD125" s="62"/>
      <c r="AE125" s="62"/>
      <c r="AF125" s="62"/>
      <c r="AG125" s="62"/>
      <c r="AH125" s="62"/>
      <c r="AI125" s="62"/>
    </row>
    <row r="126" ht="14.25" customHeight="1">
      <c r="Z126" s="62"/>
      <c r="AA126" s="62"/>
      <c r="AB126" s="62"/>
      <c r="AC126" s="62"/>
      <c r="AD126" s="62"/>
      <c r="AE126" s="62"/>
      <c r="AF126" s="62"/>
      <c r="AG126" s="62"/>
      <c r="AH126" s="62"/>
      <c r="AI126" s="62"/>
    </row>
    <row r="127" ht="14.25" customHeight="1">
      <c r="Z127" s="62"/>
      <c r="AA127" s="62"/>
      <c r="AB127" s="62"/>
      <c r="AC127" s="62"/>
      <c r="AD127" s="62"/>
      <c r="AE127" s="62"/>
      <c r="AF127" s="62"/>
      <c r="AG127" s="62"/>
      <c r="AH127" s="62"/>
      <c r="AI127" s="62"/>
    </row>
    <row r="128" ht="14.25" customHeight="1">
      <c r="Z128" s="62"/>
      <c r="AA128" s="62"/>
      <c r="AB128" s="62"/>
      <c r="AC128" s="62"/>
      <c r="AD128" s="62"/>
      <c r="AE128" s="62"/>
      <c r="AF128" s="62"/>
      <c r="AG128" s="62"/>
      <c r="AH128" s="62"/>
      <c r="AI128" s="62"/>
    </row>
    <row r="129" ht="14.25" customHeight="1">
      <c r="Z129" s="62"/>
      <c r="AA129" s="62"/>
      <c r="AB129" s="62"/>
      <c r="AC129" s="62"/>
      <c r="AD129" s="62"/>
      <c r="AE129" s="62"/>
      <c r="AF129" s="62"/>
      <c r="AG129" s="62"/>
      <c r="AH129" s="62"/>
      <c r="AI129" s="62"/>
    </row>
    <row r="130" ht="14.25" customHeight="1">
      <c r="Z130" s="62"/>
      <c r="AA130" s="62"/>
      <c r="AB130" s="62"/>
      <c r="AC130" s="62"/>
      <c r="AD130" s="62"/>
      <c r="AE130" s="62"/>
      <c r="AF130" s="62"/>
      <c r="AG130" s="62"/>
      <c r="AH130" s="62"/>
      <c r="AI130" s="62"/>
    </row>
    <row r="131" ht="14.25" customHeight="1">
      <c r="Z131" s="62"/>
      <c r="AA131" s="62"/>
      <c r="AB131" s="62"/>
      <c r="AC131" s="62"/>
      <c r="AD131" s="62"/>
      <c r="AE131" s="62"/>
      <c r="AF131" s="62"/>
      <c r="AG131" s="62"/>
      <c r="AH131" s="62"/>
      <c r="AI131" s="62"/>
    </row>
    <row r="132" ht="14.25" customHeight="1">
      <c r="Z132" s="62"/>
      <c r="AA132" s="62"/>
      <c r="AB132" s="62"/>
      <c r="AC132" s="62"/>
      <c r="AD132" s="62"/>
      <c r="AE132" s="62"/>
      <c r="AF132" s="62"/>
      <c r="AG132" s="62"/>
      <c r="AH132" s="62"/>
      <c r="AI132" s="62"/>
    </row>
    <row r="133" ht="14.25" customHeight="1">
      <c r="Z133" s="62"/>
      <c r="AA133" s="62"/>
      <c r="AB133" s="62"/>
      <c r="AC133" s="62"/>
      <c r="AD133" s="62"/>
      <c r="AE133" s="62"/>
      <c r="AF133" s="62"/>
      <c r="AG133" s="62"/>
      <c r="AH133" s="62"/>
      <c r="AI133" s="62"/>
    </row>
    <row r="134" ht="14.25" customHeight="1">
      <c r="Z134" s="62"/>
      <c r="AA134" s="62"/>
      <c r="AB134" s="62"/>
      <c r="AC134" s="62"/>
      <c r="AD134" s="62"/>
      <c r="AE134" s="62"/>
      <c r="AF134" s="62"/>
      <c r="AG134" s="62"/>
      <c r="AH134" s="62"/>
      <c r="AI134" s="62"/>
    </row>
    <row r="135" ht="14.25" customHeight="1">
      <c r="Z135" s="62"/>
      <c r="AA135" s="62"/>
      <c r="AB135" s="62"/>
      <c r="AC135" s="62"/>
      <c r="AD135" s="62"/>
      <c r="AE135" s="62"/>
      <c r="AF135" s="62"/>
      <c r="AG135" s="62"/>
      <c r="AH135" s="62"/>
      <c r="AI135" s="62"/>
    </row>
    <row r="136" ht="14.25" customHeight="1">
      <c r="Z136" s="62"/>
      <c r="AA136" s="62"/>
      <c r="AB136" s="62"/>
      <c r="AC136" s="62"/>
      <c r="AD136" s="62"/>
      <c r="AE136" s="62"/>
      <c r="AF136" s="62"/>
      <c r="AG136" s="62"/>
      <c r="AH136" s="62"/>
      <c r="AI136" s="62"/>
    </row>
    <row r="137" ht="14.25" customHeight="1">
      <c r="Z137" s="62"/>
      <c r="AA137" s="62"/>
      <c r="AB137" s="62"/>
      <c r="AC137" s="62"/>
      <c r="AD137" s="62"/>
      <c r="AE137" s="62"/>
      <c r="AF137" s="62"/>
      <c r="AG137" s="62"/>
      <c r="AH137" s="62"/>
      <c r="AI137" s="62"/>
    </row>
    <row r="138" ht="14.25" customHeight="1">
      <c r="Z138" s="62"/>
      <c r="AA138" s="62"/>
      <c r="AB138" s="62"/>
      <c r="AC138" s="62"/>
      <c r="AD138" s="62"/>
      <c r="AE138" s="62"/>
      <c r="AF138" s="62"/>
      <c r="AG138" s="62"/>
      <c r="AH138" s="62"/>
      <c r="AI138" s="62"/>
    </row>
    <row r="139" ht="14.25" customHeight="1">
      <c r="Z139" s="62"/>
      <c r="AA139" s="62"/>
      <c r="AB139" s="62"/>
      <c r="AC139" s="62"/>
      <c r="AD139" s="62"/>
      <c r="AE139" s="62"/>
      <c r="AF139" s="62"/>
      <c r="AG139" s="62"/>
      <c r="AH139" s="62"/>
      <c r="AI139" s="62"/>
    </row>
    <row r="140" ht="14.25" customHeight="1">
      <c r="Z140" s="62"/>
      <c r="AA140" s="62"/>
      <c r="AB140" s="62"/>
      <c r="AC140" s="62"/>
      <c r="AD140" s="62"/>
      <c r="AE140" s="62"/>
      <c r="AF140" s="62"/>
      <c r="AG140" s="62"/>
      <c r="AH140" s="62"/>
      <c r="AI140" s="62"/>
    </row>
    <row r="141" ht="14.25" customHeight="1">
      <c r="Z141" s="62"/>
      <c r="AA141" s="62"/>
      <c r="AB141" s="62"/>
      <c r="AC141" s="62"/>
      <c r="AD141" s="62"/>
      <c r="AE141" s="62"/>
      <c r="AF141" s="62"/>
      <c r="AG141" s="62"/>
      <c r="AH141" s="62"/>
      <c r="AI141" s="62"/>
    </row>
    <row r="142" ht="14.25" customHeight="1">
      <c r="Z142" s="62"/>
      <c r="AA142" s="62"/>
      <c r="AB142" s="62"/>
      <c r="AC142" s="62"/>
      <c r="AD142" s="62"/>
      <c r="AE142" s="62"/>
      <c r="AF142" s="62"/>
      <c r="AG142" s="62"/>
      <c r="AH142" s="62"/>
      <c r="AI142" s="62"/>
    </row>
    <row r="143" ht="14.25" customHeight="1">
      <c r="Z143" s="62"/>
      <c r="AA143" s="62"/>
      <c r="AB143" s="62"/>
      <c r="AC143" s="62"/>
      <c r="AD143" s="62"/>
      <c r="AE143" s="62"/>
      <c r="AF143" s="62"/>
      <c r="AG143" s="62"/>
      <c r="AH143" s="62"/>
      <c r="AI143" s="62"/>
    </row>
    <row r="144" ht="14.25" customHeight="1">
      <c r="Z144" s="62"/>
      <c r="AA144" s="62"/>
      <c r="AB144" s="62"/>
      <c r="AC144" s="62"/>
      <c r="AD144" s="62"/>
      <c r="AE144" s="62"/>
      <c r="AF144" s="62"/>
      <c r="AG144" s="62"/>
      <c r="AH144" s="62"/>
      <c r="AI144" s="62"/>
    </row>
    <row r="145" ht="14.25" customHeight="1">
      <c r="Z145" s="62"/>
      <c r="AA145" s="62"/>
      <c r="AB145" s="62"/>
      <c r="AC145" s="62"/>
      <c r="AD145" s="62"/>
      <c r="AE145" s="62"/>
      <c r="AF145" s="62"/>
      <c r="AG145" s="62"/>
      <c r="AH145" s="62"/>
      <c r="AI145" s="62"/>
    </row>
    <row r="146" ht="14.25" customHeight="1">
      <c r="Z146" s="62"/>
      <c r="AA146" s="62"/>
      <c r="AB146" s="62"/>
      <c r="AC146" s="62"/>
      <c r="AD146" s="62"/>
      <c r="AE146" s="62"/>
      <c r="AF146" s="62"/>
      <c r="AG146" s="62"/>
      <c r="AH146" s="62"/>
      <c r="AI146" s="62"/>
    </row>
    <row r="147" ht="14.25" customHeight="1">
      <c r="Z147" s="62"/>
      <c r="AA147" s="62"/>
      <c r="AB147" s="62"/>
      <c r="AC147" s="62"/>
      <c r="AD147" s="62"/>
      <c r="AE147" s="62"/>
      <c r="AF147" s="62"/>
      <c r="AG147" s="62"/>
      <c r="AH147" s="62"/>
      <c r="AI147" s="62"/>
    </row>
    <row r="148" ht="14.25" customHeight="1">
      <c r="Z148" s="62"/>
      <c r="AA148" s="62"/>
      <c r="AB148" s="62"/>
      <c r="AC148" s="62"/>
      <c r="AD148" s="62"/>
      <c r="AE148" s="62"/>
      <c r="AF148" s="62"/>
      <c r="AG148" s="62"/>
      <c r="AH148" s="62"/>
      <c r="AI148" s="62"/>
    </row>
    <row r="149" ht="14.25" customHeight="1">
      <c r="Z149" s="62"/>
      <c r="AA149" s="62"/>
      <c r="AB149" s="62"/>
      <c r="AC149" s="62"/>
      <c r="AD149" s="62"/>
      <c r="AE149" s="62"/>
      <c r="AF149" s="62"/>
      <c r="AG149" s="62"/>
      <c r="AH149" s="62"/>
      <c r="AI149" s="62"/>
    </row>
    <row r="150" ht="14.25" customHeight="1">
      <c r="Z150" s="62"/>
      <c r="AA150" s="62"/>
      <c r="AB150" s="62"/>
      <c r="AC150" s="62"/>
      <c r="AD150" s="62"/>
      <c r="AE150" s="62"/>
      <c r="AF150" s="62"/>
      <c r="AG150" s="62"/>
      <c r="AH150" s="62"/>
      <c r="AI150" s="62"/>
    </row>
    <row r="151" ht="14.25" customHeight="1">
      <c r="Z151" s="62"/>
      <c r="AA151" s="62"/>
      <c r="AB151" s="62"/>
      <c r="AC151" s="62"/>
      <c r="AD151" s="62"/>
      <c r="AE151" s="62"/>
      <c r="AF151" s="62"/>
      <c r="AG151" s="62"/>
      <c r="AH151" s="62"/>
      <c r="AI151" s="62"/>
    </row>
    <row r="152" ht="14.25" customHeight="1">
      <c r="Z152" s="62"/>
      <c r="AA152" s="62"/>
      <c r="AB152" s="62"/>
      <c r="AC152" s="62"/>
      <c r="AD152" s="62"/>
      <c r="AE152" s="62"/>
      <c r="AF152" s="62"/>
      <c r="AG152" s="62"/>
      <c r="AH152" s="62"/>
      <c r="AI152" s="62"/>
    </row>
    <row r="153" ht="14.25" customHeight="1">
      <c r="Z153" s="62"/>
      <c r="AA153" s="62"/>
      <c r="AB153" s="62"/>
      <c r="AC153" s="62"/>
      <c r="AD153" s="62"/>
      <c r="AE153" s="62"/>
      <c r="AF153" s="62"/>
      <c r="AG153" s="62"/>
      <c r="AH153" s="62"/>
      <c r="AI153" s="62"/>
    </row>
    <row r="154" ht="14.25" customHeight="1">
      <c r="Z154" s="62"/>
      <c r="AA154" s="62"/>
      <c r="AB154" s="62"/>
      <c r="AC154" s="62"/>
      <c r="AD154" s="62"/>
      <c r="AE154" s="62"/>
      <c r="AF154" s="62"/>
      <c r="AG154" s="62"/>
      <c r="AH154" s="62"/>
      <c r="AI154" s="62"/>
    </row>
    <row r="155" ht="14.25" customHeight="1">
      <c r="Z155" s="62"/>
      <c r="AA155" s="62"/>
      <c r="AB155" s="62"/>
      <c r="AC155" s="62"/>
      <c r="AD155" s="62"/>
      <c r="AE155" s="62"/>
      <c r="AF155" s="62"/>
      <c r="AG155" s="62"/>
      <c r="AH155" s="62"/>
      <c r="AI155" s="62"/>
    </row>
    <row r="156" ht="14.25" customHeight="1">
      <c r="Z156" s="62"/>
      <c r="AA156" s="62"/>
      <c r="AB156" s="62"/>
      <c r="AC156" s="62"/>
      <c r="AD156" s="62"/>
      <c r="AE156" s="62"/>
      <c r="AF156" s="62"/>
      <c r="AG156" s="62"/>
      <c r="AH156" s="62"/>
      <c r="AI156" s="62"/>
    </row>
    <row r="157" ht="14.25" customHeight="1">
      <c r="Z157" s="62"/>
      <c r="AA157" s="62"/>
      <c r="AB157" s="62"/>
      <c r="AC157" s="62"/>
      <c r="AD157" s="62"/>
      <c r="AE157" s="62"/>
      <c r="AF157" s="62"/>
      <c r="AG157" s="62"/>
      <c r="AH157" s="62"/>
      <c r="AI157" s="62"/>
    </row>
    <row r="158" ht="14.25" customHeight="1">
      <c r="Z158" s="62"/>
      <c r="AA158" s="62"/>
      <c r="AB158" s="62"/>
      <c r="AC158" s="62"/>
      <c r="AD158" s="62"/>
      <c r="AE158" s="62"/>
      <c r="AF158" s="62"/>
      <c r="AG158" s="62"/>
      <c r="AH158" s="62"/>
      <c r="AI158" s="62"/>
    </row>
    <row r="159" ht="14.25" customHeight="1">
      <c r="Z159" s="62"/>
      <c r="AA159" s="62"/>
      <c r="AB159" s="62"/>
      <c r="AC159" s="62"/>
      <c r="AD159" s="62"/>
      <c r="AE159" s="62"/>
      <c r="AF159" s="62"/>
      <c r="AG159" s="62"/>
      <c r="AH159" s="62"/>
      <c r="AI159" s="62"/>
    </row>
    <row r="160" ht="14.25" customHeight="1">
      <c r="Z160" s="62"/>
      <c r="AA160" s="62"/>
      <c r="AB160" s="62"/>
      <c r="AC160" s="62"/>
      <c r="AD160" s="62"/>
      <c r="AE160" s="62"/>
      <c r="AF160" s="62"/>
      <c r="AG160" s="62"/>
      <c r="AH160" s="62"/>
      <c r="AI160" s="62"/>
    </row>
    <row r="161" ht="14.25" customHeight="1">
      <c r="Z161" s="62"/>
      <c r="AA161" s="62"/>
      <c r="AB161" s="62"/>
      <c r="AC161" s="62"/>
      <c r="AD161" s="62"/>
      <c r="AE161" s="62"/>
      <c r="AF161" s="62"/>
      <c r="AG161" s="62"/>
      <c r="AH161" s="62"/>
      <c r="AI161" s="62"/>
    </row>
    <row r="162" ht="14.25" customHeight="1">
      <c r="Z162" s="62"/>
      <c r="AA162" s="62"/>
      <c r="AB162" s="62"/>
      <c r="AC162" s="62"/>
      <c r="AD162" s="62"/>
      <c r="AE162" s="62"/>
      <c r="AF162" s="62"/>
      <c r="AG162" s="62"/>
      <c r="AH162" s="62"/>
      <c r="AI162" s="62"/>
    </row>
    <row r="163" ht="14.25" customHeight="1">
      <c r="Z163" s="62"/>
      <c r="AA163" s="62"/>
      <c r="AB163" s="62"/>
      <c r="AC163" s="62"/>
      <c r="AD163" s="62"/>
      <c r="AE163" s="62"/>
      <c r="AF163" s="62"/>
      <c r="AG163" s="62"/>
      <c r="AH163" s="62"/>
      <c r="AI163" s="62"/>
    </row>
    <row r="164" ht="14.25" customHeight="1">
      <c r="Z164" s="62"/>
      <c r="AA164" s="62"/>
      <c r="AB164" s="62"/>
      <c r="AC164" s="62"/>
      <c r="AD164" s="62"/>
      <c r="AE164" s="62"/>
      <c r="AF164" s="62"/>
      <c r="AG164" s="62"/>
      <c r="AH164" s="62"/>
      <c r="AI164" s="62"/>
    </row>
    <row r="165" ht="14.25" customHeight="1">
      <c r="Z165" s="62"/>
      <c r="AA165" s="62"/>
      <c r="AB165" s="62"/>
      <c r="AC165" s="62"/>
      <c r="AD165" s="62"/>
      <c r="AE165" s="62"/>
      <c r="AF165" s="62"/>
      <c r="AG165" s="62"/>
      <c r="AH165" s="62"/>
      <c r="AI165" s="62"/>
    </row>
    <row r="166" ht="14.25" customHeight="1">
      <c r="Z166" s="62"/>
      <c r="AA166" s="62"/>
      <c r="AB166" s="62"/>
      <c r="AC166" s="62"/>
      <c r="AD166" s="62"/>
      <c r="AE166" s="62"/>
      <c r="AF166" s="62"/>
      <c r="AG166" s="62"/>
      <c r="AH166" s="62"/>
      <c r="AI166" s="62"/>
    </row>
    <row r="167" ht="14.25" customHeight="1">
      <c r="Z167" s="62"/>
      <c r="AA167" s="62"/>
      <c r="AB167" s="62"/>
      <c r="AC167" s="62"/>
      <c r="AD167" s="62"/>
      <c r="AE167" s="62"/>
      <c r="AF167" s="62"/>
      <c r="AG167" s="62"/>
      <c r="AH167" s="62"/>
      <c r="AI167" s="62"/>
    </row>
    <row r="168" ht="14.25" customHeight="1">
      <c r="Z168" s="62"/>
      <c r="AA168" s="62"/>
      <c r="AB168" s="62"/>
      <c r="AC168" s="62"/>
      <c r="AD168" s="62"/>
      <c r="AE168" s="62"/>
      <c r="AF168" s="62"/>
      <c r="AG168" s="62"/>
      <c r="AH168" s="62"/>
      <c r="AI168" s="62"/>
    </row>
    <row r="169" ht="14.25" customHeight="1">
      <c r="Z169" s="62"/>
      <c r="AA169" s="62"/>
      <c r="AB169" s="62"/>
      <c r="AC169" s="62"/>
      <c r="AD169" s="62"/>
      <c r="AE169" s="62"/>
      <c r="AF169" s="62"/>
      <c r="AG169" s="62"/>
      <c r="AH169" s="62"/>
      <c r="AI169" s="62"/>
    </row>
    <row r="170" ht="14.25" customHeight="1">
      <c r="Z170" s="62"/>
      <c r="AA170" s="62"/>
      <c r="AB170" s="62"/>
      <c r="AC170" s="62"/>
      <c r="AD170" s="62"/>
      <c r="AE170" s="62"/>
      <c r="AF170" s="62"/>
      <c r="AG170" s="62"/>
      <c r="AH170" s="62"/>
      <c r="AI170" s="62"/>
    </row>
    <row r="171" ht="14.25" customHeight="1">
      <c r="Z171" s="62"/>
      <c r="AA171" s="62"/>
      <c r="AB171" s="62"/>
      <c r="AC171" s="62"/>
      <c r="AD171" s="62"/>
      <c r="AE171" s="62"/>
      <c r="AF171" s="62"/>
      <c r="AG171" s="62"/>
      <c r="AH171" s="62"/>
      <c r="AI171" s="62"/>
    </row>
    <row r="172" ht="14.25" customHeight="1">
      <c r="Z172" s="62"/>
      <c r="AA172" s="62"/>
      <c r="AB172" s="62"/>
      <c r="AC172" s="62"/>
      <c r="AD172" s="62"/>
      <c r="AE172" s="62"/>
      <c r="AF172" s="62"/>
      <c r="AG172" s="62"/>
      <c r="AH172" s="62"/>
      <c r="AI172" s="62"/>
    </row>
    <row r="173" ht="14.25" customHeight="1">
      <c r="Z173" s="62"/>
      <c r="AA173" s="62"/>
      <c r="AB173" s="62"/>
      <c r="AC173" s="62"/>
      <c r="AD173" s="62"/>
      <c r="AE173" s="62"/>
      <c r="AF173" s="62"/>
      <c r="AG173" s="62"/>
      <c r="AH173" s="62"/>
      <c r="AI173" s="62"/>
    </row>
    <row r="174" ht="14.25" customHeight="1">
      <c r="Z174" s="62"/>
      <c r="AA174" s="62"/>
      <c r="AB174" s="62"/>
      <c r="AC174" s="62"/>
      <c r="AD174" s="62"/>
      <c r="AE174" s="62"/>
      <c r="AF174" s="62"/>
      <c r="AG174" s="62"/>
      <c r="AH174" s="62"/>
      <c r="AI174" s="62"/>
    </row>
    <row r="175" ht="14.25" customHeight="1">
      <c r="Z175" s="62"/>
      <c r="AA175" s="62"/>
      <c r="AB175" s="62"/>
      <c r="AC175" s="62"/>
      <c r="AD175" s="62"/>
      <c r="AE175" s="62"/>
      <c r="AF175" s="62"/>
      <c r="AG175" s="62"/>
      <c r="AH175" s="62"/>
      <c r="AI175" s="62"/>
    </row>
    <row r="176" ht="14.25" customHeight="1">
      <c r="Z176" s="62"/>
      <c r="AA176" s="62"/>
      <c r="AB176" s="62"/>
      <c r="AC176" s="62"/>
      <c r="AD176" s="62"/>
      <c r="AE176" s="62"/>
      <c r="AF176" s="62"/>
      <c r="AG176" s="62"/>
      <c r="AH176" s="62"/>
      <c r="AI176" s="62"/>
    </row>
    <row r="177" ht="14.25" customHeight="1">
      <c r="Z177" s="62"/>
      <c r="AA177" s="62"/>
      <c r="AB177" s="62"/>
      <c r="AC177" s="62"/>
      <c r="AD177" s="62"/>
      <c r="AE177" s="62"/>
      <c r="AF177" s="62"/>
      <c r="AG177" s="62"/>
      <c r="AH177" s="62"/>
      <c r="AI177" s="62"/>
    </row>
    <row r="178" ht="14.25" customHeight="1">
      <c r="Z178" s="62"/>
      <c r="AA178" s="62"/>
      <c r="AB178" s="62"/>
      <c r="AC178" s="62"/>
      <c r="AD178" s="62"/>
      <c r="AE178" s="62"/>
      <c r="AF178" s="62"/>
      <c r="AG178" s="62"/>
      <c r="AH178" s="62"/>
      <c r="AI178" s="62"/>
    </row>
    <row r="179" ht="14.25" customHeight="1">
      <c r="Z179" s="62"/>
      <c r="AA179" s="62"/>
      <c r="AB179" s="62"/>
      <c r="AC179" s="62"/>
      <c r="AD179" s="62"/>
      <c r="AE179" s="62"/>
      <c r="AF179" s="62"/>
      <c r="AG179" s="62"/>
      <c r="AH179" s="62"/>
      <c r="AI179" s="62"/>
    </row>
    <row r="180" ht="14.25" customHeight="1">
      <c r="Z180" s="62"/>
      <c r="AA180" s="62"/>
      <c r="AB180" s="62"/>
      <c r="AC180" s="62"/>
      <c r="AD180" s="62"/>
      <c r="AE180" s="62"/>
      <c r="AF180" s="62"/>
      <c r="AG180" s="62"/>
      <c r="AH180" s="62"/>
      <c r="AI180" s="62"/>
    </row>
    <row r="181" ht="14.25" customHeight="1">
      <c r="Z181" s="62"/>
      <c r="AA181" s="62"/>
      <c r="AB181" s="62"/>
      <c r="AC181" s="62"/>
      <c r="AD181" s="62"/>
      <c r="AE181" s="62"/>
      <c r="AF181" s="62"/>
      <c r="AG181" s="62"/>
      <c r="AH181" s="62"/>
      <c r="AI181" s="62"/>
    </row>
    <row r="182" ht="14.25" customHeight="1">
      <c r="Z182" s="62"/>
      <c r="AA182" s="62"/>
      <c r="AB182" s="62"/>
      <c r="AC182" s="62"/>
      <c r="AD182" s="62"/>
      <c r="AE182" s="62"/>
      <c r="AF182" s="62"/>
      <c r="AG182" s="62"/>
      <c r="AH182" s="62"/>
      <c r="AI182" s="62"/>
    </row>
    <row r="183" ht="14.25" customHeight="1">
      <c r="Z183" s="62"/>
      <c r="AA183" s="62"/>
      <c r="AB183" s="62"/>
      <c r="AC183" s="62"/>
      <c r="AD183" s="62"/>
      <c r="AE183" s="62"/>
      <c r="AF183" s="62"/>
      <c r="AG183" s="62"/>
      <c r="AH183" s="62"/>
      <c r="AI183" s="62"/>
    </row>
    <row r="184" ht="14.25" customHeight="1">
      <c r="Z184" s="62"/>
      <c r="AA184" s="62"/>
      <c r="AB184" s="62"/>
      <c r="AC184" s="62"/>
      <c r="AD184" s="62"/>
      <c r="AE184" s="62"/>
      <c r="AF184" s="62"/>
      <c r="AG184" s="62"/>
      <c r="AH184" s="62"/>
      <c r="AI184" s="62"/>
    </row>
    <row r="185" ht="14.25" customHeight="1">
      <c r="Z185" s="62"/>
      <c r="AA185" s="62"/>
      <c r="AB185" s="62"/>
      <c r="AC185" s="62"/>
      <c r="AD185" s="62"/>
      <c r="AE185" s="62"/>
      <c r="AF185" s="62"/>
      <c r="AG185" s="62"/>
      <c r="AH185" s="62"/>
      <c r="AI185" s="62"/>
    </row>
    <row r="186" ht="14.25" customHeight="1">
      <c r="Z186" s="62"/>
      <c r="AA186" s="62"/>
      <c r="AB186" s="62"/>
      <c r="AC186" s="62"/>
      <c r="AD186" s="62"/>
      <c r="AE186" s="62"/>
      <c r="AF186" s="62"/>
      <c r="AG186" s="62"/>
      <c r="AH186" s="62"/>
      <c r="AI186" s="62"/>
    </row>
    <row r="187" ht="14.25" customHeight="1">
      <c r="Z187" s="62"/>
      <c r="AA187" s="62"/>
      <c r="AB187" s="62"/>
      <c r="AC187" s="62"/>
      <c r="AD187" s="62"/>
      <c r="AE187" s="62"/>
      <c r="AF187" s="62"/>
      <c r="AG187" s="62"/>
      <c r="AH187" s="62"/>
      <c r="AI187" s="62"/>
    </row>
    <row r="188" ht="14.25" customHeight="1">
      <c r="Z188" s="62"/>
      <c r="AA188" s="62"/>
      <c r="AB188" s="62"/>
      <c r="AC188" s="62"/>
      <c r="AD188" s="62"/>
      <c r="AE188" s="62"/>
      <c r="AF188" s="62"/>
      <c r="AG188" s="62"/>
      <c r="AH188" s="62"/>
      <c r="AI188" s="62"/>
    </row>
    <row r="189" ht="14.25" customHeight="1">
      <c r="Z189" s="62"/>
      <c r="AA189" s="62"/>
      <c r="AB189" s="62"/>
      <c r="AC189" s="62"/>
      <c r="AD189" s="62"/>
      <c r="AE189" s="62"/>
      <c r="AF189" s="62"/>
      <c r="AG189" s="62"/>
      <c r="AH189" s="62"/>
      <c r="AI189" s="62"/>
    </row>
    <row r="190" ht="14.25" customHeight="1">
      <c r="Z190" s="62"/>
      <c r="AA190" s="62"/>
      <c r="AB190" s="62"/>
      <c r="AC190" s="62"/>
      <c r="AD190" s="62"/>
      <c r="AE190" s="62"/>
      <c r="AF190" s="62"/>
      <c r="AG190" s="62"/>
      <c r="AH190" s="62"/>
      <c r="AI190" s="62"/>
    </row>
    <row r="191" ht="14.25" customHeight="1">
      <c r="Z191" s="62"/>
      <c r="AA191" s="62"/>
      <c r="AB191" s="62"/>
      <c r="AC191" s="62"/>
      <c r="AD191" s="62"/>
      <c r="AE191" s="62"/>
      <c r="AF191" s="62"/>
      <c r="AG191" s="62"/>
      <c r="AH191" s="62"/>
      <c r="AI191" s="62"/>
    </row>
    <row r="192" ht="14.25" customHeight="1">
      <c r="Z192" s="62"/>
      <c r="AA192" s="62"/>
      <c r="AB192" s="62"/>
      <c r="AC192" s="62"/>
      <c r="AD192" s="62"/>
      <c r="AE192" s="62"/>
      <c r="AF192" s="62"/>
      <c r="AG192" s="62"/>
      <c r="AH192" s="62"/>
      <c r="AI192" s="62"/>
    </row>
    <row r="193" ht="14.25" customHeight="1">
      <c r="Z193" s="62"/>
      <c r="AA193" s="62"/>
      <c r="AB193" s="62"/>
      <c r="AC193" s="62"/>
      <c r="AD193" s="62"/>
      <c r="AE193" s="62"/>
      <c r="AF193" s="62"/>
      <c r="AG193" s="62"/>
      <c r="AH193" s="62"/>
      <c r="AI193" s="62"/>
    </row>
    <row r="194" ht="14.25" customHeight="1">
      <c r="Z194" s="62"/>
      <c r="AA194" s="62"/>
      <c r="AB194" s="62"/>
      <c r="AC194" s="62"/>
      <c r="AD194" s="62"/>
      <c r="AE194" s="62"/>
      <c r="AF194" s="62"/>
      <c r="AG194" s="62"/>
      <c r="AH194" s="62"/>
      <c r="AI194" s="62"/>
    </row>
    <row r="195" ht="14.25" customHeight="1">
      <c r="Z195" s="62"/>
      <c r="AA195" s="62"/>
      <c r="AB195" s="62"/>
      <c r="AC195" s="62"/>
      <c r="AD195" s="62"/>
      <c r="AE195" s="62"/>
      <c r="AF195" s="62"/>
      <c r="AG195" s="62"/>
      <c r="AH195" s="62"/>
      <c r="AI195" s="62"/>
    </row>
    <row r="196" ht="14.25" customHeight="1">
      <c r="Z196" s="62"/>
      <c r="AA196" s="62"/>
      <c r="AB196" s="62"/>
      <c r="AC196" s="62"/>
      <c r="AD196" s="62"/>
      <c r="AE196" s="62"/>
      <c r="AF196" s="62"/>
      <c r="AG196" s="62"/>
      <c r="AH196" s="62"/>
      <c r="AI196" s="62"/>
    </row>
    <row r="197" ht="14.25" customHeight="1">
      <c r="Z197" s="62"/>
      <c r="AA197" s="62"/>
      <c r="AB197" s="62"/>
      <c r="AC197" s="62"/>
      <c r="AD197" s="62"/>
      <c r="AE197" s="62"/>
      <c r="AF197" s="62"/>
      <c r="AG197" s="62"/>
      <c r="AH197" s="62"/>
      <c r="AI197" s="62"/>
    </row>
    <row r="198" ht="14.25" customHeight="1">
      <c r="Z198" s="62"/>
      <c r="AA198" s="62"/>
      <c r="AB198" s="62"/>
      <c r="AC198" s="62"/>
      <c r="AD198" s="62"/>
      <c r="AE198" s="62"/>
      <c r="AF198" s="62"/>
      <c r="AG198" s="62"/>
      <c r="AH198" s="62"/>
      <c r="AI198" s="62"/>
    </row>
    <row r="199" ht="14.25" customHeight="1">
      <c r="Z199" s="62"/>
      <c r="AA199" s="62"/>
      <c r="AB199" s="62"/>
      <c r="AC199" s="62"/>
      <c r="AD199" s="62"/>
      <c r="AE199" s="62"/>
      <c r="AF199" s="62"/>
      <c r="AG199" s="62"/>
      <c r="AH199" s="62"/>
      <c r="AI199" s="62"/>
    </row>
    <row r="200" ht="14.25" customHeight="1">
      <c r="Z200" s="62"/>
      <c r="AA200" s="62"/>
      <c r="AB200" s="62"/>
      <c r="AC200" s="62"/>
      <c r="AD200" s="62"/>
      <c r="AE200" s="62"/>
      <c r="AF200" s="62"/>
      <c r="AG200" s="62"/>
      <c r="AH200" s="62"/>
      <c r="AI200" s="62"/>
    </row>
    <row r="201" ht="14.25" customHeight="1">
      <c r="Z201" s="62"/>
      <c r="AA201" s="62"/>
      <c r="AB201" s="62"/>
      <c r="AC201" s="62"/>
      <c r="AD201" s="62"/>
      <c r="AE201" s="62"/>
      <c r="AF201" s="62"/>
      <c r="AG201" s="62"/>
      <c r="AH201" s="62"/>
      <c r="AI201" s="62"/>
    </row>
    <row r="202" ht="14.25" customHeight="1">
      <c r="Z202" s="62"/>
      <c r="AA202" s="62"/>
      <c r="AB202" s="62"/>
      <c r="AC202" s="62"/>
      <c r="AD202" s="62"/>
      <c r="AE202" s="62"/>
      <c r="AF202" s="62"/>
      <c r="AG202" s="62"/>
      <c r="AH202" s="62"/>
      <c r="AI202" s="62"/>
    </row>
    <row r="203" ht="14.25" customHeight="1">
      <c r="Z203" s="62"/>
      <c r="AA203" s="62"/>
      <c r="AB203" s="62"/>
      <c r="AC203" s="62"/>
      <c r="AD203" s="62"/>
      <c r="AE203" s="62"/>
      <c r="AF203" s="62"/>
      <c r="AG203" s="62"/>
      <c r="AH203" s="62"/>
      <c r="AI203" s="62"/>
    </row>
    <row r="204" ht="14.25" customHeight="1">
      <c r="Z204" s="62"/>
      <c r="AA204" s="62"/>
      <c r="AB204" s="62"/>
      <c r="AC204" s="62"/>
      <c r="AD204" s="62"/>
      <c r="AE204" s="62"/>
      <c r="AF204" s="62"/>
      <c r="AG204" s="62"/>
      <c r="AH204" s="62"/>
      <c r="AI204" s="62"/>
    </row>
    <row r="205" ht="14.25" customHeight="1">
      <c r="Z205" s="62"/>
      <c r="AA205" s="62"/>
      <c r="AB205" s="62"/>
      <c r="AC205" s="62"/>
      <c r="AD205" s="62"/>
      <c r="AE205" s="62"/>
      <c r="AF205" s="62"/>
      <c r="AG205" s="62"/>
      <c r="AH205" s="62"/>
      <c r="AI205" s="62"/>
    </row>
    <row r="206" ht="14.25" customHeight="1">
      <c r="Z206" s="62"/>
      <c r="AA206" s="62"/>
      <c r="AB206" s="62"/>
      <c r="AC206" s="62"/>
      <c r="AD206" s="62"/>
      <c r="AE206" s="62"/>
      <c r="AF206" s="62"/>
      <c r="AG206" s="62"/>
      <c r="AH206" s="62"/>
      <c r="AI206" s="62"/>
    </row>
    <row r="207" ht="14.25" customHeight="1">
      <c r="Z207" s="62"/>
      <c r="AA207" s="62"/>
      <c r="AB207" s="62"/>
      <c r="AC207" s="62"/>
      <c r="AD207" s="62"/>
      <c r="AE207" s="62"/>
      <c r="AF207" s="62"/>
      <c r="AG207" s="62"/>
      <c r="AH207" s="62"/>
      <c r="AI207" s="62"/>
    </row>
    <row r="208" ht="14.25" customHeight="1">
      <c r="Z208" s="62"/>
      <c r="AA208" s="62"/>
      <c r="AB208" s="62"/>
      <c r="AC208" s="62"/>
      <c r="AD208" s="62"/>
      <c r="AE208" s="62"/>
      <c r="AF208" s="62"/>
      <c r="AG208" s="62"/>
      <c r="AH208" s="62"/>
      <c r="AI208" s="62"/>
    </row>
    <row r="209" ht="14.25" customHeight="1">
      <c r="Z209" s="62"/>
      <c r="AA209" s="62"/>
      <c r="AB209" s="62"/>
      <c r="AC209" s="62"/>
      <c r="AD209" s="62"/>
      <c r="AE209" s="62"/>
      <c r="AF209" s="62"/>
      <c r="AG209" s="62"/>
      <c r="AH209" s="62"/>
      <c r="AI209" s="62"/>
    </row>
    <row r="210" ht="14.25" customHeight="1">
      <c r="Z210" s="62"/>
      <c r="AA210" s="62"/>
      <c r="AB210" s="62"/>
      <c r="AC210" s="62"/>
      <c r="AD210" s="62"/>
      <c r="AE210" s="62"/>
      <c r="AF210" s="62"/>
      <c r="AG210" s="62"/>
      <c r="AH210" s="62"/>
      <c r="AI210" s="62"/>
    </row>
    <row r="211" ht="14.25" customHeight="1">
      <c r="Z211" s="62"/>
      <c r="AA211" s="62"/>
      <c r="AB211" s="62"/>
      <c r="AC211" s="62"/>
      <c r="AD211" s="62"/>
      <c r="AE211" s="62"/>
      <c r="AF211" s="62"/>
      <c r="AG211" s="62"/>
      <c r="AH211" s="62"/>
      <c r="AI211" s="62"/>
    </row>
    <row r="212" ht="14.25" customHeight="1">
      <c r="Z212" s="62"/>
      <c r="AA212" s="62"/>
      <c r="AB212" s="62"/>
      <c r="AC212" s="62"/>
      <c r="AD212" s="62"/>
      <c r="AE212" s="62"/>
      <c r="AF212" s="62"/>
      <c r="AG212" s="62"/>
      <c r="AH212" s="62"/>
      <c r="AI212" s="62"/>
    </row>
    <row r="213" ht="14.25" customHeight="1">
      <c r="Z213" s="62"/>
      <c r="AA213" s="62"/>
      <c r="AB213" s="62"/>
      <c r="AC213" s="62"/>
      <c r="AD213" s="62"/>
      <c r="AE213" s="62"/>
      <c r="AF213" s="62"/>
      <c r="AG213" s="62"/>
      <c r="AH213" s="62"/>
      <c r="AI213" s="62"/>
    </row>
    <row r="214" ht="14.25" customHeight="1">
      <c r="Z214" s="62"/>
      <c r="AA214" s="62"/>
      <c r="AB214" s="62"/>
      <c r="AC214" s="62"/>
      <c r="AD214" s="62"/>
      <c r="AE214" s="62"/>
      <c r="AF214" s="62"/>
      <c r="AG214" s="62"/>
      <c r="AH214" s="62"/>
      <c r="AI214" s="62"/>
    </row>
    <row r="215" ht="14.25" customHeight="1">
      <c r="Z215" s="62"/>
      <c r="AA215" s="62"/>
      <c r="AB215" s="62"/>
      <c r="AC215" s="62"/>
      <c r="AD215" s="62"/>
      <c r="AE215" s="62"/>
      <c r="AF215" s="62"/>
      <c r="AG215" s="62"/>
      <c r="AH215" s="62"/>
      <c r="AI215" s="62"/>
    </row>
    <row r="216" ht="14.25" customHeight="1">
      <c r="Z216" s="62"/>
      <c r="AA216" s="62"/>
      <c r="AB216" s="62"/>
      <c r="AC216" s="62"/>
      <c r="AD216" s="62"/>
      <c r="AE216" s="62"/>
      <c r="AF216" s="62"/>
      <c r="AG216" s="62"/>
      <c r="AH216" s="62"/>
      <c r="AI216" s="62"/>
    </row>
    <row r="217" ht="14.25" customHeight="1">
      <c r="Z217" s="62"/>
      <c r="AA217" s="62"/>
      <c r="AB217" s="62"/>
      <c r="AC217" s="62"/>
      <c r="AD217" s="62"/>
      <c r="AE217" s="62"/>
      <c r="AF217" s="62"/>
      <c r="AG217" s="62"/>
      <c r="AH217" s="62"/>
      <c r="AI217" s="62"/>
    </row>
    <row r="218" ht="14.25" customHeight="1">
      <c r="Z218" s="62"/>
      <c r="AA218" s="62"/>
      <c r="AB218" s="62"/>
      <c r="AC218" s="62"/>
      <c r="AD218" s="62"/>
      <c r="AE218" s="62"/>
      <c r="AF218" s="62"/>
      <c r="AG218" s="62"/>
      <c r="AH218" s="62"/>
      <c r="AI218" s="62"/>
    </row>
    <row r="219" ht="14.25" customHeight="1">
      <c r="Z219" s="62"/>
      <c r="AA219" s="62"/>
      <c r="AB219" s="62"/>
      <c r="AC219" s="62"/>
      <c r="AD219" s="62"/>
      <c r="AE219" s="62"/>
      <c r="AF219" s="62"/>
      <c r="AG219" s="62"/>
      <c r="AH219" s="62"/>
      <c r="AI219" s="62"/>
    </row>
    <row r="220" ht="14.25" customHeight="1">
      <c r="Z220" s="62"/>
      <c r="AA220" s="62"/>
      <c r="AB220" s="62"/>
      <c r="AC220" s="62"/>
      <c r="AD220" s="62"/>
      <c r="AE220" s="62"/>
      <c r="AF220" s="62"/>
      <c r="AG220" s="62"/>
      <c r="AH220" s="62"/>
      <c r="AI220" s="62"/>
    </row>
    <row r="221" ht="14.25" customHeight="1">
      <c r="Z221" s="62"/>
      <c r="AA221" s="62"/>
      <c r="AB221" s="62"/>
      <c r="AC221" s="62"/>
      <c r="AD221" s="62"/>
      <c r="AE221" s="62"/>
      <c r="AF221" s="62"/>
      <c r="AG221" s="62"/>
      <c r="AH221" s="62"/>
      <c r="AI221" s="62"/>
    </row>
    <row r="222" ht="14.25" customHeight="1">
      <c r="Z222" s="62"/>
      <c r="AA222" s="62"/>
      <c r="AB222" s="62"/>
      <c r="AC222" s="62"/>
      <c r="AD222" s="62"/>
      <c r="AE222" s="62"/>
      <c r="AF222" s="62"/>
      <c r="AG222" s="62"/>
      <c r="AH222" s="62"/>
      <c r="AI222" s="62"/>
    </row>
    <row r="223" ht="14.25" customHeight="1">
      <c r="Z223" s="62"/>
      <c r="AA223" s="62"/>
      <c r="AB223" s="62"/>
      <c r="AC223" s="62"/>
      <c r="AD223" s="62"/>
      <c r="AE223" s="62"/>
      <c r="AF223" s="62"/>
      <c r="AG223" s="62"/>
      <c r="AH223" s="62"/>
      <c r="AI223" s="62"/>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G8:G14">
      <formula1>"Sudah operasional,Belum operasional,Tahap persiapan"</formula1>
    </dataValidation>
    <dataValidation type="list" allowBlank="1" showErrorMessage="1" sqref="Z5:AH28">
      <formula1>"Ada,Belum Ada,Proses,Belum mengurus"</formula1>
    </dataValidation>
    <dataValidation type="list" allowBlank="1" showErrorMessage="1" sqref="G6:G7">
      <formula1>"Sudah operasional,Belum operasianal,Tahap persiapan"</formula1>
    </dataValidation>
    <dataValidation type="list" allowBlank="1" showErrorMessage="1" sqref="G5">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4.86"/>
    <col customWidth="1" min="2" max="2" width="15.43"/>
    <col customWidth="1" min="3" max="3" width="21.86"/>
    <col customWidth="1" min="4" max="4" width="11.86"/>
    <col customWidth="1" min="5" max="5" width="19.29"/>
    <col customWidth="1" min="6" max="7" width="15.86"/>
    <col customWidth="1" min="8" max="10" width="21.14"/>
    <col customWidth="1" min="11" max="14" width="27.0"/>
    <col customWidth="1" min="15" max="15" width="28.43"/>
    <col customWidth="1" min="16" max="16" width="36.86"/>
    <col customWidth="1" min="17" max="17" width="29.57"/>
    <col customWidth="1" min="18" max="18" width="30.43"/>
    <col customWidth="1" min="19" max="19" width="50.71"/>
    <col customWidth="1" min="20" max="23" width="26.43"/>
    <col customWidth="1" min="24" max="24" width="18.43"/>
    <col customWidth="1" min="25" max="34" width="8.71"/>
  </cols>
  <sheetData>
    <row r="1" ht="14.25" customHeight="1">
      <c r="D1" s="63"/>
      <c r="K1" s="63" t="s">
        <v>1</v>
      </c>
      <c r="Y1" s="62"/>
      <c r="Z1" s="62"/>
      <c r="AA1" s="62"/>
      <c r="AB1" s="62"/>
      <c r="AC1" s="62"/>
      <c r="AD1" s="62"/>
      <c r="AE1" s="62"/>
      <c r="AF1" s="62"/>
      <c r="AG1" s="62"/>
      <c r="AH1" s="62"/>
    </row>
    <row r="2" ht="14.25" customHeight="1">
      <c r="D2" s="64"/>
      <c r="K2" s="64" t="s">
        <v>2</v>
      </c>
      <c r="Y2" s="62"/>
      <c r="Z2" s="62"/>
      <c r="AA2" s="62"/>
      <c r="AB2" s="62"/>
      <c r="AC2" s="62"/>
      <c r="AD2" s="62"/>
      <c r="AE2" s="62"/>
      <c r="AF2" s="62"/>
      <c r="AG2" s="62"/>
      <c r="AH2" s="62"/>
    </row>
    <row r="3" ht="14.25" customHeight="1">
      <c r="Y3" s="62"/>
      <c r="Z3" s="62"/>
      <c r="AA3" s="62"/>
      <c r="AB3" s="62"/>
      <c r="AC3" s="62"/>
      <c r="AD3" s="62"/>
      <c r="AE3" s="62"/>
      <c r="AF3" s="62"/>
      <c r="AG3" s="62"/>
      <c r="AH3" s="62"/>
    </row>
    <row r="4" ht="40.5" customHeight="1">
      <c r="A4" s="65" t="s">
        <v>3</v>
      </c>
      <c r="B4" s="65" t="s">
        <v>4</v>
      </c>
      <c r="C4" s="65" t="s">
        <v>5</v>
      </c>
      <c r="D4" s="65" t="s">
        <v>6</v>
      </c>
      <c r="E4" s="65" t="s">
        <v>7</v>
      </c>
      <c r="F4" s="65" t="s">
        <v>8</v>
      </c>
      <c r="G4" s="65" t="s">
        <v>9</v>
      </c>
      <c r="H4" s="65" t="s">
        <v>1084</v>
      </c>
      <c r="I4" s="65" t="s">
        <v>12</v>
      </c>
      <c r="J4" s="65" t="s">
        <v>13</v>
      </c>
      <c r="K4" s="65" t="s">
        <v>14</v>
      </c>
      <c r="L4" s="65" t="s">
        <v>15</v>
      </c>
      <c r="M4" s="65" t="s">
        <v>16</v>
      </c>
      <c r="N4" s="65" t="s">
        <v>147</v>
      </c>
      <c r="O4" s="65" t="s">
        <v>18</v>
      </c>
      <c r="P4" s="65" t="s">
        <v>19</v>
      </c>
      <c r="Q4" s="65" t="s">
        <v>20</v>
      </c>
      <c r="R4" s="65" t="s">
        <v>21</v>
      </c>
      <c r="S4" s="65" t="s">
        <v>22</v>
      </c>
      <c r="T4" s="65" t="s">
        <v>23</v>
      </c>
      <c r="U4" s="65" t="s">
        <v>24</v>
      </c>
      <c r="V4" s="65" t="s">
        <v>25</v>
      </c>
      <c r="W4" s="65" t="s">
        <v>26</v>
      </c>
      <c r="X4" s="65" t="s">
        <v>27</v>
      </c>
      <c r="Y4" s="66" t="s">
        <v>28</v>
      </c>
      <c r="Z4" s="66" t="s">
        <v>29</v>
      </c>
      <c r="AA4" s="66" t="s">
        <v>30</v>
      </c>
      <c r="AB4" s="66" t="s">
        <v>31</v>
      </c>
      <c r="AC4" s="66" t="s">
        <v>32</v>
      </c>
      <c r="AD4" s="66" t="s">
        <v>33</v>
      </c>
      <c r="AE4" s="66" t="s">
        <v>34</v>
      </c>
      <c r="AF4" s="66" t="s">
        <v>35</v>
      </c>
      <c r="AG4" s="66" t="s">
        <v>36</v>
      </c>
      <c r="AH4" s="66" t="s">
        <v>37</v>
      </c>
    </row>
    <row r="5" ht="14.25" customHeight="1">
      <c r="A5" s="67">
        <v>1.0</v>
      </c>
      <c r="B5" s="67" t="s">
        <v>1085</v>
      </c>
      <c r="C5" s="67" t="s">
        <v>1086</v>
      </c>
      <c r="D5" s="68" t="s">
        <v>1087</v>
      </c>
      <c r="E5" s="67" t="s">
        <v>1088</v>
      </c>
      <c r="F5" s="67" t="s">
        <v>1089</v>
      </c>
      <c r="G5" s="67" t="s">
        <v>43</v>
      </c>
      <c r="H5" s="67">
        <v>2025.0</v>
      </c>
      <c r="I5" s="67" t="s">
        <v>1090</v>
      </c>
      <c r="J5" s="67">
        <v>8.3127148384E10</v>
      </c>
      <c r="K5" s="67">
        <v>2474.0</v>
      </c>
      <c r="L5" s="67" t="s">
        <v>1091</v>
      </c>
      <c r="M5" s="67" t="s">
        <v>1092</v>
      </c>
      <c r="N5" s="67" t="s">
        <v>1093</v>
      </c>
      <c r="O5" s="67" t="s">
        <v>1094</v>
      </c>
      <c r="P5" s="67" t="s">
        <v>1095</v>
      </c>
      <c r="Q5" s="67" t="s">
        <v>1096</v>
      </c>
      <c r="R5" s="67" t="s">
        <v>1097</v>
      </c>
      <c r="S5" s="67" t="s">
        <v>1098</v>
      </c>
      <c r="T5" s="67" t="s">
        <v>1099</v>
      </c>
      <c r="U5" s="67" t="s">
        <v>1100</v>
      </c>
      <c r="V5" s="67"/>
      <c r="W5" s="67"/>
      <c r="X5" s="68"/>
      <c r="Y5" s="54" t="s">
        <v>54</v>
      </c>
      <c r="Z5" s="130"/>
      <c r="AA5" s="130"/>
      <c r="AB5" s="130"/>
      <c r="AC5" s="130"/>
      <c r="AD5" s="130"/>
      <c r="AE5" s="130"/>
      <c r="AF5" s="130"/>
      <c r="AG5" s="130"/>
      <c r="AH5" s="130"/>
    </row>
    <row r="6" ht="14.25" customHeight="1">
      <c r="A6" s="67">
        <v>2.0</v>
      </c>
      <c r="B6" s="67" t="s">
        <v>1101</v>
      </c>
      <c r="C6" s="68" t="s">
        <v>1102</v>
      </c>
      <c r="D6" s="68" t="s">
        <v>1103</v>
      </c>
      <c r="E6" s="67" t="s">
        <v>1104</v>
      </c>
      <c r="F6" s="67" t="s">
        <v>1105</v>
      </c>
      <c r="G6" s="67" t="s">
        <v>43</v>
      </c>
      <c r="H6" s="67">
        <v>2025.0</v>
      </c>
      <c r="I6" s="67" t="s">
        <v>1106</v>
      </c>
      <c r="J6" s="72" t="s">
        <v>1107</v>
      </c>
      <c r="K6" s="67">
        <v>2714.0</v>
      </c>
      <c r="L6" s="67"/>
      <c r="M6" s="67"/>
      <c r="N6" s="67" t="s">
        <v>1108</v>
      </c>
      <c r="O6" s="67" t="s">
        <v>1109</v>
      </c>
      <c r="P6" s="67" t="s">
        <v>1110</v>
      </c>
      <c r="Q6" s="67" t="s">
        <v>1111</v>
      </c>
      <c r="R6" s="67"/>
      <c r="S6" s="67" t="s">
        <v>1112</v>
      </c>
      <c r="T6" s="67" t="s">
        <v>1113</v>
      </c>
      <c r="U6" s="67" t="s">
        <v>1114</v>
      </c>
      <c r="V6" s="67"/>
      <c r="W6" s="67"/>
      <c r="X6" s="67"/>
      <c r="Y6" s="131" t="s">
        <v>54</v>
      </c>
      <c r="Z6" s="131" t="s">
        <v>54</v>
      </c>
      <c r="AA6" s="131" t="s">
        <v>54</v>
      </c>
      <c r="AB6" s="131" t="s">
        <v>54</v>
      </c>
      <c r="AC6" s="131" t="s">
        <v>54</v>
      </c>
      <c r="AD6" s="131" t="s">
        <v>145</v>
      </c>
      <c r="AE6" s="131" t="s">
        <v>54</v>
      </c>
      <c r="AF6" s="131" t="s">
        <v>54</v>
      </c>
      <c r="AG6" s="131" t="s">
        <v>145</v>
      </c>
      <c r="AH6" s="131">
        <v>47.0</v>
      </c>
    </row>
    <row r="7" ht="105.0" customHeight="1">
      <c r="A7" s="68">
        <v>3.0</v>
      </c>
      <c r="B7" s="68" t="s">
        <v>1115</v>
      </c>
      <c r="C7" s="68" t="s">
        <v>1116</v>
      </c>
      <c r="D7" s="68" t="s">
        <v>1117</v>
      </c>
      <c r="E7" s="68" t="s">
        <v>1118</v>
      </c>
      <c r="F7" s="68" t="s">
        <v>1119</v>
      </c>
      <c r="G7" s="67" t="s">
        <v>43</v>
      </c>
      <c r="H7" s="68"/>
      <c r="I7" s="68" t="s">
        <v>1120</v>
      </c>
      <c r="J7" s="80" t="s">
        <v>1121</v>
      </c>
      <c r="K7" s="68">
        <v>1735.0</v>
      </c>
      <c r="L7" s="67" t="s">
        <v>1122</v>
      </c>
      <c r="M7" s="67"/>
      <c r="N7" s="68" t="s">
        <v>1123</v>
      </c>
      <c r="O7" s="68" t="s">
        <v>1124</v>
      </c>
      <c r="P7" s="67" t="s">
        <v>1125</v>
      </c>
      <c r="Q7" s="67" t="s">
        <v>1126</v>
      </c>
      <c r="R7" s="67" t="s">
        <v>1127</v>
      </c>
      <c r="S7" s="67" t="s">
        <v>1128</v>
      </c>
      <c r="T7" s="67" t="s">
        <v>1129</v>
      </c>
      <c r="U7" s="67" t="s">
        <v>1130</v>
      </c>
      <c r="V7" s="67" t="s">
        <v>1131</v>
      </c>
      <c r="W7" s="68"/>
      <c r="X7" s="68"/>
      <c r="Y7" s="130"/>
      <c r="Z7" s="130" t="s">
        <v>54</v>
      </c>
      <c r="AA7" s="130"/>
      <c r="AB7" s="130" t="s">
        <v>54</v>
      </c>
      <c r="AC7" s="130" t="s">
        <v>54</v>
      </c>
      <c r="AD7" s="130"/>
      <c r="AE7" s="130"/>
      <c r="AF7" s="130" t="s">
        <v>54</v>
      </c>
      <c r="AG7" s="130"/>
      <c r="AH7" s="130">
        <v>45.0</v>
      </c>
    </row>
    <row r="8" ht="14.25" customHeight="1">
      <c r="A8" s="68">
        <v>4.0</v>
      </c>
      <c r="B8" s="68" t="s">
        <v>1115</v>
      </c>
      <c r="C8" s="68" t="s">
        <v>1132</v>
      </c>
      <c r="D8" s="68" t="s">
        <v>1133</v>
      </c>
      <c r="E8" s="68" t="s">
        <v>1134</v>
      </c>
      <c r="F8" s="68" t="s">
        <v>1135</v>
      </c>
      <c r="G8" s="67" t="s">
        <v>43</v>
      </c>
      <c r="H8" s="68" t="s">
        <v>1136</v>
      </c>
      <c r="I8" s="68" t="s">
        <v>1137</v>
      </c>
      <c r="J8" s="80" t="s">
        <v>1138</v>
      </c>
      <c r="K8" s="85">
        <v>2050.0</v>
      </c>
      <c r="L8" s="67" t="s">
        <v>1139</v>
      </c>
      <c r="M8" s="67" t="s">
        <v>1140</v>
      </c>
      <c r="N8" s="68" t="s">
        <v>53</v>
      </c>
      <c r="O8" s="68" t="s">
        <v>1141</v>
      </c>
      <c r="P8" s="67" t="s">
        <v>1142</v>
      </c>
      <c r="Q8" s="67" t="s">
        <v>1143</v>
      </c>
      <c r="R8" s="67" t="s">
        <v>53</v>
      </c>
      <c r="S8" s="67" t="s">
        <v>1144</v>
      </c>
      <c r="T8" s="67" t="s">
        <v>1145</v>
      </c>
      <c r="U8" s="67" t="s">
        <v>1146</v>
      </c>
      <c r="V8" s="68" t="s">
        <v>1147</v>
      </c>
      <c r="W8" s="68"/>
      <c r="X8" s="68"/>
      <c r="Y8" s="131" t="s">
        <v>54</v>
      </c>
      <c r="Z8" s="131" t="s">
        <v>54</v>
      </c>
      <c r="AA8" s="131" t="s">
        <v>145</v>
      </c>
      <c r="AB8" s="131" t="s">
        <v>54</v>
      </c>
      <c r="AC8" s="131" t="s">
        <v>54</v>
      </c>
      <c r="AD8" s="131"/>
      <c r="AE8" s="138" t="s">
        <v>54</v>
      </c>
      <c r="AF8" s="131"/>
      <c r="AG8" s="131"/>
      <c r="AH8" s="131"/>
    </row>
    <row r="9" ht="14.25" customHeight="1">
      <c r="A9" s="68">
        <v>5.0</v>
      </c>
      <c r="B9" s="68" t="s">
        <v>1148</v>
      </c>
      <c r="C9" s="68" t="s">
        <v>1149</v>
      </c>
      <c r="D9" s="76" t="s">
        <v>1150</v>
      </c>
      <c r="E9" s="67" t="s">
        <v>1088</v>
      </c>
      <c r="F9" s="68" t="s">
        <v>1151</v>
      </c>
      <c r="G9" s="67" t="s">
        <v>43</v>
      </c>
      <c r="H9" s="86">
        <v>46045.0</v>
      </c>
      <c r="I9" s="68" t="s">
        <v>1152</v>
      </c>
      <c r="J9" s="80" t="s">
        <v>1153</v>
      </c>
      <c r="K9" s="68">
        <v>2802.0</v>
      </c>
      <c r="L9" s="68" t="s">
        <v>1154</v>
      </c>
      <c r="M9" s="68" t="s">
        <v>1155</v>
      </c>
      <c r="N9" s="68"/>
      <c r="O9" s="68"/>
      <c r="P9" s="67" t="s">
        <v>1156</v>
      </c>
      <c r="Q9" s="67" t="s">
        <v>1157</v>
      </c>
      <c r="R9" s="67" t="s">
        <v>1158</v>
      </c>
      <c r="S9" s="68" t="s">
        <v>1159</v>
      </c>
      <c r="T9" s="68" t="s">
        <v>1160</v>
      </c>
      <c r="U9" s="68" t="s">
        <v>1161</v>
      </c>
      <c r="V9" s="68"/>
      <c r="W9" s="68"/>
      <c r="X9" s="68"/>
      <c r="Y9" s="139" t="s">
        <v>54</v>
      </c>
      <c r="Z9" s="139" t="s">
        <v>54</v>
      </c>
      <c r="AA9" s="139" t="s">
        <v>54</v>
      </c>
      <c r="AB9" s="139" t="s">
        <v>54</v>
      </c>
      <c r="AC9" s="139" t="s">
        <v>54</v>
      </c>
      <c r="AD9" s="139" t="s">
        <v>145</v>
      </c>
      <c r="AE9" s="139" t="s">
        <v>54</v>
      </c>
      <c r="AF9" s="139" t="s">
        <v>54</v>
      </c>
      <c r="AG9" s="139" t="s">
        <v>146</v>
      </c>
      <c r="AH9" s="139">
        <v>47.0</v>
      </c>
    </row>
    <row r="10" ht="14.25" customHeight="1">
      <c r="A10" s="68">
        <v>6.0</v>
      </c>
      <c r="B10" s="68" t="s">
        <v>1115</v>
      </c>
      <c r="C10" s="68" t="s">
        <v>1162</v>
      </c>
      <c r="D10" s="68" t="s">
        <v>1163</v>
      </c>
      <c r="E10" s="68" t="s">
        <v>1164</v>
      </c>
      <c r="F10" s="68" t="s">
        <v>1165</v>
      </c>
      <c r="G10" s="90" t="s">
        <v>43</v>
      </c>
      <c r="H10" s="140">
        <v>46068.0</v>
      </c>
      <c r="I10" s="68" t="s">
        <v>1166</v>
      </c>
      <c r="J10" s="68">
        <v>8.2247320377E10</v>
      </c>
      <c r="K10" s="68">
        <v>1819.0</v>
      </c>
      <c r="L10" s="67" t="s">
        <v>1167</v>
      </c>
      <c r="M10" s="67" t="s">
        <v>1168</v>
      </c>
      <c r="N10" s="68" t="s">
        <v>1169</v>
      </c>
      <c r="O10" s="68" t="s">
        <v>1170</v>
      </c>
      <c r="P10" s="67" t="s">
        <v>1171</v>
      </c>
      <c r="Q10" s="67" t="s">
        <v>1172</v>
      </c>
      <c r="R10" s="68" t="s">
        <v>1173</v>
      </c>
      <c r="S10" s="67" t="s">
        <v>1174</v>
      </c>
      <c r="T10" s="67" t="s">
        <v>1175</v>
      </c>
      <c r="U10" s="67" t="s">
        <v>1176</v>
      </c>
      <c r="V10" s="67" t="s">
        <v>1177</v>
      </c>
      <c r="W10" s="68"/>
      <c r="X10" s="68"/>
      <c r="Y10" s="138" t="s">
        <v>54</v>
      </c>
      <c r="Z10" s="138" t="s">
        <v>54</v>
      </c>
      <c r="AA10" s="138" t="s">
        <v>54</v>
      </c>
      <c r="AB10" s="138" t="s">
        <v>146</v>
      </c>
      <c r="AC10" s="138" t="s">
        <v>145</v>
      </c>
      <c r="AD10" s="138" t="s">
        <v>146</v>
      </c>
      <c r="AE10" s="138" t="s">
        <v>145</v>
      </c>
      <c r="AF10" s="138" t="s">
        <v>54</v>
      </c>
      <c r="AG10" s="138" t="s">
        <v>146</v>
      </c>
      <c r="AH10" s="138">
        <v>46.0</v>
      </c>
    </row>
    <row r="11" ht="14.25" customHeight="1">
      <c r="A11" s="68">
        <v>7.0</v>
      </c>
      <c r="B11" s="68" t="s">
        <v>1178</v>
      </c>
      <c r="C11" s="68" t="s">
        <v>1116</v>
      </c>
      <c r="D11" s="68" t="s">
        <v>1179</v>
      </c>
      <c r="E11" s="68" t="s">
        <v>1180</v>
      </c>
      <c r="F11" s="68" t="s">
        <v>1181</v>
      </c>
      <c r="G11" s="68" t="s">
        <v>1026</v>
      </c>
      <c r="H11" s="68" t="s">
        <v>1182</v>
      </c>
      <c r="I11" s="68" t="s">
        <v>1183</v>
      </c>
      <c r="J11" s="80" t="s">
        <v>1184</v>
      </c>
      <c r="K11" s="68">
        <v>2005.0</v>
      </c>
      <c r="L11" s="67" t="s">
        <v>1185</v>
      </c>
      <c r="M11" s="67" t="s">
        <v>1186</v>
      </c>
      <c r="N11" s="68"/>
      <c r="O11" s="68"/>
      <c r="P11" s="67" t="s">
        <v>1187</v>
      </c>
      <c r="Q11" s="67" t="s">
        <v>1188</v>
      </c>
      <c r="R11" s="68"/>
      <c r="S11" s="73" t="s">
        <v>1189</v>
      </c>
      <c r="T11" s="73" t="s">
        <v>1190</v>
      </c>
      <c r="U11" s="73" t="s">
        <v>1191</v>
      </c>
      <c r="V11" s="67" t="s">
        <v>1192</v>
      </c>
      <c r="W11" s="68"/>
      <c r="X11" s="68"/>
      <c r="Y11" s="130" t="s">
        <v>145</v>
      </c>
      <c r="Z11" s="130" t="s">
        <v>54</v>
      </c>
      <c r="AA11" s="130" t="s">
        <v>54</v>
      </c>
      <c r="AB11" s="130" t="s">
        <v>146</v>
      </c>
      <c r="AC11" s="130" t="s">
        <v>145</v>
      </c>
      <c r="AD11" s="130" t="s">
        <v>146</v>
      </c>
      <c r="AE11" s="130" t="s">
        <v>146</v>
      </c>
      <c r="AF11" s="130" t="s">
        <v>146</v>
      </c>
      <c r="AG11" s="130" t="s">
        <v>146</v>
      </c>
      <c r="AH11" s="130">
        <v>47.0</v>
      </c>
    </row>
    <row r="12" ht="14.25" customHeight="1">
      <c r="A12" s="68">
        <v>8.0</v>
      </c>
      <c r="B12" s="68" t="s">
        <v>1193</v>
      </c>
      <c r="C12" s="68" t="s">
        <v>1194</v>
      </c>
      <c r="D12" s="68" t="s">
        <v>1195</v>
      </c>
      <c r="E12" s="68" t="s">
        <v>1196</v>
      </c>
      <c r="F12" s="68" t="s">
        <v>1197</v>
      </c>
      <c r="G12" s="68" t="s">
        <v>1026</v>
      </c>
      <c r="H12" s="68" t="s">
        <v>1198</v>
      </c>
      <c r="I12" s="68" t="s">
        <v>1199</v>
      </c>
      <c r="J12" s="68">
        <v>8.9514680552E10</v>
      </c>
      <c r="K12" s="68">
        <v>2546.0</v>
      </c>
      <c r="L12" s="68"/>
      <c r="M12" s="68" t="s">
        <v>1200</v>
      </c>
      <c r="N12" s="68"/>
      <c r="O12" s="67" t="s">
        <v>1201</v>
      </c>
      <c r="P12" s="67" t="s">
        <v>1202</v>
      </c>
      <c r="Q12" s="67" t="s">
        <v>1203</v>
      </c>
      <c r="R12" s="68" t="s">
        <v>1204</v>
      </c>
      <c r="S12" s="68" t="s">
        <v>1205</v>
      </c>
      <c r="T12" s="73" t="s">
        <v>1206</v>
      </c>
      <c r="U12" s="73" t="s">
        <v>1207</v>
      </c>
      <c r="V12" s="68" t="s">
        <v>1208</v>
      </c>
      <c r="W12" s="68"/>
      <c r="X12" s="68"/>
      <c r="Y12" s="131" t="s">
        <v>54</v>
      </c>
      <c r="Z12" s="131" t="s">
        <v>54</v>
      </c>
      <c r="AA12" s="131" t="s">
        <v>146</v>
      </c>
      <c r="AB12" s="131" t="s">
        <v>54</v>
      </c>
      <c r="AC12" s="131" t="s">
        <v>54</v>
      </c>
      <c r="AD12" s="131" t="s">
        <v>146</v>
      </c>
      <c r="AE12" s="131" t="s">
        <v>146</v>
      </c>
      <c r="AF12" s="131" t="s">
        <v>54</v>
      </c>
      <c r="AG12" s="131" t="s">
        <v>146</v>
      </c>
      <c r="AH12" s="131">
        <v>47.0</v>
      </c>
    </row>
    <row r="13" ht="14.25" customHeight="1">
      <c r="A13" s="68">
        <v>9.0</v>
      </c>
      <c r="B13" s="68" t="s">
        <v>1209</v>
      </c>
      <c r="C13" s="68" t="s">
        <v>1210</v>
      </c>
      <c r="D13" s="68" t="s">
        <v>1211</v>
      </c>
      <c r="E13" s="68" t="s">
        <v>1212</v>
      </c>
      <c r="F13" s="68" t="s">
        <v>1213</v>
      </c>
      <c r="G13" s="68" t="s">
        <v>1026</v>
      </c>
      <c r="H13" s="68" t="s">
        <v>1214</v>
      </c>
      <c r="I13" s="68" t="s">
        <v>1215</v>
      </c>
      <c r="J13" s="68">
        <v>8.2259606104E10</v>
      </c>
      <c r="K13" s="68">
        <v>1433.0</v>
      </c>
      <c r="L13" s="68"/>
      <c r="M13" s="68" t="s">
        <v>1216</v>
      </c>
      <c r="N13" s="68" t="s">
        <v>1217</v>
      </c>
      <c r="O13" s="68"/>
      <c r="P13" s="68" t="s">
        <v>1218</v>
      </c>
      <c r="Q13" s="68" t="s">
        <v>1219</v>
      </c>
      <c r="R13" s="68"/>
      <c r="S13" s="83"/>
      <c r="T13" s="83"/>
      <c r="U13" s="68"/>
      <c r="V13" s="68"/>
      <c r="W13" s="68"/>
      <c r="X13" s="68"/>
      <c r="Y13" s="130"/>
      <c r="Z13" s="130"/>
      <c r="AA13" s="130"/>
      <c r="AB13" s="130"/>
      <c r="AC13" s="130"/>
      <c r="AD13" s="130"/>
      <c r="AE13" s="130"/>
      <c r="AF13" s="130"/>
      <c r="AG13" s="130"/>
      <c r="AH13" s="130"/>
    </row>
    <row r="14" ht="14.25" customHeight="1">
      <c r="A14" s="68">
        <v>10.0</v>
      </c>
      <c r="B14" s="68"/>
      <c r="C14" s="68"/>
      <c r="D14" s="68"/>
      <c r="E14" s="68"/>
      <c r="F14" s="68"/>
      <c r="G14" s="68"/>
      <c r="H14" s="68"/>
      <c r="I14" s="68"/>
      <c r="J14" s="68"/>
      <c r="K14" s="68"/>
      <c r="L14" s="68"/>
      <c r="M14" s="68"/>
      <c r="N14" s="68"/>
      <c r="O14" s="68"/>
      <c r="P14" s="68"/>
      <c r="Q14" s="68"/>
      <c r="R14" s="68"/>
      <c r="S14" s="83"/>
      <c r="T14" s="73"/>
      <c r="U14" s="68"/>
      <c r="V14" s="68"/>
      <c r="W14" s="68"/>
      <c r="X14" s="68"/>
      <c r="Y14" s="131"/>
      <c r="Z14" s="131"/>
      <c r="AA14" s="131"/>
      <c r="AB14" s="131"/>
      <c r="AC14" s="131"/>
      <c r="AD14" s="131"/>
      <c r="AE14" s="131"/>
      <c r="AF14" s="131"/>
      <c r="AG14" s="131"/>
      <c r="AH14" s="131"/>
    </row>
    <row r="15" ht="14.25" customHeight="1">
      <c r="B15" s="68"/>
      <c r="C15" s="68"/>
      <c r="D15" s="68"/>
      <c r="E15" s="68"/>
      <c r="F15" s="68"/>
      <c r="G15" s="68"/>
      <c r="H15" s="68"/>
      <c r="I15" s="68"/>
      <c r="J15" s="68"/>
      <c r="K15" s="68"/>
      <c r="L15" s="68"/>
      <c r="M15" s="68"/>
      <c r="N15" s="68"/>
      <c r="O15" s="68"/>
      <c r="P15" s="68"/>
      <c r="Q15" s="68"/>
      <c r="R15" s="68"/>
      <c r="S15" s="83"/>
      <c r="T15" s="83"/>
      <c r="U15" s="68"/>
      <c r="V15" s="68"/>
      <c r="W15" s="68"/>
      <c r="X15" s="68"/>
      <c r="Y15" s="130"/>
      <c r="Z15" s="130"/>
      <c r="AA15" s="130"/>
      <c r="AB15" s="130"/>
      <c r="AC15" s="130"/>
      <c r="AD15" s="130"/>
      <c r="AE15" s="130"/>
      <c r="AF15" s="130"/>
      <c r="AG15" s="130"/>
      <c r="AH15" s="130"/>
    </row>
    <row r="16" ht="14.25" customHeight="1">
      <c r="A16" s="68"/>
      <c r="B16" s="68"/>
      <c r="C16" s="68"/>
      <c r="D16" s="68"/>
      <c r="E16" s="68"/>
      <c r="F16" s="68"/>
      <c r="G16" s="68"/>
      <c r="H16" s="68"/>
      <c r="I16" s="68"/>
      <c r="J16" s="68"/>
      <c r="K16" s="68"/>
      <c r="L16" s="68"/>
      <c r="M16" s="68"/>
      <c r="N16" s="68"/>
      <c r="O16" s="68"/>
      <c r="P16" s="68"/>
      <c r="Q16" s="68"/>
      <c r="R16" s="68"/>
      <c r="S16" s="73"/>
      <c r="T16" s="73"/>
      <c r="U16" s="68"/>
      <c r="V16" s="68"/>
      <c r="W16" s="68"/>
      <c r="X16" s="68"/>
      <c r="Y16" s="131"/>
      <c r="Z16" s="131"/>
      <c r="AA16" s="131"/>
      <c r="AB16" s="131"/>
      <c r="AC16" s="131"/>
      <c r="AD16" s="131"/>
      <c r="AE16" s="131"/>
      <c r="AF16" s="131"/>
      <c r="AG16" s="131"/>
      <c r="AH16" s="131"/>
    </row>
    <row r="17" ht="14.25" customHeight="1">
      <c r="A17" s="68"/>
      <c r="B17" s="68"/>
      <c r="C17" s="68"/>
      <c r="D17" s="68"/>
      <c r="E17" s="68"/>
      <c r="F17" s="68"/>
      <c r="G17" s="68"/>
      <c r="H17" s="68"/>
      <c r="I17" s="68"/>
      <c r="J17" s="68"/>
      <c r="K17" s="68"/>
      <c r="L17" s="68"/>
      <c r="M17" s="68"/>
      <c r="N17" s="68"/>
      <c r="O17" s="68"/>
      <c r="P17" s="68"/>
      <c r="Q17" s="68"/>
      <c r="R17" s="68"/>
      <c r="S17" s="73"/>
      <c r="T17" s="73"/>
      <c r="U17" s="68"/>
      <c r="V17" s="68"/>
      <c r="W17" s="68"/>
      <c r="X17" s="68"/>
      <c r="Y17" s="130"/>
      <c r="Z17" s="130"/>
      <c r="AA17" s="130"/>
      <c r="AB17" s="130"/>
      <c r="AC17" s="130"/>
      <c r="AD17" s="130"/>
      <c r="AE17" s="130"/>
      <c r="AF17" s="130"/>
      <c r="AG17" s="130"/>
      <c r="AH17" s="130"/>
    </row>
    <row r="18" ht="14.25" customHeight="1">
      <c r="A18" s="68"/>
      <c r="B18" s="68"/>
      <c r="C18" s="68"/>
      <c r="D18" s="68"/>
      <c r="E18" s="68"/>
      <c r="F18" s="68"/>
      <c r="G18" s="68"/>
      <c r="H18" s="68"/>
      <c r="I18" s="68"/>
      <c r="J18" s="68"/>
      <c r="K18" s="68"/>
      <c r="L18" s="68"/>
      <c r="M18" s="68"/>
      <c r="N18" s="68"/>
      <c r="O18" s="68"/>
      <c r="P18" s="68"/>
      <c r="Q18" s="68"/>
      <c r="R18" s="68"/>
      <c r="S18" s="73"/>
      <c r="T18" s="73"/>
      <c r="U18" s="68"/>
      <c r="V18" s="68"/>
      <c r="W18" s="68"/>
      <c r="X18" s="68"/>
      <c r="Y18" s="131"/>
      <c r="Z18" s="131"/>
      <c r="AA18" s="131"/>
      <c r="AB18" s="131"/>
      <c r="AC18" s="131"/>
      <c r="AD18" s="131"/>
      <c r="AE18" s="131"/>
      <c r="AF18" s="131"/>
      <c r="AG18" s="131"/>
      <c r="AH18" s="131"/>
    </row>
    <row r="19" ht="14.25" customHeight="1">
      <c r="Y19" s="25"/>
      <c r="Z19" s="25"/>
      <c r="AA19" s="25"/>
      <c r="AB19" s="25"/>
      <c r="AC19" s="25"/>
      <c r="AD19" s="25"/>
      <c r="AE19" s="25"/>
      <c r="AF19" s="25"/>
      <c r="AG19" s="25"/>
      <c r="AH19" s="25"/>
    </row>
    <row r="20" ht="14.25" customHeight="1">
      <c r="C20" s="62" t="s">
        <v>216</v>
      </c>
      <c r="D20" s="62">
        <v>5.0</v>
      </c>
      <c r="Y20" s="26"/>
      <c r="Z20" s="26"/>
      <c r="AA20" s="26"/>
      <c r="AB20" s="26"/>
      <c r="AC20" s="26"/>
      <c r="AD20" s="26"/>
      <c r="AE20" s="26"/>
      <c r="AF20" s="26"/>
      <c r="AG20" s="26"/>
      <c r="AH20" s="26"/>
    </row>
    <row r="21" ht="14.25" customHeight="1">
      <c r="C21" s="62" t="s">
        <v>217</v>
      </c>
      <c r="D21" s="62">
        <v>1.0</v>
      </c>
      <c r="Y21" s="25"/>
      <c r="Z21" s="25"/>
      <c r="AA21" s="25"/>
      <c r="AB21" s="25"/>
      <c r="AC21" s="25"/>
      <c r="AD21" s="25"/>
      <c r="AE21" s="25"/>
      <c r="AF21" s="25"/>
      <c r="AG21" s="25"/>
      <c r="AH21" s="25"/>
    </row>
    <row r="22" ht="14.25" customHeight="1">
      <c r="Y22" s="26"/>
      <c r="Z22" s="26"/>
      <c r="AA22" s="26"/>
      <c r="AB22" s="26"/>
      <c r="AC22" s="26"/>
      <c r="AD22" s="26"/>
      <c r="AE22" s="26"/>
      <c r="AF22" s="26"/>
      <c r="AG22" s="26"/>
      <c r="AH22" s="26"/>
    </row>
    <row r="23" ht="14.25" customHeight="1">
      <c r="Y23" s="25"/>
      <c r="Z23" s="25"/>
      <c r="AA23" s="25"/>
      <c r="AB23" s="25"/>
      <c r="AC23" s="25"/>
      <c r="AD23" s="25"/>
      <c r="AE23" s="25"/>
      <c r="AF23" s="25"/>
      <c r="AG23" s="25"/>
      <c r="AH23" s="25"/>
    </row>
    <row r="24" ht="14.25" customHeight="1">
      <c r="Y24" s="62"/>
      <c r="Z24" s="62"/>
      <c r="AA24" s="62"/>
      <c r="AB24" s="62"/>
      <c r="AC24" s="62"/>
      <c r="AD24" s="62"/>
      <c r="AE24" s="62"/>
      <c r="AF24" s="62"/>
      <c r="AG24" s="62"/>
      <c r="AH24" s="62"/>
    </row>
    <row r="25" ht="14.25" customHeight="1">
      <c r="Y25" s="62"/>
      <c r="Z25" s="62"/>
      <c r="AA25" s="62"/>
      <c r="AB25" s="62"/>
      <c r="AC25" s="62"/>
      <c r="AD25" s="62"/>
      <c r="AE25" s="62"/>
      <c r="AF25" s="62"/>
      <c r="AG25" s="62"/>
      <c r="AH25" s="62"/>
    </row>
    <row r="26" ht="14.25" customHeight="1">
      <c r="Y26" s="62"/>
      <c r="Z26" s="62"/>
      <c r="AA26" s="62"/>
      <c r="AB26" s="62"/>
      <c r="AC26" s="62"/>
      <c r="AD26" s="62"/>
      <c r="AE26" s="62"/>
      <c r="AF26" s="62"/>
      <c r="AG26" s="62"/>
      <c r="AH26" s="62"/>
    </row>
    <row r="27" ht="14.25" customHeight="1">
      <c r="Y27" s="62"/>
      <c r="Z27" s="62"/>
      <c r="AA27" s="62"/>
      <c r="AB27" s="62"/>
      <c r="AC27" s="62"/>
      <c r="AD27" s="62"/>
      <c r="AE27" s="62"/>
      <c r="AF27" s="62"/>
      <c r="AG27" s="62"/>
      <c r="AH27" s="62"/>
    </row>
    <row r="28" ht="14.25" customHeight="1">
      <c r="Y28" s="62"/>
      <c r="Z28" s="62"/>
      <c r="AA28" s="62"/>
      <c r="AB28" s="62"/>
      <c r="AC28" s="62"/>
      <c r="AD28" s="62"/>
      <c r="AE28" s="62"/>
      <c r="AF28" s="62"/>
      <c r="AG28" s="62"/>
      <c r="AH28" s="62"/>
    </row>
    <row r="29" ht="14.25" customHeight="1">
      <c r="Y29" s="62"/>
      <c r="Z29" s="62"/>
      <c r="AA29" s="62"/>
      <c r="AB29" s="62"/>
      <c r="AC29" s="62"/>
      <c r="AD29" s="62"/>
      <c r="AE29" s="62"/>
      <c r="AF29" s="62"/>
      <c r="AG29" s="62"/>
      <c r="AH29" s="62"/>
    </row>
    <row r="30" ht="14.25" customHeight="1">
      <c r="Y30" s="62"/>
      <c r="Z30" s="62"/>
      <c r="AA30" s="62"/>
      <c r="AB30" s="62"/>
      <c r="AC30" s="62"/>
      <c r="AD30" s="62"/>
      <c r="AE30" s="62"/>
      <c r="AF30" s="62"/>
      <c r="AG30" s="62"/>
      <c r="AH30" s="62"/>
    </row>
    <row r="31" ht="14.25" customHeight="1">
      <c r="Y31" s="62"/>
      <c r="Z31" s="62"/>
      <c r="AA31" s="62"/>
      <c r="AB31" s="62"/>
      <c r="AC31" s="62"/>
      <c r="AD31" s="62"/>
      <c r="AE31" s="62"/>
      <c r="AF31" s="62"/>
      <c r="AG31" s="62"/>
      <c r="AH31" s="62"/>
    </row>
    <row r="32" ht="14.25" customHeight="1">
      <c r="Y32" s="62"/>
      <c r="Z32" s="62"/>
      <c r="AA32" s="62"/>
      <c r="AB32" s="62"/>
      <c r="AC32" s="62"/>
      <c r="AD32" s="62"/>
      <c r="AE32" s="62"/>
      <c r="AF32" s="62"/>
      <c r="AG32" s="62"/>
      <c r="AH32" s="62"/>
    </row>
    <row r="33" ht="14.25" customHeight="1">
      <c r="Y33" s="62"/>
      <c r="Z33" s="62"/>
      <c r="AA33" s="62"/>
      <c r="AB33" s="62"/>
      <c r="AC33" s="62"/>
      <c r="AD33" s="62"/>
      <c r="AE33" s="62"/>
      <c r="AF33" s="62"/>
      <c r="AG33" s="62"/>
      <c r="AH33" s="62"/>
    </row>
    <row r="34" ht="14.25" customHeight="1">
      <c r="Y34" s="62"/>
      <c r="Z34" s="62"/>
      <c r="AA34" s="62"/>
      <c r="AB34" s="62"/>
      <c r="AC34" s="62"/>
      <c r="AD34" s="62"/>
      <c r="AE34" s="62"/>
      <c r="AF34" s="62"/>
      <c r="AG34" s="62"/>
      <c r="AH34" s="62"/>
    </row>
    <row r="35" ht="14.25" customHeight="1">
      <c r="Y35" s="62"/>
      <c r="Z35" s="62"/>
      <c r="AA35" s="62"/>
      <c r="AB35" s="62"/>
      <c r="AC35" s="62"/>
      <c r="AD35" s="62"/>
      <c r="AE35" s="62"/>
      <c r="AF35" s="62"/>
      <c r="AG35" s="62"/>
      <c r="AH35" s="62"/>
    </row>
    <row r="36" ht="14.25" customHeight="1">
      <c r="Y36" s="62"/>
      <c r="Z36" s="62"/>
      <c r="AA36" s="62"/>
      <c r="AB36" s="62"/>
      <c r="AC36" s="62"/>
      <c r="AD36" s="62"/>
      <c r="AE36" s="62"/>
      <c r="AF36" s="62"/>
      <c r="AG36" s="62"/>
      <c r="AH36" s="62"/>
    </row>
    <row r="37" ht="14.25" customHeight="1">
      <c r="Y37" s="62"/>
      <c r="Z37" s="62"/>
      <c r="AA37" s="62"/>
      <c r="AB37" s="62"/>
      <c r="AC37" s="62"/>
      <c r="AD37" s="62"/>
      <c r="AE37" s="62"/>
      <c r="AF37" s="62"/>
      <c r="AG37" s="62"/>
      <c r="AH37" s="62"/>
    </row>
    <row r="38" ht="14.25" customHeight="1">
      <c r="Y38" s="62"/>
      <c r="Z38" s="62"/>
      <c r="AA38" s="62"/>
      <c r="AB38" s="62"/>
      <c r="AC38" s="62"/>
      <c r="AD38" s="62"/>
      <c r="AE38" s="62"/>
      <c r="AF38" s="62"/>
      <c r="AG38" s="62"/>
      <c r="AH38" s="62"/>
    </row>
    <row r="39" ht="14.25" customHeight="1">
      <c r="Y39" s="62"/>
      <c r="Z39" s="62"/>
      <c r="AA39" s="62"/>
      <c r="AB39" s="62"/>
      <c r="AC39" s="62"/>
      <c r="AD39" s="62"/>
      <c r="AE39" s="62"/>
      <c r="AF39" s="62"/>
      <c r="AG39" s="62"/>
      <c r="AH39" s="62"/>
    </row>
    <row r="40" ht="14.25" customHeight="1">
      <c r="Y40" s="62"/>
      <c r="Z40" s="62"/>
      <c r="AA40" s="62"/>
      <c r="AB40" s="62"/>
      <c r="AC40" s="62"/>
      <c r="AD40" s="62"/>
      <c r="AE40" s="62"/>
      <c r="AF40" s="62"/>
      <c r="AG40" s="62"/>
      <c r="AH40" s="62"/>
    </row>
    <row r="41" ht="14.25" customHeight="1">
      <c r="Y41" s="62"/>
      <c r="Z41" s="62"/>
      <c r="AA41" s="62"/>
      <c r="AB41" s="62"/>
      <c r="AC41" s="62"/>
      <c r="AD41" s="62"/>
      <c r="AE41" s="62"/>
      <c r="AF41" s="62"/>
      <c r="AG41" s="62"/>
      <c r="AH41" s="62"/>
    </row>
    <row r="42" ht="14.25" customHeight="1">
      <c r="Y42" s="62"/>
      <c r="Z42" s="62"/>
      <c r="AA42" s="62"/>
      <c r="AB42" s="62"/>
      <c r="AC42" s="62"/>
      <c r="AD42" s="62"/>
      <c r="AE42" s="62"/>
      <c r="AF42" s="62"/>
      <c r="AG42" s="62"/>
      <c r="AH42" s="62"/>
    </row>
    <row r="43" ht="14.25" customHeight="1">
      <c r="Y43" s="62"/>
      <c r="Z43" s="62"/>
      <c r="AA43" s="62"/>
      <c r="AB43" s="62"/>
      <c r="AC43" s="62"/>
      <c r="AD43" s="62"/>
      <c r="AE43" s="62"/>
      <c r="AF43" s="62"/>
      <c r="AG43" s="62"/>
      <c r="AH43" s="62"/>
    </row>
    <row r="44" ht="14.25" customHeight="1">
      <c r="Y44" s="62"/>
      <c r="Z44" s="62"/>
      <c r="AA44" s="62"/>
      <c r="AB44" s="62"/>
      <c r="AC44" s="62"/>
      <c r="AD44" s="62"/>
      <c r="AE44" s="62"/>
      <c r="AF44" s="62"/>
      <c r="AG44" s="62"/>
      <c r="AH44" s="62"/>
    </row>
    <row r="45" ht="14.25" customHeight="1">
      <c r="Y45" s="62"/>
      <c r="Z45" s="62"/>
      <c r="AA45" s="62"/>
      <c r="AB45" s="62"/>
      <c r="AC45" s="62"/>
      <c r="AD45" s="62"/>
      <c r="AE45" s="62"/>
      <c r="AF45" s="62"/>
      <c r="AG45" s="62"/>
      <c r="AH45" s="62"/>
    </row>
    <row r="46" ht="14.25" customHeight="1">
      <c r="Y46" s="62"/>
      <c r="Z46" s="62"/>
      <c r="AA46" s="62"/>
      <c r="AB46" s="62"/>
      <c r="AC46" s="62"/>
      <c r="AD46" s="62"/>
      <c r="AE46" s="62"/>
      <c r="AF46" s="62"/>
      <c r="AG46" s="62"/>
      <c r="AH46" s="62"/>
    </row>
    <row r="47" ht="14.25" customHeight="1">
      <c r="Y47" s="62"/>
      <c r="Z47" s="62"/>
      <c r="AA47" s="62"/>
      <c r="AB47" s="62"/>
      <c r="AC47" s="62"/>
      <c r="AD47" s="62"/>
      <c r="AE47" s="62"/>
      <c r="AF47" s="62"/>
      <c r="AG47" s="62"/>
      <c r="AH47" s="62"/>
    </row>
    <row r="48" ht="14.25" customHeight="1">
      <c r="Y48" s="62"/>
      <c r="Z48" s="62"/>
      <c r="AA48" s="62"/>
      <c r="AB48" s="62"/>
      <c r="AC48" s="62"/>
      <c r="AD48" s="62"/>
      <c r="AE48" s="62"/>
      <c r="AF48" s="62"/>
      <c r="AG48" s="62"/>
      <c r="AH48" s="62"/>
    </row>
    <row r="49" ht="14.25" customHeight="1">
      <c r="Y49" s="62"/>
      <c r="Z49" s="62"/>
      <c r="AA49" s="62"/>
      <c r="AB49" s="62"/>
      <c r="AC49" s="62"/>
      <c r="AD49" s="62"/>
      <c r="AE49" s="62"/>
      <c r="AF49" s="62"/>
      <c r="AG49" s="62"/>
      <c r="AH49" s="62"/>
    </row>
    <row r="50" ht="14.25" customHeight="1">
      <c r="Y50" s="62"/>
      <c r="Z50" s="62"/>
      <c r="AA50" s="62"/>
      <c r="AB50" s="62"/>
      <c r="AC50" s="62"/>
      <c r="AD50" s="62"/>
      <c r="AE50" s="62"/>
      <c r="AF50" s="62"/>
      <c r="AG50" s="62"/>
      <c r="AH50" s="62"/>
    </row>
    <row r="51" ht="14.25" customHeight="1">
      <c r="Y51" s="62"/>
      <c r="Z51" s="62"/>
      <c r="AA51" s="62"/>
      <c r="AB51" s="62"/>
      <c r="AC51" s="62"/>
      <c r="AD51" s="62"/>
      <c r="AE51" s="62"/>
      <c r="AF51" s="62"/>
      <c r="AG51" s="62"/>
      <c r="AH51" s="62"/>
    </row>
    <row r="52" ht="14.25" customHeight="1">
      <c r="Y52" s="62"/>
      <c r="Z52" s="62"/>
      <c r="AA52" s="62"/>
      <c r="AB52" s="62"/>
      <c r="AC52" s="62"/>
      <c r="AD52" s="62"/>
      <c r="AE52" s="62"/>
      <c r="AF52" s="62"/>
      <c r="AG52" s="62"/>
      <c r="AH52" s="62"/>
    </row>
    <row r="53" ht="14.25" customHeight="1">
      <c r="Y53" s="62"/>
      <c r="Z53" s="62"/>
      <c r="AA53" s="62"/>
      <c r="AB53" s="62"/>
      <c r="AC53" s="62"/>
      <c r="AD53" s="62"/>
      <c r="AE53" s="62"/>
      <c r="AF53" s="62"/>
      <c r="AG53" s="62"/>
      <c r="AH53" s="62"/>
    </row>
    <row r="54" ht="14.25" customHeight="1">
      <c r="Y54" s="62"/>
      <c r="Z54" s="62"/>
      <c r="AA54" s="62"/>
      <c r="AB54" s="62"/>
      <c r="AC54" s="62"/>
      <c r="AD54" s="62"/>
      <c r="AE54" s="62"/>
      <c r="AF54" s="62"/>
      <c r="AG54" s="62"/>
      <c r="AH54" s="62"/>
    </row>
    <row r="55" ht="14.25" customHeight="1">
      <c r="Y55" s="62"/>
      <c r="Z55" s="62"/>
      <c r="AA55" s="62"/>
      <c r="AB55" s="62"/>
      <c r="AC55" s="62"/>
      <c r="AD55" s="62"/>
      <c r="AE55" s="62"/>
      <c r="AF55" s="62"/>
      <c r="AG55" s="62"/>
      <c r="AH55" s="62"/>
    </row>
    <row r="56" ht="14.25" customHeight="1">
      <c r="Y56" s="62"/>
      <c r="Z56" s="62"/>
      <c r="AA56" s="62"/>
      <c r="AB56" s="62"/>
      <c r="AC56" s="62"/>
      <c r="AD56" s="62"/>
      <c r="AE56" s="62"/>
      <c r="AF56" s="62"/>
      <c r="AG56" s="62"/>
      <c r="AH56" s="62"/>
    </row>
    <row r="57" ht="14.25" customHeight="1">
      <c r="Y57" s="62"/>
      <c r="Z57" s="62"/>
      <c r="AA57" s="62"/>
      <c r="AB57" s="62"/>
      <c r="AC57" s="62"/>
      <c r="AD57" s="62"/>
      <c r="AE57" s="62"/>
      <c r="AF57" s="62"/>
      <c r="AG57" s="62"/>
      <c r="AH57" s="62"/>
    </row>
    <row r="58" ht="14.25" customHeight="1">
      <c r="Y58" s="62"/>
      <c r="Z58" s="62"/>
      <c r="AA58" s="62"/>
      <c r="AB58" s="62"/>
      <c r="AC58" s="62"/>
      <c r="AD58" s="62"/>
      <c r="AE58" s="62"/>
      <c r="AF58" s="62"/>
      <c r="AG58" s="62"/>
      <c r="AH58" s="62"/>
    </row>
    <row r="59" ht="14.25" customHeight="1">
      <c r="Y59" s="62"/>
      <c r="Z59" s="62"/>
      <c r="AA59" s="62"/>
      <c r="AB59" s="62"/>
      <c r="AC59" s="62"/>
      <c r="AD59" s="62"/>
      <c r="AE59" s="62"/>
      <c r="AF59" s="62"/>
      <c r="AG59" s="62"/>
      <c r="AH59" s="62"/>
    </row>
    <row r="60" ht="14.25" customHeight="1">
      <c r="Y60" s="62"/>
      <c r="Z60" s="62"/>
      <c r="AA60" s="62"/>
      <c r="AB60" s="62"/>
      <c r="AC60" s="62"/>
      <c r="AD60" s="62"/>
      <c r="AE60" s="62"/>
      <c r="AF60" s="62"/>
      <c r="AG60" s="62"/>
      <c r="AH60" s="62"/>
    </row>
    <row r="61" ht="14.25" customHeight="1">
      <c r="Y61" s="62"/>
      <c r="Z61" s="62"/>
      <c r="AA61" s="62"/>
      <c r="AB61" s="62"/>
      <c r="AC61" s="62"/>
      <c r="AD61" s="62"/>
      <c r="AE61" s="62"/>
      <c r="AF61" s="62"/>
      <c r="AG61" s="62"/>
      <c r="AH61" s="62"/>
    </row>
    <row r="62" ht="14.25" customHeight="1">
      <c r="Y62" s="62"/>
      <c r="Z62" s="62"/>
      <c r="AA62" s="62"/>
      <c r="AB62" s="62"/>
      <c r="AC62" s="62"/>
      <c r="AD62" s="62"/>
      <c r="AE62" s="62"/>
      <c r="AF62" s="62"/>
      <c r="AG62" s="62"/>
      <c r="AH62" s="62"/>
    </row>
    <row r="63" ht="14.25" customHeight="1">
      <c r="Y63" s="62"/>
      <c r="Z63" s="62"/>
      <c r="AA63" s="62"/>
      <c r="AB63" s="62"/>
      <c r="AC63" s="62"/>
      <c r="AD63" s="62"/>
      <c r="AE63" s="62"/>
      <c r="AF63" s="62"/>
      <c r="AG63" s="62"/>
      <c r="AH63" s="62"/>
    </row>
    <row r="64" ht="14.25" customHeight="1">
      <c r="Y64" s="62"/>
      <c r="Z64" s="62"/>
      <c r="AA64" s="62"/>
      <c r="AB64" s="62"/>
      <c r="AC64" s="62"/>
      <c r="AD64" s="62"/>
      <c r="AE64" s="62"/>
      <c r="AF64" s="62"/>
      <c r="AG64" s="62"/>
      <c r="AH64" s="62"/>
    </row>
    <row r="65" ht="14.25" customHeight="1">
      <c r="Y65" s="62"/>
      <c r="Z65" s="62"/>
      <c r="AA65" s="62"/>
      <c r="AB65" s="62"/>
      <c r="AC65" s="62"/>
      <c r="AD65" s="62"/>
      <c r="AE65" s="62"/>
      <c r="AF65" s="62"/>
      <c r="AG65" s="62"/>
      <c r="AH65" s="62"/>
    </row>
    <row r="66" ht="14.25" customHeight="1">
      <c r="Y66" s="62"/>
      <c r="Z66" s="62"/>
      <c r="AA66" s="62"/>
      <c r="AB66" s="62"/>
      <c r="AC66" s="62"/>
      <c r="AD66" s="62"/>
      <c r="AE66" s="62"/>
      <c r="AF66" s="62"/>
      <c r="AG66" s="62"/>
      <c r="AH66" s="62"/>
    </row>
    <row r="67" ht="14.25" customHeight="1">
      <c r="Y67" s="62"/>
      <c r="Z67" s="62"/>
      <c r="AA67" s="62"/>
      <c r="AB67" s="62"/>
      <c r="AC67" s="62"/>
      <c r="AD67" s="62"/>
      <c r="AE67" s="62"/>
      <c r="AF67" s="62"/>
      <c r="AG67" s="62"/>
      <c r="AH67" s="62"/>
    </row>
    <row r="68" ht="14.25" customHeight="1">
      <c r="Y68" s="62"/>
      <c r="Z68" s="62"/>
      <c r="AA68" s="62"/>
      <c r="AB68" s="62"/>
      <c r="AC68" s="62"/>
      <c r="AD68" s="62"/>
      <c r="AE68" s="62"/>
      <c r="AF68" s="62"/>
      <c r="AG68" s="62"/>
      <c r="AH68" s="62"/>
    </row>
    <row r="69" ht="14.25" customHeight="1">
      <c r="Y69" s="62"/>
      <c r="Z69" s="62"/>
      <c r="AA69" s="62"/>
      <c r="AB69" s="62"/>
      <c r="AC69" s="62"/>
      <c r="AD69" s="62"/>
      <c r="AE69" s="62"/>
      <c r="AF69" s="62"/>
      <c r="AG69" s="62"/>
      <c r="AH69" s="62"/>
    </row>
    <row r="70" ht="14.25" customHeight="1">
      <c r="Y70" s="62"/>
      <c r="Z70" s="62"/>
      <c r="AA70" s="62"/>
      <c r="AB70" s="62"/>
      <c r="AC70" s="62"/>
      <c r="AD70" s="62"/>
      <c r="AE70" s="62"/>
      <c r="AF70" s="62"/>
      <c r="AG70" s="62"/>
      <c r="AH70" s="62"/>
    </row>
    <row r="71" ht="14.25" customHeight="1">
      <c r="Y71" s="62"/>
      <c r="Z71" s="62"/>
      <c r="AA71" s="62"/>
      <c r="AB71" s="62"/>
      <c r="AC71" s="62"/>
      <c r="AD71" s="62"/>
      <c r="AE71" s="62"/>
      <c r="AF71" s="62"/>
      <c r="AG71" s="62"/>
      <c r="AH71" s="62"/>
    </row>
    <row r="72" ht="14.25" customHeight="1">
      <c r="Y72" s="62"/>
      <c r="Z72" s="62"/>
      <c r="AA72" s="62"/>
      <c r="AB72" s="62"/>
      <c r="AC72" s="62"/>
      <c r="AD72" s="62"/>
      <c r="AE72" s="62"/>
      <c r="AF72" s="62"/>
      <c r="AG72" s="62"/>
      <c r="AH72" s="62"/>
    </row>
    <row r="73" ht="14.25" customHeight="1">
      <c r="Y73" s="62"/>
      <c r="Z73" s="62"/>
      <c r="AA73" s="62"/>
      <c r="AB73" s="62"/>
      <c r="AC73" s="62"/>
      <c r="AD73" s="62"/>
      <c r="AE73" s="62"/>
      <c r="AF73" s="62"/>
      <c r="AG73" s="62"/>
      <c r="AH73" s="62"/>
    </row>
    <row r="74" ht="14.25" customHeight="1">
      <c r="Y74" s="62"/>
      <c r="Z74" s="62"/>
      <c r="AA74" s="62"/>
      <c r="AB74" s="62"/>
      <c r="AC74" s="62"/>
      <c r="AD74" s="62"/>
      <c r="AE74" s="62"/>
      <c r="AF74" s="62"/>
      <c r="AG74" s="62"/>
      <c r="AH74" s="62"/>
    </row>
    <row r="75" ht="14.25" customHeight="1">
      <c r="Y75" s="62"/>
      <c r="Z75" s="62"/>
      <c r="AA75" s="62"/>
      <c r="AB75" s="62"/>
      <c r="AC75" s="62"/>
      <c r="AD75" s="62"/>
      <c r="AE75" s="62"/>
      <c r="AF75" s="62"/>
      <c r="AG75" s="62"/>
      <c r="AH75" s="62"/>
    </row>
    <row r="76" ht="14.25" customHeight="1">
      <c r="Y76" s="62"/>
      <c r="Z76" s="62"/>
      <c r="AA76" s="62"/>
      <c r="AB76" s="62"/>
      <c r="AC76" s="62"/>
      <c r="AD76" s="62"/>
      <c r="AE76" s="62"/>
      <c r="AF76" s="62"/>
      <c r="AG76" s="62"/>
      <c r="AH76" s="62"/>
    </row>
    <row r="77" ht="14.25" customHeight="1">
      <c r="Y77" s="62"/>
      <c r="Z77" s="62"/>
      <c r="AA77" s="62"/>
      <c r="AB77" s="62"/>
      <c r="AC77" s="62"/>
      <c r="AD77" s="62"/>
      <c r="AE77" s="62"/>
      <c r="AF77" s="62"/>
      <c r="AG77" s="62"/>
      <c r="AH77" s="62"/>
    </row>
    <row r="78" ht="14.25" customHeight="1">
      <c r="Y78" s="62"/>
      <c r="Z78" s="62"/>
      <c r="AA78" s="62"/>
      <c r="AB78" s="62"/>
      <c r="AC78" s="62"/>
      <c r="AD78" s="62"/>
      <c r="AE78" s="62"/>
      <c r="AF78" s="62"/>
      <c r="AG78" s="62"/>
      <c r="AH78" s="62"/>
    </row>
    <row r="79" ht="14.25" customHeight="1">
      <c r="Y79" s="62"/>
      <c r="Z79" s="62"/>
      <c r="AA79" s="62"/>
      <c r="AB79" s="62"/>
      <c r="AC79" s="62"/>
      <c r="AD79" s="62"/>
      <c r="AE79" s="62"/>
      <c r="AF79" s="62"/>
      <c r="AG79" s="62"/>
      <c r="AH79" s="62"/>
    </row>
    <row r="80" ht="14.25" customHeight="1">
      <c r="Y80" s="62"/>
      <c r="Z80" s="62"/>
      <c r="AA80" s="62"/>
      <c r="AB80" s="62"/>
      <c r="AC80" s="62"/>
      <c r="AD80" s="62"/>
      <c r="AE80" s="62"/>
      <c r="AF80" s="62"/>
      <c r="AG80" s="62"/>
      <c r="AH80" s="62"/>
    </row>
    <row r="81" ht="14.25" customHeight="1">
      <c r="Y81" s="62"/>
      <c r="Z81" s="62"/>
      <c r="AA81" s="62"/>
      <c r="AB81" s="62"/>
      <c r="AC81" s="62"/>
      <c r="AD81" s="62"/>
      <c r="AE81" s="62"/>
      <c r="AF81" s="62"/>
      <c r="AG81" s="62"/>
      <c r="AH81" s="62"/>
    </row>
    <row r="82" ht="14.25" customHeight="1">
      <c r="Y82" s="62"/>
      <c r="Z82" s="62"/>
      <c r="AA82" s="62"/>
      <c r="AB82" s="62"/>
      <c r="AC82" s="62"/>
      <c r="AD82" s="62"/>
      <c r="AE82" s="62"/>
      <c r="AF82" s="62"/>
      <c r="AG82" s="62"/>
      <c r="AH82" s="62"/>
    </row>
    <row r="83" ht="14.25" customHeight="1">
      <c r="Y83" s="62"/>
      <c r="Z83" s="62"/>
      <c r="AA83" s="62"/>
      <c r="AB83" s="62"/>
      <c r="AC83" s="62"/>
      <c r="AD83" s="62"/>
      <c r="AE83" s="62"/>
      <c r="AF83" s="62"/>
      <c r="AG83" s="62"/>
      <c r="AH83" s="62"/>
    </row>
    <row r="84" ht="14.25" customHeight="1">
      <c r="Y84" s="62"/>
      <c r="Z84" s="62"/>
      <c r="AA84" s="62"/>
      <c r="AB84" s="62"/>
      <c r="AC84" s="62"/>
      <c r="AD84" s="62"/>
      <c r="AE84" s="62"/>
      <c r="AF84" s="62"/>
      <c r="AG84" s="62"/>
      <c r="AH84" s="62"/>
    </row>
    <row r="85" ht="14.25" customHeight="1">
      <c r="Y85" s="62"/>
      <c r="Z85" s="62"/>
      <c r="AA85" s="62"/>
      <c r="AB85" s="62"/>
      <c r="AC85" s="62"/>
      <c r="AD85" s="62"/>
      <c r="AE85" s="62"/>
      <c r="AF85" s="62"/>
      <c r="AG85" s="62"/>
      <c r="AH85" s="62"/>
    </row>
    <row r="86" ht="14.25" customHeight="1">
      <c r="Y86" s="62"/>
      <c r="Z86" s="62"/>
      <c r="AA86" s="62"/>
      <c r="AB86" s="62"/>
      <c r="AC86" s="62"/>
      <c r="AD86" s="62"/>
      <c r="AE86" s="62"/>
      <c r="AF86" s="62"/>
      <c r="AG86" s="62"/>
      <c r="AH86" s="62"/>
    </row>
    <row r="87" ht="14.25" customHeight="1">
      <c r="Y87" s="62"/>
      <c r="Z87" s="62"/>
      <c r="AA87" s="62"/>
      <c r="AB87" s="62"/>
      <c r="AC87" s="62"/>
      <c r="AD87" s="62"/>
      <c r="AE87" s="62"/>
      <c r="AF87" s="62"/>
      <c r="AG87" s="62"/>
      <c r="AH87" s="62"/>
    </row>
    <row r="88" ht="14.25" customHeight="1">
      <c r="Y88" s="62"/>
      <c r="Z88" s="62"/>
      <c r="AA88" s="62"/>
      <c r="AB88" s="62"/>
      <c r="AC88" s="62"/>
      <c r="AD88" s="62"/>
      <c r="AE88" s="62"/>
      <c r="AF88" s="62"/>
      <c r="AG88" s="62"/>
      <c r="AH88" s="62"/>
    </row>
    <row r="89" ht="14.25" customHeight="1">
      <c r="Y89" s="62"/>
      <c r="Z89" s="62"/>
      <c r="AA89" s="62"/>
      <c r="AB89" s="62"/>
      <c r="AC89" s="62"/>
      <c r="AD89" s="62"/>
      <c r="AE89" s="62"/>
      <c r="AF89" s="62"/>
      <c r="AG89" s="62"/>
      <c r="AH89" s="62"/>
    </row>
    <row r="90" ht="14.25" customHeight="1">
      <c r="Y90" s="62"/>
      <c r="Z90" s="62"/>
      <c r="AA90" s="62"/>
      <c r="AB90" s="62"/>
      <c r="AC90" s="62"/>
      <c r="AD90" s="62"/>
      <c r="AE90" s="62"/>
      <c r="AF90" s="62"/>
      <c r="AG90" s="62"/>
      <c r="AH90" s="62"/>
    </row>
    <row r="91" ht="14.25" customHeight="1">
      <c r="Y91" s="62"/>
      <c r="Z91" s="62"/>
      <c r="AA91" s="62"/>
      <c r="AB91" s="62"/>
      <c r="AC91" s="62"/>
      <c r="AD91" s="62"/>
      <c r="AE91" s="62"/>
      <c r="AF91" s="62"/>
      <c r="AG91" s="62"/>
      <c r="AH91" s="62"/>
    </row>
    <row r="92" ht="14.25" customHeight="1">
      <c r="Y92" s="62"/>
      <c r="Z92" s="62"/>
      <c r="AA92" s="62"/>
      <c r="AB92" s="62"/>
      <c r="AC92" s="62"/>
      <c r="AD92" s="62"/>
      <c r="AE92" s="62"/>
      <c r="AF92" s="62"/>
      <c r="AG92" s="62"/>
      <c r="AH92" s="62"/>
    </row>
    <row r="93" ht="14.25" customHeight="1">
      <c r="Y93" s="62"/>
      <c r="Z93" s="62"/>
      <c r="AA93" s="62"/>
      <c r="AB93" s="62"/>
      <c r="AC93" s="62"/>
      <c r="AD93" s="62"/>
      <c r="AE93" s="62"/>
      <c r="AF93" s="62"/>
      <c r="AG93" s="62"/>
      <c r="AH93" s="62"/>
    </row>
    <row r="94" ht="14.25" customHeight="1">
      <c r="Y94" s="62"/>
      <c r="Z94" s="62"/>
      <c r="AA94" s="62"/>
      <c r="AB94" s="62"/>
      <c r="AC94" s="62"/>
      <c r="AD94" s="62"/>
      <c r="AE94" s="62"/>
      <c r="AF94" s="62"/>
      <c r="AG94" s="62"/>
      <c r="AH94" s="62"/>
    </row>
    <row r="95" ht="14.25" customHeight="1">
      <c r="Y95" s="62"/>
      <c r="Z95" s="62"/>
      <c r="AA95" s="62"/>
      <c r="AB95" s="62"/>
      <c r="AC95" s="62"/>
      <c r="AD95" s="62"/>
      <c r="AE95" s="62"/>
      <c r="AF95" s="62"/>
      <c r="AG95" s="62"/>
      <c r="AH95" s="62"/>
    </row>
    <row r="96" ht="14.25" customHeight="1">
      <c r="Y96" s="62"/>
      <c r="Z96" s="62"/>
      <c r="AA96" s="62"/>
      <c r="AB96" s="62"/>
      <c r="AC96" s="62"/>
      <c r="AD96" s="62"/>
      <c r="AE96" s="62"/>
      <c r="AF96" s="62"/>
      <c r="AG96" s="62"/>
      <c r="AH96" s="62"/>
    </row>
    <row r="97" ht="14.25" customHeight="1">
      <c r="Y97" s="62"/>
      <c r="Z97" s="62"/>
      <c r="AA97" s="62"/>
      <c r="AB97" s="62"/>
      <c r="AC97" s="62"/>
      <c r="AD97" s="62"/>
      <c r="AE97" s="62"/>
      <c r="AF97" s="62"/>
      <c r="AG97" s="62"/>
      <c r="AH97" s="62"/>
    </row>
    <row r="98" ht="14.25" customHeight="1">
      <c r="Y98" s="62"/>
      <c r="Z98" s="62"/>
      <c r="AA98" s="62"/>
      <c r="AB98" s="62"/>
      <c r="AC98" s="62"/>
      <c r="AD98" s="62"/>
      <c r="AE98" s="62"/>
      <c r="AF98" s="62"/>
      <c r="AG98" s="62"/>
      <c r="AH98" s="62"/>
    </row>
    <row r="99" ht="14.25" customHeight="1">
      <c r="Y99" s="62"/>
      <c r="Z99" s="62"/>
      <c r="AA99" s="62"/>
      <c r="AB99" s="62"/>
      <c r="AC99" s="62"/>
      <c r="AD99" s="62"/>
      <c r="AE99" s="62"/>
      <c r="AF99" s="62"/>
      <c r="AG99" s="62"/>
      <c r="AH99" s="62"/>
    </row>
    <row r="100" ht="14.25" customHeight="1">
      <c r="Y100" s="62"/>
      <c r="Z100" s="62"/>
      <c r="AA100" s="62"/>
      <c r="AB100" s="62"/>
      <c r="AC100" s="62"/>
      <c r="AD100" s="62"/>
      <c r="AE100" s="62"/>
      <c r="AF100" s="62"/>
      <c r="AG100" s="62"/>
      <c r="AH100" s="62"/>
    </row>
    <row r="101" ht="14.25" customHeight="1">
      <c r="Y101" s="62"/>
      <c r="Z101" s="62"/>
      <c r="AA101" s="62"/>
      <c r="AB101" s="62"/>
      <c r="AC101" s="62"/>
      <c r="AD101" s="62"/>
      <c r="AE101" s="62"/>
      <c r="AF101" s="62"/>
      <c r="AG101" s="62"/>
      <c r="AH101" s="62"/>
    </row>
    <row r="102" ht="14.25" customHeight="1">
      <c r="Y102" s="62"/>
      <c r="Z102" s="62"/>
      <c r="AA102" s="62"/>
      <c r="AB102" s="62"/>
      <c r="AC102" s="62"/>
      <c r="AD102" s="62"/>
      <c r="AE102" s="62"/>
      <c r="AF102" s="62"/>
      <c r="AG102" s="62"/>
      <c r="AH102" s="62"/>
    </row>
    <row r="103" ht="14.25" customHeight="1">
      <c r="Y103" s="62"/>
      <c r="Z103" s="62"/>
      <c r="AA103" s="62"/>
      <c r="AB103" s="62"/>
      <c r="AC103" s="62"/>
      <c r="AD103" s="62"/>
      <c r="AE103" s="62"/>
      <c r="AF103" s="62"/>
      <c r="AG103" s="62"/>
      <c r="AH103" s="62"/>
    </row>
    <row r="104" ht="14.25" customHeight="1">
      <c r="Y104" s="62"/>
      <c r="Z104" s="62"/>
      <c r="AA104" s="62"/>
      <c r="AB104" s="62"/>
      <c r="AC104" s="62"/>
      <c r="AD104" s="62"/>
      <c r="AE104" s="62"/>
      <c r="AF104" s="62"/>
      <c r="AG104" s="62"/>
      <c r="AH104" s="62"/>
    </row>
    <row r="105" ht="14.25" customHeight="1">
      <c r="Y105" s="62"/>
      <c r="Z105" s="62"/>
      <c r="AA105" s="62"/>
      <c r="AB105" s="62"/>
      <c r="AC105" s="62"/>
      <c r="AD105" s="62"/>
      <c r="AE105" s="62"/>
      <c r="AF105" s="62"/>
      <c r="AG105" s="62"/>
      <c r="AH105" s="62"/>
    </row>
    <row r="106" ht="14.25" customHeight="1">
      <c r="Y106" s="62"/>
      <c r="Z106" s="62"/>
      <c r="AA106" s="62"/>
      <c r="AB106" s="62"/>
      <c r="AC106" s="62"/>
      <c r="AD106" s="62"/>
      <c r="AE106" s="62"/>
      <c r="AF106" s="62"/>
      <c r="AG106" s="62"/>
      <c r="AH106" s="62"/>
    </row>
    <row r="107" ht="14.25" customHeight="1">
      <c r="Y107" s="62"/>
      <c r="Z107" s="62"/>
      <c r="AA107" s="62"/>
      <c r="AB107" s="62"/>
      <c r="AC107" s="62"/>
      <c r="AD107" s="62"/>
      <c r="AE107" s="62"/>
      <c r="AF107" s="62"/>
      <c r="AG107" s="62"/>
      <c r="AH107" s="62"/>
    </row>
    <row r="108" ht="14.25" customHeight="1">
      <c r="Y108" s="62"/>
      <c r="Z108" s="62"/>
      <c r="AA108" s="62"/>
      <c r="AB108" s="62"/>
      <c r="AC108" s="62"/>
      <c r="AD108" s="62"/>
      <c r="AE108" s="62"/>
      <c r="AF108" s="62"/>
      <c r="AG108" s="62"/>
      <c r="AH108" s="62"/>
    </row>
    <row r="109" ht="14.25" customHeight="1">
      <c r="Y109" s="62"/>
      <c r="Z109" s="62"/>
      <c r="AA109" s="62"/>
      <c r="AB109" s="62"/>
      <c r="AC109" s="62"/>
      <c r="AD109" s="62"/>
      <c r="AE109" s="62"/>
      <c r="AF109" s="62"/>
      <c r="AG109" s="62"/>
      <c r="AH109" s="62"/>
    </row>
    <row r="110" ht="14.25" customHeight="1">
      <c r="Y110" s="62"/>
      <c r="Z110" s="62"/>
      <c r="AA110" s="62"/>
      <c r="AB110" s="62"/>
      <c r="AC110" s="62"/>
      <c r="AD110" s="62"/>
      <c r="AE110" s="62"/>
      <c r="AF110" s="62"/>
      <c r="AG110" s="62"/>
      <c r="AH110" s="62"/>
    </row>
    <row r="111" ht="14.25" customHeight="1">
      <c r="Y111" s="62"/>
      <c r="Z111" s="62"/>
      <c r="AA111" s="62"/>
      <c r="AB111" s="62"/>
      <c r="AC111" s="62"/>
      <c r="AD111" s="62"/>
      <c r="AE111" s="62"/>
      <c r="AF111" s="62"/>
      <c r="AG111" s="62"/>
      <c r="AH111" s="62"/>
    </row>
    <row r="112" ht="14.25" customHeight="1">
      <c r="Y112" s="62"/>
      <c r="Z112" s="62"/>
      <c r="AA112" s="62"/>
      <c r="AB112" s="62"/>
      <c r="AC112" s="62"/>
      <c r="AD112" s="62"/>
      <c r="AE112" s="62"/>
      <c r="AF112" s="62"/>
      <c r="AG112" s="62"/>
      <c r="AH112" s="62"/>
    </row>
    <row r="113" ht="14.25" customHeight="1">
      <c r="Y113" s="62"/>
      <c r="Z113" s="62"/>
      <c r="AA113" s="62"/>
      <c r="AB113" s="62"/>
      <c r="AC113" s="62"/>
      <c r="AD113" s="62"/>
      <c r="AE113" s="62"/>
      <c r="AF113" s="62"/>
      <c r="AG113" s="62"/>
      <c r="AH113" s="62"/>
    </row>
    <row r="114" ht="14.25" customHeight="1">
      <c r="Y114" s="62"/>
      <c r="Z114" s="62"/>
      <c r="AA114" s="62"/>
      <c r="AB114" s="62"/>
      <c r="AC114" s="62"/>
      <c r="AD114" s="62"/>
      <c r="AE114" s="62"/>
      <c r="AF114" s="62"/>
      <c r="AG114" s="62"/>
      <c r="AH114" s="62"/>
    </row>
    <row r="115" ht="14.25" customHeight="1">
      <c r="Y115" s="62"/>
      <c r="Z115" s="62"/>
      <c r="AA115" s="62"/>
      <c r="AB115" s="62"/>
      <c r="AC115" s="62"/>
      <c r="AD115" s="62"/>
      <c r="AE115" s="62"/>
      <c r="AF115" s="62"/>
      <c r="AG115" s="62"/>
      <c r="AH115" s="62"/>
    </row>
    <row r="116" ht="14.25" customHeight="1">
      <c r="Y116" s="62"/>
      <c r="Z116" s="62"/>
      <c r="AA116" s="62"/>
      <c r="AB116" s="62"/>
      <c r="AC116" s="62"/>
      <c r="AD116" s="62"/>
      <c r="AE116" s="62"/>
      <c r="AF116" s="62"/>
      <c r="AG116" s="62"/>
      <c r="AH116" s="62"/>
    </row>
    <row r="117" ht="14.25" customHeight="1">
      <c r="Y117" s="62"/>
      <c r="Z117" s="62"/>
      <c r="AA117" s="62"/>
      <c r="AB117" s="62"/>
      <c r="AC117" s="62"/>
      <c r="AD117" s="62"/>
      <c r="AE117" s="62"/>
      <c r="AF117" s="62"/>
      <c r="AG117" s="62"/>
      <c r="AH117" s="62"/>
    </row>
    <row r="118" ht="14.25" customHeight="1">
      <c r="Y118" s="62"/>
      <c r="Z118" s="62"/>
      <c r="AA118" s="62"/>
      <c r="AB118" s="62"/>
      <c r="AC118" s="62"/>
      <c r="AD118" s="62"/>
      <c r="AE118" s="62"/>
      <c r="AF118" s="62"/>
      <c r="AG118" s="62"/>
      <c r="AH118" s="62"/>
    </row>
    <row r="119" ht="14.25" customHeight="1">
      <c r="Y119" s="62"/>
      <c r="Z119" s="62"/>
      <c r="AA119" s="62"/>
      <c r="AB119" s="62"/>
      <c r="AC119" s="62"/>
      <c r="AD119" s="62"/>
      <c r="AE119" s="62"/>
      <c r="AF119" s="62"/>
      <c r="AG119" s="62"/>
      <c r="AH119" s="62"/>
    </row>
    <row r="120" ht="14.25" customHeight="1">
      <c r="Y120" s="62"/>
      <c r="Z120" s="62"/>
      <c r="AA120" s="62"/>
      <c r="AB120" s="62"/>
      <c r="AC120" s="62"/>
      <c r="AD120" s="62"/>
      <c r="AE120" s="62"/>
      <c r="AF120" s="62"/>
      <c r="AG120" s="62"/>
      <c r="AH120" s="62"/>
    </row>
    <row r="121" ht="14.25" customHeight="1">
      <c r="Y121" s="62"/>
      <c r="Z121" s="62"/>
      <c r="AA121" s="62"/>
      <c r="AB121" s="62"/>
      <c r="AC121" s="62"/>
      <c r="AD121" s="62"/>
      <c r="AE121" s="62"/>
      <c r="AF121" s="62"/>
      <c r="AG121" s="62"/>
      <c r="AH121" s="62"/>
    </row>
    <row r="122" ht="14.25" customHeight="1">
      <c r="Y122" s="62"/>
      <c r="Z122" s="62"/>
      <c r="AA122" s="62"/>
      <c r="AB122" s="62"/>
      <c r="AC122" s="62"/>
      <c r="AD122" s="62"/>
      <c r="AE122" s="62"/>
      <c r="AF122" s="62"/>
      <c r="AG122" s="62"/>
      <c r="AH122" s="62"/>
    </row>
    <row r="123" ht="14.25" customHeight="1">
      <c r="Y123" s="62"/>
      <c r="Z123" s="62"/>
      <c r="AA123" s="62"/>
      <c r="AB123" s="62"/>
      <c r="AC123" s="62"/>
      <c r="AD123" s="62"/>
      <c r="AE123" s="62"/>
      <c r="AF123" s="62"/>
      <c r="AG123" s="62"/>
      <c r="AH123" s="62"/>
    </row>
    <row r="124" ht="14.25" customHeight="1">
      <c r="Y124" s="62"/>
      <c r="Z124" s="62"/>
      <c r="AA124" s="62"/>
      <c r="AB124" s="62"/>
      <c r="AC124" s="62"/>
      <c r="AD124" s="62"/>
      <c r="AE124" s="62"/>
      <c r="AF124" s="62"/>
      <c r="AG124" s="62"/>
      <c r="AH124" s="62"/>
    </row>
    <row r="125" ht="14.25" customHeight="1">
      <c r="Y125" s="62"/>
      <c r="Z125" s="62"/>
      <c r="AA125" s="62"/>
      <c r="AB125" s="62"/>
      <c r="AC125" s="62"/>
      <c r="AD125" s="62"/>
      <c r="AE125" s="62"/>
      <c r="AF125" s="62"/>
      <c r="AG125" s="62"/>
      <c r="AH125" s="62"/>
    </row>
    <row r="126" ht="14.25" customHeight="1">
      <c r="Y126" s="62"/>
      <c r="Z126" s="62"/>
      <c r="AA126" s="62"/>
      <c r="AB126" s="62"/>
      <c r="AC126" s="62"/>
      <c r="AD126" s="62"/>
      <c r="AE126" s="62"/>
      <c r="AF126" s="62"/>
      <c r="AG126" s="62"/>
      <c r="AH126" s="62"/>
    </row>
    <row r="127" ht="14.25" customHeight="1">
      <c r="Y127" s="62"/>
      <c r="Z127" s="62"/>
      <c r="AA127" s="62"/>
      <c r="AB127" s="62"/>
      <c r="AC127" s="62"/>
      <c r="AD127" s="62"/>
      <c r="AE127" s="62"/>
      <c r="AF127" s="62"/>
      <c r="AG127" s="62"/>
      <c r="AH127" s="62"/>
    </row>
    <row r="128" ht="14.25" customHeight="1">
      <c r="Y128" s="62"/>
      <c r="Z128" s="62"/>
      <c r="AA128" s="62"/>
      <c r="AB128" s="62"/>
      <c r="AC128" s="62"/>
      <c r="AD128" s="62"/>
      <c r="AE128" s="62"/>
      <c r="AF128" s="62"/>
      <c r="AG128" s="62"/>
      <c r="AH128" s="62"/>
    </row>
    <row r="129" ht="14.25" customHeight="1">
      <c r="Y129" s="62"/>
      <c r="Z129" s="62"/>
      <c r="AA129" s="62"/>
      <c r="AB129" s="62"/>
      <c r="AC129" s="62"/>
      <c r="AD129" s="62"/>
      <c r="AE129" s="62"/>
      <c r="AF129" s="62"/>
      <c r="AG129" s="62"/>
      <c r="AH129" s="62"/>
    </row>
    <row r="130" ht="14.25" customHeight="1">
      <c r="Y130" s="62"/>
      <c r="Z130" s="62"/>
      <c r="AA130" s="62"/>
      <c r="AB130" s="62"/>
      <c r="AC130" s="62"/>
      <c r="AD130" s="62"/>
      <c r="AE130" s="62"/>
      <c r="AF130" s="62"/>
      <c r="AG130" s="62"/>
      <c r="AH130" s="62"/>
    </row>
    <row r="131" ht="14.25" customHeight="1">
      <c r="Y131" s="62"/>
      <c r="Z131" s="62"/>
      <c r="AA131" s="62"/>
      <c r="AB131" s="62"/>
      <c r="AC131" s="62"/>
      <c r="AD131" s="62"/>
      <c r="AE131" s="62"/>
      <c r="AF131" s="62"/>
      <c r="AG131" s="62"/>
      <c r="AH131" s="62"/>
    </row>
    <row r="132" ht="14.25" customHeight="1">
      <c r="Y132" s="62"/>
      <c r="Z132" s="62"/>
      <c r="AA132" s="62"/>
      <c r="AB132" s="62"/>
      <c r="AC132" s="62"/>
      <c r="AD132" s="62"/>
      <c r="AE132" s="62"/>
      <c r="AF132" s="62"/>
      <c r="AG132" s="62"/>
      <c r="AH132" s="62"/>
    </row>
    <row r="133" ht="14.25" customHeight="1">
      <c r="Y133" s="62"/>
      <c r="Z133" s="62"/>
      <c r="AA133" s="62"/>
      <c r="AB133" s="62"/>
      <c r="AC133" s="62"/>
      <c r="AD133" s="62"/>
      <c r="AE133" s="62"/>
      <c r="AF133" s="62"/>
      <c r="AG133" s="62"/>
      <c r="AH133" s="62"/>
    </row>
    <row r="134" ht="14.25" customHeight="1">
      <c r="Y134" s="62"/>
      <c r="Z134" s="62"/>
      <c r="AA134" s="62"/>
      <c r="AB134" s="62"/>
      <c r="AC134" s="62"/>
      <c r="AD134" s="62"/>
      <c r="AE134" s="62"/>
      <c r="AF134" s="62"/>
      <c r="AG134" s="62"/>
      <c r="AH134" s="62"/>
    </row>
    <row r="135" ht="14.25" customHeight="1">
      <c r="Y135" s="62"/>
      <c r="Z135" s="62"/>
      <c r="AA135" s="62"/>
      <c r="AB135" s="62"/>
      <c r="AC135" s="62"/>
      <c r="AD135" s="62"/>
      <c r="AE135" s="62"/>
      <c r="AF135" s="62"/>
      <c r="AG135" s="62"/>
      <c r="AH135" s="62"/>
    </row>
    <row r="136" ht="14.25" customHeight="1">
      <c r="Y136" s="62"/>
      <c r="Z136" s="62"/>
      <c r="AA136" s="62"/>
      <c r="AB136" s="62"/>
      <c r="AC136" s="62"/>
      <c r="AD136" s="62"/>
      <c r="AE136" s="62"/>
      <c r="AF136" s="62"/>
      <c r="AG136" s="62"/>
      <c r="AH136" s="62"/>
    </row>
    <row r="137" ht="14.25" customHeight="1">
      <c r="Y137" s="62"/>
      <c r="Z137" s="62"/>
      <c r="AA137" s="62"/>
      <c r="AB137" s="62"/>
      <c r="AC137" s="62"/>
      <c r="AD137" s="62"/>
      <c r="AE137" s="62"/>
      <c r="AF137" s="62"/>
      <c r="AG137" s="62"/>
      <c r="AH137" s="62"/>
    </row>
    <row r="138" ht="14.25" customHeight="1">
      <c r="Y138" s="62"/>
      <c r="Z138" s="62"/>
      <c r="AA138" s="62"/>
      <c r="AB138" s="62"/>
      <c r="AC138" s="62"/>
      <c r="AD138" s="62"/>
      <c r="AE138" s="62"/>
      <c r="AF138" s="62"/>
      <c r="AG138" s="62"/>
      <c r="AH138" s="62"/>
    </row>
    <row r="139" ht="14.25" customHeight="1">
      <c r="Y139" s="62"/>
      <c r="Z139" s="62"/>
      <c r="AA139" s="62"/>
      <c r="AB139" s="62"/>
      <c r="AC139" s="62"/>
      <c r="AD139" s="62"/>
      <c r="AE139" s="62"/>
      <c r="AF139" s="62"/>
      <c r="AG139" s="62"/>
      <c r="AH139" s="62"/>
    </row>
    <row r="140" ht="14.25" customHeight="1">
      <c r="Y140" s="62"/>
      <c r="Z140" s="62"/>
      <c r="AA140" s="62"/>
      <c r="AB140" s="62"/>
      <c r="AC140" s="62"/>
      <c r="AD140" s="62"/>
      <c r="AE140" s="62"/>
      <c r="AF140" s="62"/>
      <c r="AG140" s="62"/>
      <c r="AH140" s="62"/>
    </row>
    <row r="141" ht="14.25" customHeight="1">
      <c r="Y141" s="62"/>
      <c r="Z141" s="62"/>
      <c r="AA141" s="62"/>
      <c r="AB141" s="62"/>
      <c r="AC141" s="62"/>
      <c r="AD141" s="62"/>
      <c r="AE141" s="62"/>
      <c r="AF141" s="62"/>
      <c r="AG141" s="62"/>
      <c r="AH141" s="62"/>
    </row>
    <row r="142" ht="14.25" customHeight="1">
      <c r="Y142" s="62"/>
      <c r="Z142" s="62"/>
      <c r="AA142" s="62"/>
      <c r="AB142" s="62"/>
      <c r="AC142" s="62"/>
      <c r="AD142" s="62"/>
      <c r="AE142" s="62"/>
      <c r="AF142" s="62"/>
      <c r="AG142" s="62"/>
      <c r="AH142" s="62"/>
    </row>
    <row r="143" ht="14.25" customHeight="1">
      <c r="Y143" s="62"/>
      <c r="Z143" s="62"/>
      <c r="AA143" s="62"/>
      <c r="AB143" s="62"/>
      <c r="AC143" s="62"/>
      <c r="AD143" s="62"/>
      <c r="AE143" s="62"/>
      <c r="AF143" s="62"/>
      <c r="AG143" s="62"/>
      <c r="AH143" s="62"/>
    </row>
    <row r="144" ht="14.25" customHeight="1">
      <c r="Y144" s="62"/>
      <c r="Z144" s="62"/>
      <c r="AA144" s="62"/>
      <c r="AB144" s="62"/>
      <c r="AC144" s="62"/>
      <c r="AD144" s="62"/>
      <c r="AE144" s="62"/>
      <c r="AF144" s="62"/>
      <c r="AG144" s="62"/>
      <c r="AH144" s="62"/>
    </row>
    <row r="145" ht="14.25" customHeight="1">
      <c r="Y145" s="62"/>
      <c r="Z145" s="62"/>
      <c r="AA145" s="62"/>
      <c r="AB145" s="62"/>
      <c r="AC145" s="62"/>
      <c r="AD145" s="62"/>
      <c r="AE145" s="62"/>
      <c r="AF145" s="62"/>
      <c r="AG145" s="62"/>
      <c r="AH145" s="62"/>
    </row>
    <row r="146" ht="14.25" customHeight="1">
      <c r="Y146" s="62"/>
      <c r="Z146" s="62"/>
      <c r="AA146" s="62"/>
      <c r="AB146" s="62"/>
      <c r="AC146" s="62"/>
      <c r="AD146" s="62"/>
      <c r="AE146" s="62"/>
      <c r="AF146" s="62"/>
      <c r="AG146" s="62"/>
      <c r="AH146" s="62"/>
    </row>
    <row r="147" ht="14.25" customHeight="1">
      <c r="Y147" s="62"/>
      <c r="Z147" s="62"/>
      <c r="AA147" s="62"/>
      <c r="AB147" s="62"/>
      <c r="AC147" s="62"/>
      <c r="AD147" s="62"/>
      <c r="AE147" s="62"/>
      <c r="AF147" s="62"/>
      <c r="AG147" s="62"/>
      <c r="AH147" s="62"/>
    </row>
    <row r="148" ht="14.25" customHeight="1">
      <c r="Y148" s="62"/>
      <c r="Z148" s="62"/>
      <c r="AA148" s="62"/>
      <c r="AB148" s="62"/>
      <c r="AC148" s="62"/>
      <c r="AD148" s="62"/>
      <c r="AE148" s="62"/>
      <c r="AF148" s="62"/>
      <c r="AG148" s="62"/>
      <c r="AH148" s="62"/>
    </row>
    <row r="149" ht="14.25" customHeight="1">
      <c r="Y149" s="62"/>
      <c r="Z149" s="62"/>
      <c r="AA149" s="62"/>
      <c r="AB149" s="62"/>
      <c r="AC149" s="62"/>
      <c r="AD149" s="62"/>
      <c r="AE149" s="62"/>
      <c r="AF149" s="62"/>
      <c r="AG149" s="62"/>
      <c r="AH149" s="62"/>
    </row>
    <row r="150" ht="14.25" customHeight="1">
      <c r="Y150" s="62"/>
      <c r="Z150" s="62"/>
      <c r="AA150" s="62"/>
      <c r="AB150" s="62"/>
      <c r="AC150" s="62"/>
      <c r="AD150" s="62"/>
      <c r="AE150" s="62"/>
      <c r="AF150" s="62"/>
      <c r="AG150" s="62"/>
      <c r="AH150" s="62"/>
    </row>
    <row r="151" ht="14.25" customHeight="1">
      <c r="Y151" s="62"/>
      <c r="Z151" s="62"/>
      <c r="AA151" s="62"/>
      <c r="AB151" s="62"/>
      <c r="AC151" s="62"/>
      <c r="AD151" s="62"/>
      <c r="AE151" s="62"/>
      <c r="AF151" s="62"/>
      <c r="AG151" s="62"/>
      <c r="AH151" s="62"/>
    </row>
    <row r="152" ht="14.25" customHeight="1">
      <c r="Y152" s="62"/>
      <c r="Z152" s="62"/>
      <c r="AA152" s="62"/>
      <c r="AB152" s="62"/>
      <c r="AC152" s="62"/>
      <c r="AD152" s="62"/>
      <c r="AE152" s="62"/>
      <c r="AF152" s="62"/>
      <c r="AG152" s="62"/>
      <c r="AH152" s="62"/>
    </row>
    <row r="153" ht="14.25" customHeight="1">
      <c r="Y153" s="62"/>
      <c r="Z153" s="62"/>
      <c r="AA153" s="62"/>
      <c r="AB153" s="62"/>
      <c r="AC153" s="62"/>
      <c r="AD153" s="62"/>
      <c r="AE153" s="62"/>
      <c r="AF153" s="62"/>
      <c r="AG153" s="62"/>
      <c r="AH153" s="62"/>
    </row>
    <row r="154" ht="14.25" customHeight="1">
      <c r="Y154" s="62"/>
      <c r="Z154" s="62"/>
      <c r="AA154" s="62"/>
      <c r="AB154" s="62"/>
      <c r="AC154" s="62"/>
      <c r="AD154" s="62"/>
      <c r="AE154" s="62"/>
      <c r="AF154" s="62"/>
      <c r="AG154" s="62"/>
      <c r="AH154" s="62"/>
    </row>
    <row r="155" ht="14.25" customHeight="1">
      <c r="Y155" s="62"/>
      <c r="Z155" s="62"/>
      <c r="AA155" s="62"/>
      <c r="AB155" s="62"/>
      <c r="AC155" s="62"/>
      <c r="AD155" s="62"/>
      <c r="AE155" s="62"/>
      <c r="AF155" s="62"/>
      <c r="AG155" s="62"/>
      <c r="AH155" s="62"/>
    </row>
    <row r="156" ht="14.25" customHeight="1">
      <c r="Y156" s="62"/>
      <c r="Z156" s="62"/>
      <c r="AA156" s="62"/>
      <c r="AB156" s="62"/>
      <c r="AC156" s="62"/>
      <c r="AD156" s="62"/>
      <c r="AE156" s="62"/>
      <c r="AF156" s="62"/>
      <c r="AG156" s="62"/>
      <c r="AH156" s="62"/>
    </row>
    <row r="157" ht="14.25" customHeight="1">
      <c r="Y157" s="62"/>
      <c r="Z157" s="62"/>
      <c r="AA157" s="62"/>
      <c r="AB157" s="62"/>
      <c r="AC157" s="62"/>
      <c r="AD157" s="62"/>
      <c r="AE157" s="62"/>
      <c r="AF157" s="62"/>
      <c r="AG157" s="62"/>
      <c r="AH157" s="62"/>
    </row>
    <row r="158" ht="14.25" customHeight="1">
      <c r="Y158" s="62"/>
      <c r="Z158" s="62"/>
      <c r="AA158" s="62"/>
      <c r="AB158" s="62"/>
      <c r="AC158" s="62"/>
      <c r="AD158" s="62"/>
      <c r="AE158" s="62"/>
      <c r="AF158" s="62"/>
      <c r="AG158" s="62"/>
      <c r="AH158" s="62"/>
    </row>
    <row r="159" ht="14.25" customHeight="1">
      <c r="Y159" s="62"/>
      <c r="Z159" s="62"/>
      <c r="AA159" s="62"/>
      <c r="AB159" s="62"/>
      <c r="AC159" s="62"/>
      <c r="AD159" s="62"/>
      <c r="AE159" s="62"/>
      <c r="AF159" s="62"/>
      <c r="AG159" s="62"/>
      <c r="AH159" s="62"/>
    </row>
    <row r="160" ht="14.25" customHeight="1">
      <c r="Y160" s="62"/>
      <c r="Z160" s="62"/>
      <c r="AA160" s="62"/>
      <c r="AB160" s="62"/>
      <c r="AC160" s="62"/>
      <c r="AD160" s="62"/>
      <c r="AE160" s="62"/>
      <c r="AF160" s="62"/>
      <c r="AG160" s="62"/>
      <c r="AH160" s="62"/>
    </row>
    <row r="161" ht="14.25" customHeight="1">
      <c r="Y161" s="62"/>
      <c r="Z161" s="62"/>
      <c r="AA161" s="62"/>
      <c r="AB161" s="62"/>
      <c r="AC161" s="62"/>
      <c r="AD161" s="62"/>
      <c r="AE161" s="62"/>
      <c r="AF161" s="62"/>
      <c r="AG161" s="62"/>
      <c r="AH161" s="62"/>
    </row>
    <row r="162" ht="14.25" customHeight="1">
      <c r="Y162" s="62"/>
      <c r="Z162" s="62"/>
      <c r="AA162" s="62"/>
      <c r="AB162" s="62"/>
      <c r="AC162" s="62"/>
      <c r="AD162" s="62"/>
      <c r="AE162" s="62"/>
      <c r="AF162" s="62"/>
      <c r="AG162" s="62"/>
      <c r="AH162" s="62"/>
    </row>
    <row r="163" ht="14.25" customHeight="1">
      <c r="Y163" s="62"/>
      <c r="Z163" s="62"/>
      <c r="AA163" s="62"/>
      <c r="AB163" s="62"/>
      <c r="AC163" s="62"/>
      <c r="AD163" s="62"/>
      <c r="AE163" s="62"/>
      <c r="AF163" s="62"/>
      <c r="AG163" s="62"/>
      <c r="AH163" s="62"/>
    </row>
    <row r="164" ht="14.25" customHeight="1">
      <c r="Y164" s="62"/>
      <c r="Z164" s="62"/>
      <c r="AA164" s="62"/>
      <c r="AB164" s="62"/>
      <c r="AC164" s="62"/>
      <c r="AD164" s="62"/>
      <c r="AE164" s="62"/>
      <c r="AF164" s="62"/>
      <c r="AG164" s="62"/>
      <c r="AH164" s="62"/>
    </row>
    <row r="165" ht="14.25" customHeight="1">
      <c r="Y165" s="62"/>
      <c r="Z165" s="62"/>
      <c r="AA165" s="62"/>
      <c r="AB165" s="62"/>
      <c r="AC165" s="62"/>
      <c r="AD165" s="62"/>
      <c r="AE165" s="62"/>
      <c r="AF165" s="62"/>
      <c r="AG165" s="62"/>
      <c r="AH165" s="62"/>
    </row>
    <row r="166" ht="14.25" customHeight="1">
      <c r="Y166" s="62"/>
      <c r="Z166" s="62"/>
      <c r="AA166" s="62"/>
      <c r="AB166" s="62"/>
      <c r="AC166" s="62"/>
      <c r="AD166" s="62"/>
      <c r="AE166" s="62"/>
      <c r="AF166" s="62"/>
      <c r="AG166" s="62"/>
      <c r="AH166" s="62"/>
    </row>
    <row r="167" ht="14.25" customHeight="1">
      <c r="Y167" s="62"/>
      <c r="Z167" s="62"/>
      <c r="AA167" s="62"/>
      <c r="AB167" s="62"/>
      <c r="AC167" s="62"/>
      <c r="AD167" s="62"/>
      <c r="AE167" s="62"/>
      <c r="AF167" s="62"/>
      <c r="AG167" s="62"/>
      <c r="AH167" s="62"/>
    </row>
    <row r="168" ht="14.25" customHeight="1">
      <c r="Y168" s="62"/>
      <c r="Z168" s="62"/>
      <c r="AA168" s="62"/>
      <c r="AB168" s="62"/>
      <c r="AC168" s="62"/>
      <c r="AD168" s="62"/>
      <c r="AE168" s="62"/>
      <c r="AF168" s="62"/>
      <c r="AG168" s="62"/>
      <c r="AH168" s="62"/>
    </row>
    <row r="169" ht="14.25" customHeight="1">
      <c r="Y169" s="62"/>
      <c r="Z169" s="62"/>
      <c r="AA169" s="62"/>
      <c r="AB169" s="62"/>
      <c r="AC169" s="62"/>
      <c r="AD169" s="62"/>
      <c r="AE169" s="62"/>
      <c r="AF169" s="62"/>
      <c r="AG169" s="62"/>
      <c r="AH169" s="62"/>
    </row>
    <row r="170" ht="14.25" customHeight="1">
      <c r="Y170" s="62"/>
      <c r="Z170" s="62"/>
      <c r="AA170" s="62"/>
      <c r="AB170" s="62"/>
      <c r="AC170" s="62"/>
      <c r="AD170" s="62"/>
      <c r="AE170" s="62"/>
      <c r="AF170" s="62"/>
      <c r="AG170" s="62"/>
      <c r="AH170" s="62"/>
    </row>
    <row r="171" ht="14.25" customHeight="1">
      <c r="Y171" s="62"/>
      <c r="Z171" s="62"/>
      <c r="AA171" s="62"/>
      <c r="AB171" s="62"/>
      <c r="AC171" s="62"/>
      <c r="AD171" s="62"/>
      <c r="AE171" s="62"/>
      <c r="AF171" s="62"/>
      <c r="AG171" s="62"/>
      <c r="AH171" s="62"/>
    </row>
    <row r="172" ht="14.25" customHeight="1">
      <c r="Y172" s="62"/>
      <c r="Z172" s="62"/>
      <c r="AA172" s="62"/>
      <c r="AB172" s="62"/>
      <c r="AC172" s="62"/>
      <c r="AD172" s="62"/>
      <c r="AE172" s="62"/>
      <c r="AF172" s="62"/>
      <c r="AG172" s="62"/>
      <c r="AH172" s="62"/>
    </row>
    <row r="173" ht="14.25" customHeight="1">
      <c r="Y173" s="62"/>
      <c r="Z173" s="62"/>
      <c r="AA173" s="62"/>
      <c r="AB173" s="62"/>
      <c r="AC173" s="62"/>
      <c r="AD173" s="62"/>
      <c r="AE173" s="62"/>
      <c r="AF173" s="62"/>
      <c r="AG173" s="62"/>
      <c r="AH173" s="62"/>
    </row>
    <row r="174" ht="14.25" customHeight="1">
      <c r="Y174" s="62"/>
      <c r="Z174" s="62"/>
      <c r="AA174" s="62"/>
      <c r="AB174" s="62"/>
      <c r="AC174" s="62"/>
      <c r="AD174" s="62"/>
      <c r="AE174" s="62"/>
      <c r="AF174" s="62"/>
      <c r="AG174" s="62"/>
      <c r="AH174" s="62"/>
    </row>
    <row r="175" ht="14.25" customHeight="1">
      <c r="Y175" s="62"/>
      <c r="Z175" s="62"/>
      <c r="AA175" s="62"/>
      <c r="AB175" s="62"/>
      <c r="AC175" s="62"/>
      <c r="AD175" s="62"/>
      <c r="AE175" s="62"/>
      <c r="AF175" s="62"/>
      <c r="AG175" s="62"/>
      <c r="AH175" s="62"/>
    </row>
    <row r="176" ht="14.25" customHeight="1">
      <c r="Y176" s="62"/>
      <c r="Z176" s="62"/>
      <c r="AA176" s="62"/>
      <c r="AB176" s="62"/>
      <c r="AC176" s="62"/>
      <c r="AD176" s="62"/>
      <c r="AE176" s="62"/>
      <c r="AF176" s="62"/>
      <c r="AG176" s="62"/>
      <c r="AH176" s="62"/>
    </row>
    <row r="177" ht="14.25" customHeight="1">
      <c r="Y177" s="62"/>
      <c r="Z177" s="62"/>
      <c r="AA177" s="62"/>
      <c r="AB177" s="62"/>
      <c r="AC177" s="62"/>
      <c r="AD177" s="62"/>
      <c r="AE177" s="62"/>
      <c r="AF177" s="62"/>
      <c r="AG177" s="62"/>
      <c r="AH177" s="62"/>
    </row>
    <row r="178" ht="14.25" customHeight="1">
      <c r="Y178" s="62"/>
      <c r="Z178" s="62"/>
      <c r="AA178" s="62"/>
      <c r="AB178" s="62"/>
      <c r="AC178" s="62"/>
      <c r="AD178" s="62"/>
      <c r="AE178" s="62"/>
      <c r="AF178" s="62"/>
      <c r="AG178" s="62"/>
      <c r="AH178" s="62"/>
    </row>
    <row r="179" ht="14.25" customHeight="1">
      <c r="Y179" s="62"/>
      <c r="Z179" s="62"/>
      <c r="AA179" s="62"/>
      <c r="AB179" s="62"/>
      <c r="AC179" s="62"/>
      <c r="AD179" s="62"/>
      <c r="AE179" s="62"/>
      <c r="AF179" s="62"/>
      <c r="AG179" s="62"/>
      <c r="AH179" s="62"/>
    </row>
    <row r="180" ht="14.25" customHeight="1">
      <c r="Y180" s="62"/>
      <c r="Z180" s="62"/>
      <c r="AA180" s="62"/>
      <c r="AB180" s="62"/>
      <c r="AC180" s="62"/>
      <c r="AD180" s="62"/>
      <c r="AE180" s="62"/>
      <c r="AF180" s="62"/>
      <c r="AG180" s="62"/>
      <c r="AH180" s="62"/>
    </row>
    <row r="181" ht="14.25" customHeight="1">
      <c r="Y181" s="62"/>
      <c r="Z181" s="62"/>
      <c r="AA181" s="62"/>
      <c r="AB181" s="62"/>
      <c r="AC181" s="62"/>
      <c r="AD181" s="62"/>
      <c r="AE181" s="62"/>
      <c r="AF181" s="62"/>
      <c r="AG181" s="62"/>
      <c r="AH181" s="62"/>
    </row>
    <row r="182" ht="14.25" customHeight="1">
      <c r="Y182" s="62"/>
      <c r="Z182" s="62"/>
      <c r="AA182" s="62"/>
      <c r="AB182" s="62"/>
      <c r="AC182" s="62"/>
      <c r="AD182" s="62"/>
      <c r="AE182" s="62"/>
      <c r="AF182" s="62"/>
      <c r="AG182" s="62"/>
      <c r="AH182" s="62"/>
    </row>
    <row r="183" ht="14.25" customHeight="1">
      <c r="Y183" s="62"/>
      <c r="Z183" s="62"/>
      <c r="AA183" s="62"/>
      <c r="AB183" s="62"/>
      <c r="AC183" s="62"/>
      <c r="AD183" s="62"/>
      <c r="AE183" s="62"/>
      <c r="AF183" s="62"/>
      <c r="AG183" s="62"/>
      <c r="AH183" s="62"/>
    </row>
    <row r="184" ht="14.25" customHeight="1">
      <c r="Y184" s="62"/>
      <c r="Z184" s="62"/>
      <c r="AA184" s="62"/>
      <c r="AB184" s="62"/>
      <c r="AC184" s="62"/>
      <c r="AD184" s="62"/>
      <c r="AE184" s="62"/>
      <c r="AF184" s="62"/>
      <c r="AG184" s="62"/>
      <c r="AH184" s="62"/>
    </row>
    <row r="185" ht="14.25" customHeight="1">
      <c r="Y185" s="62"/>
      <c r="Z185" s="62"/>
      <c r="AA185" s="62"/>
      <c r="AB185" s="62"/>
      <c r="AC185" s="62"/>
      <c r="AD185" s="62"/>
      <c r="AE185" s="62"/>
      <c r="AF185" s="62"/>
      <c r="AG185" s="62"/>
      <c r="AH185" s="62"/>
    </row>
    <row r="186" ht="14.25" customHeight="1">
      <c r="Y186" s="62"/>
      <c r="Z186" s="62"/>
      <c r="AA186" s="62"/>
      <c r="AB186" s="62"/>
      <c r="AC186" s="62"/>
      <c r="AD186" s="62"/>
      <c r="AE186" s="62"/>
      <c r="AF186" s="62"/>
      <c r="AG186" s="62"/>
      <c r="AH186" s="62"/>
    </row>
    <row r="187" ht="14.25" customHeight="1">
      <c r="Y187" s="62"/>
      <c r="Z187" s="62"/>
      <c r="AA187" s="62"/>
      <c r="AB187" s="62"/>
      <c r="AC187" s="62"/>
      <c r="AD187" s="62"/>
      <c r="AE187" s="62"/>
      <c r="AF187" s="62"/>
      <c r="AG187" s="62"/>
      <c r="AH187" s="62"/>
    </row>
    <row r="188" ht="14.25" customHeight="1">
      <c r="Y188" s="62"/>
      <c r="Z188" s="62"/>
      <c r="AA188" s="62"/>
      <c r="AB188" s="62"/>
      <c r="AC188" s="62"/>
      <c r="AD188" s="62"/>
      <c r="AE188" s="62"/>
      <c r="AF188" s="62"/>
      <c r="AG188" s="62"/>
      <c r="AH188" s="62"/>
    </row>
    <row r="189" ht="14.25" customHeight="1">
      <c r="Y189" s="62"/>
      <c r="Z189" s="62"/>
      <c r="AA189" s="62"/>
      <c r="AB189" s="62"/>
      <c r="AC189" s="62"/>
      <c r="AD189" s="62"/>
      <c r="AE189" s="62"/>
      <c r="AF189" s="62"/>
      <c r="AG189" s="62"/>
      <c r="AH189" s="62"/>
    </row>
    <row r="190" ht="14.25" customHeight="1">
      <c r="Y190" s="62"/>
      <c r="Z190" s="62"/>
      <c r="AA190" s="62"/>
      <c r="AB190" s="62"/>
      <c r="AC190" s="62"/>
      <c r="AD190" s="62"/>
      <c r="AE190" s="62"/>
      <c r="AF190" s="62"/>
      <c r="AG190" s="62"/>
      <c r="AH190" s="62"/>
    </row>
    <row r="191" ht="14.25" customHeight="1">
      <c r="Y191" s="62"/>
      <c r="Z191" s="62"/>
      <c r="AA191" s="62"/>
      <c r="AB191" s="62"/>
      <c r="AC191" s="62"/>
      <c r="AD191" s="62"/>
      <c r="AE191" s="62"/>
      <c r="AF191" s="62"/>
      <c r="AG191" s="62"/>
      <c r="AH191" s="62"/>
    </row>
    <row r="192" ht="14.25" customHeight="1">
      <c r="Y192" s="62"/>
      <c r="Z192" s="62"/>
      <c r="AA192" s="62"/>
      <c r="AB192" s="62"/>
      <c r="AC192" s="62"/>
      <c r="AD192" s="62"/>
      <c r="AE192" s="62"/>
      <c r="AF192" s="62"/>
      <c r="AG192" s="62"/>
      <c r="AH192" s="62"/>
    </row>
    <row r="193" ht="14.25" customHeight="1">
      <c r="Y193" s="62"/>
      <c r="Z193" s="62"/>
      <c r="AA193" s="62"/>
      <c r="AB193" s="62"/>
      <c r="AC193" s="62"/>
      <c r="AD193" s="62"/>
      <c r="AE193" s="62"/>
      <c r="AF193" s="62"/>
      <c r="AG193" s="62"/>
      <c r="AH193" s="62"/>
    </row>
    <row r="194" ht="14.25" customHeight="1">
      <c r="Y194" s="62"/>
      <c r="Z194" s="62"/>
      <c r="AA194" s="62"/>
      <c r="AB194" s="62"/>
      <c r="AC194" s="62"/>
      <c r="AD194" s="62"/>
      <c r="AE194" s="62"/>
      <c r="AF194" s="62"/>
      <c r="AG194" s="62"/>
      <c r="AH194" s="62"/>
    </row>
    <row r="195" ht="14.25" customHeight="1">
      <c r="Y195" s="62"/>
      <c r="Z195" s="62"/>
      <c r="AA195" s="62"/>
      <c r="AB195" s="62"/>
      <c r="AC195" s="62"/>
      <c r="AD195" s="62"/>
      <c r="AE195" s="62"/>
      <c r="AF195" s="62"/>
      <c r="AG195" s="62"/>
      <c r="AH195" s="62"/>
    </row>
    <row r="196" ht="14.25" customHeight="1">
      <c r="Y196" s="62"/>
      <c r="Z196" s="62"/>
      <c r="AA196" s="62"/>
      <c r="AB196" s="62"/>
      <c r="AC196" s="62"/>
      <c r="AD196" s="62"/>
      <c r="AE196" s="62"/>
      <c r="AF196" s="62"/>
      <c r="AG196" s="62"/>
      <c r="AH196" s="62"/>
    </row>
    <row r="197" ht="14.25" customHeight="1">
      <c r="Y197" s="62"/>
      <c r="Z197" s="62"/>
      <c r="AA197" s="62"/>
      <c r="AB197" s="62"/>
      <c r="AC197" s="62"/>
      <c r="AD197" s="62"/>
      <c r="AE197" s="62"/>
      <c r="AF197" s="62"/>
      <c r="AG197" s="62"/>
      <c r="AH197" s="62"/>
    </row>
    <row r="198" ht="14.25" customHeight="1">
      <c r="Y198" s="62"/>
      <c r="Z198" s="62"/>
      <c r="AA198" s="62"/>
      <c r="AB198" s="62"/>
      <c r="AC198" s="62"/>
      <c r="AD198" s="62"/>
      <c r="AE198" s="62"/>
      <c r="AF198" s="62"/>
      <c r="AG198" s="62"/>
      <c r="AH198" s="62"/>
    </row>
    <row r="199" ht="14.25" customHeight="1">
      <c r="Y199" s="62"/>
      <c r="Z199" s="62"/>
      <c r="AA199" s="62"/>
      <c r="AB199" s="62"/>
      <c r="AC199" s="62"/>
      <c r="AD199" s="62"/>
      <c r="AE199" s="62"/>
      <c r="AF199" s="62"/>
      <c r="AG199" s="62"/>
      <c r="AH199" s="62"/>
    </row>
    <row r="200" ht="14.25" customHeight="1">
      <c r="Y200" s="62"/>
      <c r="Z200" s="62"/>
      <c r="AA200" s="62"/>
      <c r="AB200" s="62"/>
      <c r="AC200" s="62"/>
      <c r="AD200" s="62"/>
      <c r="AE200" s="62"/>
      <c r="AF200" s="62"/>
      <c r="AG200" s="62"/>
      <c r="AH200" s="62"/>
    </row>
    <row r="201" ht="14.25" customHeight="1">
      <c r="Y201" s="62"/>
      <c r="Z201" s="62"/>
      <c r="AA201" s="62"/>
      <c r="AB201" s="62"/>
      <c r="AC201" s="62"/>
      <c r="AD201" s="62"/>
      <c r="AE201" s="62"/>
      <c r="AF201" s="62"/>
      <c r="AG201" s="62"/>
      <c r="AH201" s="62"/>
    </row>
    <row r="202" ht="14.25" customHeight="1">
      <c r="Y202" s="62"/>
      <c r="Z202" s="62"/>
      <c r="AA202" s="62"/>
      <c r="AB202" s="62"/>
      <c r="AC202" s="62"/>
      <c r="AD202" s="62"/>
      <c r="AE202" s="62"/>
      <c r="AF202" s="62"/>
      <c r="AG202" s="62"/>
      <c r="AH202" s="62"/>
    </row>
    <row r="203" ht="14.25" customHeight="1">
      <c r="Y203" s="62"/>
      <c r="Z203" s="62"/>
      <c r="AA203" s="62"/>
      <c r="AB203" s="62"/>
      <c r="AC203" s="62"/>
      <c r="AD203" s="62"/>
      <c r="AE203" s="62"/>
      <c r="AF203" s="62"/>
      <c r="AG203" s="62"/>
      <c r="AH203" s="62"/>
    </row>
    <row r="204" ht="14.25" customHeight="1">
      <c r="Y204" s="62"/>
      <c r="Z204" s="62"/>
      <c r="AA204" s="62"/>
      <c r="AB204" s="62"/>
      <c r="AC204" s="62"/>
      <c r="AD204" s="62"/>
      <c r="AE204" s="62"/>
      <c r="AF204" s="62"/>
      <c r="AG204" s="62"/>
      <c r="AH204" s="62"/>
    </row>
    <row r="205" ht="14.25" customHeight="1">
      <c r="Y205" s="62"/>
      <c r="Z205" s="62"/>
      <c r="AA205" s="62"/>
      <c r="AB205" s="62"/>
      <c r="AC205" s="62"/>
      <c r="AD205" s="62"/>
      <c r="AE205" s="62"/>
      <c r="AF205" s="62"/>
      <c r="AG205" s="62"/>
      <c r="AH205" s="62"/>
    </row>
    <row r="206" ht="14.25" customHeight="1">
      <c r="Y206" s="62"/>
      <c r="Z206" s="62"/>
      <c r="AA206" s="62"/>
      <c r="AB206" s="62"/>
      <c r="AC206" s="62"/>
      <c r="AD206" s="62"/>
      <c r="AE206" s="62"/>
      <c r="AF206" s="62"/>
      <c r="AG206" s="62"/>
      <c r="AH206" s="62"/>
    </row>
    <row r="207" ht="14.25" customHeight="1">
      <c r="Y207" s="62"/>
      <c r="Z207" s="62"/>
      <c r="AA207" s="62"/>
      <c r="AB207" s="62"/>
      <c r="AC207" s="62"/>
      <c r="AD207" s="62"/>
      <c r="AE207" s="62"/>
      <c r="AF207" s="62"/>
      <c r="AG207" s="62"/>
      <c r="AH207" s="62"/>
    </row>
    <row r="208" ht="14.25" customHeight="1">
      <c r="Y208" s="62"/>
      <c r="Z208" s="62"/>
      <c r="AA208" s="62"/>
      <c r="AB208" s="62"/>
      <c r="AC208" s="62"/>
      <c r="AD208" s="62"/>
      <c r="AE208" s="62"/>
      <c r="AF208" s="62"/>
      <c r="AG208" s="62"/>
      <c r="AH208" s="62"/>
    </row>
    <row r="209" ht="14.25" customHeight="1">
      <c r="Y209" s="62"/>
      <c r="Z209" s="62"/>
      <c r="AA209" s="62"/>
      <c r="AB209" s="62"/>
      <c r="AC209" s="62"/>
      <c r="AD209" s="62"/>
      <c r="AE209" s="62"/>
      <c r="AF209" s="62"/>
      <c r="AG209" s="62"/>
      <c r="AH209" s="62"/>
    </row>
    <row r="210" ht="14.25" customHeight="1">
      <c r="Y210" s="62"/>
      <c r="Z210" s="62"/>
      <c r="AA210" s="62"/>
      <c r="AB210" s="62"/>
      <c r="AC210" s="62"/>
      <c r="AD210" s="62"/>
      <c r="AE210" s="62"/>
      <c r="AF210" s="62"/>
      <c r="AG210" s="62"/>
      <c r="AH210" s="62"/>
    </row>
    <row r="211" ht="14.25" customHeight="1">
      <c r="Y211" s="62"/>
      <c r="Z211" s="62"/>
      <c r="AA211" s="62"/>
      <c r="AB211" s="62"/>
      <c r="AC211" s="62"/>
      <c r="AD211" s="62"/>
      <c r="AE211" s="62"/>
      <c r="AF211" s="62"/>
      <c r="AG211" s="62"/>
      <c r="AH211" s="62"/>
    </row>
    <row r="212" ht="14.25" customHeight="1">
      <c r="Y212" s="62"/>
      <c r="Z212" s="62"/>
      <c r="AA212" s="62"/>
      <c r="AB212" s="62"/>
      <c r="AC212" s="62"/>
      <c r="AD212" s="62"/>
      <c r="AE212" s="62"/>
      <c r="AF212" s="62"/>
      <c r="AG212" s="62"/>
      <c r="AH212" s="62"/>
    </row>
    <row r="213" ht="14.25" customHeight="1">
      <c r="Y213" s="62"/>
      <c r="Z213" s="62"/>
      <c r="AA213" s="62"/>
      <c r="AB213" s="62"/>
      <c r="AC213" s="62"/>
      <c r="AD213" s="62"/>
      <c r="AE213" s="62"/>
      <c r="AF213" s="62"/>
      <c r="AG213" s="62"/>
      <c r="AH213" s="62"/>
    </row>
    <row r="214" ht="14.25" customHeight="1">
      <c r="Y214" s="62"/>
      <c r="Z214" s="62"/>
      <c r="AA214" s="62"/>
      <c r="AB214" s="62"/>
      <c r="AC214" s="62"/>
      <c r="AD214" s="62"/>
      <c r="AE214" s="62"/>
      <c r="AF214" s="62"/>
      <c r="AG214" s="62"/>
      <c r="AH214" s="62"/>
    </row>
    <row r="215" ht="14.25" customHeight="1">
      <c r="Y215" s="62"/>
      <c r="Z215" s="62"/>
      <c r="AA215" s="62"/>
      <c r="AB215" s="62"/>
      <c r="AC215" s="62"/>
      <c r="AD215" s="62"/>
      <c r="AE215" s="62"/>
      <c r="AF215" s="62"/>
      <c r="AG215" s="62"/>
      <c r="AH215" s="62"/>
    </row>
    <row r="216" ht="14.25" customHeight="1">
      <c r="Y216" s="62"/>
      <c r="Z216" s="62"/>
      <c r="AA216" s="62"/>
      <c r="AB216" s="62"/>
      <c r="AC216" s="62"/>
      <c r="AD216" s="62"/>
      <c r="AE216" s="62"/>
      <c r="AF216" s="62"/>
      <c r="AG216" s="62"/>
      <c r="AH216" s="62"/>
    </row>
    <row r="217" ht="14.25" customHeight="1">
      <c r="Y217" s="62"/>
      <c r="Z217" s="62"/>
      <c r="AA217" s="62"/>
      <c r="AB217" s="62"/>
      <c r="AC217" s="62"/>
      <c r="AD217" s="62"/>
      <c r="AE217" s="62"/>
      <c r="AF217" s="62"/>
      <c r="AG217" s="62"/>
      <c r="AH217" s="62"/>
    </row>
    <row r="218" ht="14.25" customHeight="1">
      <c r="Y218" s="62"/>
      <c r="Z218" s="62"/>
      <c r="AA218" s="62"/>
      <c r="AB218" s="62"/>
      <c r="AC218" s="62"/>
      <c r="AD218" s="62"/>
      <c r="AE218" s="62"/>
      <c r="AF218" s="62"/>
      <c r="AG218" s="62"/>
      <c r="AH218" s="62"/>
    </row>
    <row r="219" ht="14.25" customHeight="1">
      <c r="Y219" s="62"/>
      <c r="Z219" s="62"/>
      <c r="AA219" s="62"/>
      <c r="AB219" s="62"/>
      <c r="AC219" s="62"/>
      <c r="AD219" s="62"/>
      <c r="AE219" s="62"/>
      <c r="AF219" s="62"/>
      <c r="AG219" s="62"/>
      <c r="AH219" s="62"/>
    </row>
    <row r="220" ht="14.25" customHeight="1">
      <c r="Y220" s="62"/>
      <c r="Z220" s="62"/>
      <c r="AA220" s="62"/>
      <c r="AB220" s="62"/>
      <c r="AC220" s="62"/>
      <c r="AD220" s="62"/>
      <c r="AE220" s="62"/>
      <c r="AF220" s="62"/>
      <c r="AG220" s="62"/>
      <c r="AH220" s="62"/>
    </row>
    <row r="221" ht="14.25" customHeight="1">
      <c r="Y221" s="62"/>
      <c r="Z221" s="62"/>
      <c r="AA221" s="62"/>
      <c r="AB221" s="62"/>
      <c r="AC221" s="62"/>
      <c r="AD221" s="62"/>
      <c r="AE221" s="62"/>
      <c r="AF221" s="62"/>
      <c r="AG221" s="62"/>
      <c r="AH221" s="6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1:J1"/>
    <mergeCell ref="K1:P1"/>
    <mergeCell ref="D2:J2"/>
    <mergeCell ref="K2:P2"/>
  </mergeCells>
  <dataValidations>
    <dataValidation type="list" allowBlank="1" showErrorMessage="1" sqref="Y5:AG28">
      <formula1>"Ada,Belum Ada,Proses,Belum mengurus"</formula1>
    </dataValidation>
    <dataValidation type="list" allowBlank="1" showErrorMessage="1" sqref="G11">
      <formula1>"Belum Operasional,Sudah operasional,Tahap Persiapan"</formula1>
    </dataValidation>
    <dataValidation type="list" allowBlank="1" showErrorMessage="1" sqref="G5:G10">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1.57"/>
    <col customWidth="1" min="3" max="3" width="21.86"/>
    <col customWidth="1" min="4" max="4" width="11.86"/>
    <col customWidth="1" min="5" max="5" width="19.29"/>
    <col customWidth="1" min="6" max="7" width="15.86"/>
    <col customWidth="1" min="8" max="10" width="21.14"/>
    <col customWidth="1" min="11" max="17" width="27.0"/>
    <col customWidth="1" min="18" max="23" width="26.43"/>
    <col customWidth="1" min="24" max="24" width="18.43"/>
    <col customWidth="1" min="25" max="34" width="8.71"/>
  </cols>
  <sheetData>
    <row r="1" ht="14.25" customHeight="1">
      <c r="K1" s="63" t="s">
        <v>1</v>
      </c>
      <c r="Y1" s="62"/>
      <c r="Z1" s="62"/>
      <c r="AA1" s="62"/>
      <c r="AB1" s="62"/>
      <c r="AC1" s="62"/>
      <c r="AD1" s="62"/>
      <c r="AE1" s="62"/>
      <c r="AF1" s="62"/>
      <c r="AG1" s="62"/>
      <c r="AH1" s="62"/>
    </row>
    <row r="2" ht="14.25" customHeight="1">
      <c r="K2" s="137" t="s">
        <v>2</v>
      </c>
      <c r="Y2" s="62"/>
      <c r="Z2" s="62"/>
      <c r="AA2" s="62"/>
      <c r="AB2" s="62"/>
      <c r="AC2" s="62"/>
      <c r="AD2" s="62"/>
      <c r="AE2" s="62"/>
      <c r="AF2" s="62"/>
      <c r="AG2" s="62"/>
      <c r="AH2" s="62"/>
    </row>
    <row r="3" ht="14.25" customHeight="1">
      <c r="Y3" s="62"/>
      <c r="Z3" s="62"/>
      <c r="AA3" s="62"/>
      <c r="AB3" s="62"/>
      <c r="AC3" s="62"/>
      <c r="AD3" s="62"/>
      <c r="AE3" s="62"/>
      <c r="AF3" s="62"/>
      <c r="AG3" s="62"/>
      <c r="AH3" s="62"/>
    </row>
    <row r="4" ht="40.5" customHeight="1">
      <c r="A4" s="65" t="s">
        <v>3</v>
      </c>
      <c r="B4" s="65" t="s">
        <v>4</v>
      </c>
      <c r="C4" s="65" t="s">
        <v>5</v>
      </c>
      <c r="D4" s="65" t="s">
        <v>6</v>
      </c>
      <c r="E4" s="65" t="s">
        <v>7</v>
      </c>
      <c r="F4" s="65" t="s">
        <v>8</v>
      </c>
      <c r="G4" s="67" t="s">
        <v>43</v>
      </c>
      <c r="H4" s="65" t="s">
        <v>1084</v>
      </c>
      <c r="I4" s="65" t="s">
        <v>12</v>
      </c>
      <c r="J4" s="65" t="s">
        <v>13</v>
      </c>
      <c r="K4" s="65" t="s">
        <v>14</v>
      </c>
      <c r="L4" s="65" t="s">
        <v>15</v>
      </c>
      <c r="M4" s="65" t="s">
        <v>16</v>
      </c>
      <c r="N4" s="65" t="s">
        <v>147</v>
      </c>
      <c r="O4" s="65" t="s">
        <v>18</v>
      </c>
      <c r="P4" s="65" t="s">
        <v>19</v>
      </c>
      <c r="Q4" s="65" t="s">
        <v>20</v>
      </c>
      <c r="R4" s="65" t="s">
        <v>21</v>
      </c>
      <c r="S4" s="65" t="s">
        <v>22</v>
      </c>
      <c r="T4" s="65" t="s">
        <v>23</v>
      </c>
      <c r="U4" s="65" t="s">
        <v>24</v>
      </c>
      <c r="V4" s="65" t="s">
        <v>25</v>
      </c>
      <c r="W4" s="65" t="s">
        <v>26</v>
      </c>
      <c r="X4" s="65" t="s">
        <v>27</v>
      </c>
      <c r="Y4" s="66" t="s">
        <v>28</v>
      </c>
      <c r="Z4" s="66" t="s">
        <v>29</v>
      </c>
      <c r="AA4" s="66" t="s">
        <v>30</v>
      </c>
      <c r="AB4" s="66" t="s">
        <v>31</v>
      </c>
      <c r="AC4" s="66" t="s">
        <v>32</v>
      </c>
      <c r="AD4" s="66" t="s">
        <v>33</v>
      </c>
      <c r="AE4" s="66" t="s">
        <v>34</v>
      </c>
      <c r="AF4" s="66" t="s">
        <v>35</v>
      </c>
      <c r="AG4" s="66" t="s">
        <v>36</v>
      </c>
      <c r="AH4" s="66" t="s">
        <v>37</v>
      </c>
    </row>
    <row r="5" ht="14.25" customHeight="1">
      <c r="A5" s="67">
        <v>1.0</v>
      </c>
      <c r="B5" s="67" t="s">
        <v>1220</v>
      </c>
      <c r="C5" s="67" t="s">
        <v>1221</v>
      </c>
      <c r="D5" s="67" t="s">
        <v>1222</v>
      </c>
      <c r="E5" s="67" t="s">
        <v>1223</v>
      </c>
      <c r="F5" s="67" t="s">
        <v>1224</v>
      </c>
      <c r="G5" s="67" t="s">
        <v>43</v>
      </c>
      <c r="H5" s="141">
        <v>46055.0</v>
      </c>
      <c r="I5" s="67" t="s">
        <v>1225</v>
      </c>
      <c r="J5" s="67">
        <v>8.1260799136E10</v>
      </c>
      <c r="K5" s="90">
        <v>2447.0</v>
      </c>
      <c r="L5" s="67" t="s">
        <v>1226</v>
      </c>
      <c r="M5" s="90" t="s">
        <v>1227</v>
      </c>
      <c r="N5" s="90" t="s">
        <v>1228</v>
      </c>
      <c r="O5" s="67"/>
      <c r="P5" s="67" t="s">
        <v>1229</v>
      </c>
      <c r="Q5" s="67" t="s">
        <v>1230</v>
      </c>
      <c r="R5" s="67" t="s">
        <v>1231</v>
      </c>
      <c r="S5" s="90" t="s">
        <v>1232</v>
      </c>
      <c r="T5" s="90" t="s">
        <v>1233</v>
      </c>
      <c r="U5" s="90" t="s">
        <v>1234</v>
      </c>
      <c r="V5" s="67"/>
      <c r="W5" s="67"/>
      <c r="X5" s="68"/>
      <c r="Y5" s="54" t="s">
        <v>54</v>
      </c>
      <c r="Z5" s="139" t="s">
        <v>54</v>
      </c>
      <c r="AA5" s="139" t="s">
        <v>145</v>
      </c>
      <c r="AB5" s="139" t="s">
        <v>145</v>
      </c>
      <c r="AC5" s="139" t="s">
        <v>145</v>
      </c>
      <c r="AD5" s="139" t="s">
        <v>145</v>
      </c>
      <c r="AE5" s="139" t="s">
        <v>145</v>
      </c>
      <c r="AF5" s="139" t="s">
        <v>54</v>
      </c>
      <c r="AG5" s="139" t="s">
        <v>145</v>
      </c>
      <c r="AH5" s="139">
        <v>47.0</v>
      </c>
    </row>
    <row r="6" ht="14.25" customHeight="1">
      <c r="A6" s="67">
        <v>2.0</v>
      </c>
      <c r="B6" s="67" t="s">
        <v>1220</v>
      </c>
      <c r="C6" s="67" t="s">
        <v>1235</v>
      </c>
      <c r="D6" s="67" t="s">
        <v>1236</v>
      </c>
      <c r="E6" s="71" t="s">
        <v>1237</v>
      </c>
      <c r="F6" s="67" t="s">
        <v>1238</v>
      </c>
      <c r="G6" s="67" t="s">
        <v>43</v>
      </c>
      <c r="H6" s="67"/>
      <c r="I6" s="67" t="s">
        <v>1239</v>
      </c>
      <c r="J6" s="84">
        <v>8.5809903985E10</v>
      </c>
      <c r="K6" s="142">
        <v>2393.0</v>
      </c>
      <c r="L6" s="67"/>
      <c r="M6" s="67" t="s">
        <v>1240</v>
      </c>
      <c r="N6" s="67"/>
      <c r="O6" s="67" t="s">
        <v>1241</v>
      </c>
      <c r="P6" s="67" t="s">
        <v>1242</v>
      </c>
      <c r="Q6" s="67" t="s">
        <v>1243</v>
      </c>
      <c r="R6" s="67" t="s">
        <v>1244</v>
      </c>
      <c r="S6" s="67" t="s">
        <v>1245</v>
      </c>
      <c r="T6" s="67" t="s">
        <v>1246</v>
      </c>
      <c r="U6" s="67" t="s">
        <v>1247</v>
      </c>
      <c r="V6" s="67"/>
      <c r="W6" s="67"/>
      <c r="X6" s="67"/>
      <c r="Y6" s="131"/>
      <c r="Z6" s="131"/>
      <c r="AA6" s="131"/>
      <c r="AB6" s="131"/>
      <c r="AC6" s="131"/>
      <c r="AD6" s="131"/>
      <c r="AE6" s="131"/>
      <c r="AF6" s="131"/>
      <c r="AG6" s="131"/>
      <c r="AH6" s="131"/>
    </row>
    <row r="7" ht="14.25" customHeight="1">
      <c r="A7" s="68">
        <v>3.0</v>
      </c>
      <c r="B7" s="68" t="s">
        <v>1248</v>
      </c>
      <c r="C7" s="68" t="s">
        <v>1249</v>
      </c>
      <c r="D7" s="68" t="s">
        <v>1250</v>
      </c>
      <c r="E7" s="68" t="s">
        <v>1251</v>
      </c>
      <c r="F7" s="68" t="s">
        <v>1252</v>
      </c>
      <c r="G7" s="67" t="s">
        <v>43</v>
      </c>
      <c r="H7" s="68"/>
      <c r="I7" s="68" t="s">
        <v>1253</v>
      </c>
      <c r="J7" s="68">
        <v>8.5262203368E10</v>
      </c>
      <c r="K7" s="85">
        <v>2225.0</v>
      </c>
      <c r="L7" s="68"/>
      <c r="M7" s="68"/>
      <c r="N7" s="68"/>
      <c r="O7" s="68"/>
      <c r="P7" s="68"/>
      <c r="Q7" s="68"/>
      <c r="R7" s="68"/>
      <c r="S7" s="68"/>
      <c r="T7" s="68"/>
      <c r="U7" s="68"/>
      <c r="V7" s="68"/>
      <c r="W7" s="68"/>
      <c r="X7" s="68"/>
      <c r="Y7" s="130"/>
      <c r="Z7" s="130"/>
      <c r="AA7" s="130"/>
      <c r="AB7" s="130"/>
      <c r="AC7" s="130"/>
      <c r="AD7" s="130"/>
      <c r="AE7" s="130"/>
      <c r="AF7" s="130"/>
      <c r="AG7" s="130"/>
      <c r="AH7" s="130"/>
    </row>
    <row r="8" ht="14.25" customHeight="1">
      <c r="A8" s="68">
        <v>4.0</v>
      </c>
      <c r="B8" s="68" t="s">
        <v>1254</v>
      </c>
      <c r="C8" s="68" t="s">
        <v>1255</v>
      </c>
      <c r="D8" s="68" t="s">
        <v>1256</v>
      </c>
      <c r="E8" s="68" t="s">
        <v>1212</v>
      </c>
      <c r="F8" s="68" t="s">
        <v>1257</v>
      </c>
      <c r="G8" s="67"/>
      <c r="H8" s="68"/>
      <c r="I8" s="68"/>
      <c r="J8" s="68"/>
      <c r="K8" s="68"/>
      <c r="L8" s="68"/>
      <c r="M8" s="68"/>
      <c r="N8" s="68"/>
      <c r="O8" s="68"/>
      <c r="P8" s="68"/>
      <c r="Q8" s="68"/>
      <c r="R8" s="68"/>
      <c r="S8" s="68"/>
      <c r="T8" s="68"/>
      <c r="U8" s="68"/>
      <c r="V8" s="68"/>
      <c r="W8" s="68"/>
      <c r="X8" s="68"/>
      <c r="Y8" s="131"/>
      <c r="Z8" s="131"/>
      <c r="AA8" s="131"/>
      <c r="AB8" s="131"/>
      <c r="AC8" s="131"/>
      <c r="AD8" s="131"/>
      <c r="AE8" s="131"/>
      <c r="AF8" s="131"/>
      <c r="AG8" s="131"/>
      <c r="AH8" s="131"/>
    </row>
    <row r="9" ht="14.25" customHeight="1">
      <c r="A9" s="68"/>
      <c r="B9" s="68"/>
      <c r="C9" s="68"/>
      <c r="D9" s="68"/>
      <c r="E9" s="68"/>
      <c r="F9" s="68"/>
      <c r="G9" s="68"/>
      <c r="H9" s="68"/>
      <c r="I9" s="68"/>
      <c r="J9" s="68"/>
      <c r="K9" s="68"/>
      <c r="L9" s="68"/>
      <c r="M9" s="68"/>
      <c r="N9" s="68"/>
      <c r="O9" s="68"/>
      <c r="P9" s="68"/>
      <c r="Q9" s="68"/>
      <c r="R9" s="68"/>
      <c r="S9" s="68"/>
      <c r="T9" s="68"/>
      <c r="U9" s="68"/>
      <c r="V9" s="68"/>
      <c r="W9" s="68"/>
      <c r="X9" s="68"/>
      <c r="Y9" s="130"/>
      <c r="Z9" s="130"/>
      <c r="AA9" s="130"/>
      <c r="AB9" s="130"/>
      <c r="AC9" s="130"/>
      <c r="AD9" s="130"/>
      <c r="AE9" s="130"/>
      <c r="AF9" s="130"/>
      <c r="AG9" s="130"/>
      <c r="AH9" s="130"/>
    </row>
    <row r="10" ht="14.25" customHeight="1">
      <c r="A10" s="68"/>
      <c r="B10" s="68"/>
      <c r="C10" s="68"/>
      <c r="D10" s="68"/>
      <c r="E10" s="68"/>
      <c r="F10" s="68"/>
      <c r="G10" s="68"/>
      <c r="H10" s="68"/>
      <c r="I10" s="68"/>
      <c r="J10" s="68"/>
      <c r="K10" s="68"/>
      <c r="L10" s="68"/>
      <c r="M10" s="68"/>
      <c r="N10" s="68"/>
      <c r="O10" s="68"/>
      <c r="P10" s="68"/>
      <c r="Q10" s="68"/>
      <c r="R10" s="68"/>
      <c r="S10" s="68"/>
      <c r="T10" s="68"/>
      <c r="U10" s="68"/>
      <c r="V10" s="68"/>
      <c r="W10" s="68"/>
      <c r="X10" s="68"/>
      <c r="Y10" s="131"/>
      <c r="Z10" s="131"/>
      <c r="AA10" s="131"/>
      <c r="AB10" s="131"/>
      <c r="AC10" s="131"/>
      <c r="AD10" s="131"/>
      <c r="AE10" s="131"/>
      <c r="AF10" s="131"/>
      <c r="AG10" s="131"/>
      <c r="AH10" s="131"/>
    </row>
    <row r="11" ht="14.25" customHeight="1">
      <c r="A11" s="68"/>
      <c r="B11" s="68"/>
      <c r="C11" s="68"/>
      <c r="D11" s="68"/>
      <c r="E11" s="68"/>
      <c r="F11" s="68"/>
      <c r="G11" s="68"/>
      <c r="H11" s="68"/>
      <c r="I11" s="68"/>
      <c r="J11" s="68"/>
      <c r="K11" s="68"/>
      <c r="L11" s="68"/>
      <c r="M11" s="68"/>
      <c r="N11" s="68"/>
      <c r="O11" s="68"/>
      <c r="P11" s="68"/>
      <c r="Q11" s="68"/>
      <c r="R11" s="68"/>
      <c r="S11" s="68"/>
      <c r="T11" s="68"/>
      <c r="U11" s="68"/>
      <c r="V11" s="68"/>
      <c r="W11" s="68"/>
      <c r="X11" s="68"/>
      <c r="Y11" s="130"/>
      <c r="Z11" s="130"/>
      <c r="AA11" s="130"/>
      <c r="AB11" s="130"/>
      <c r="AC11" s="130"/>
      <c r="AD11" s="130"/>
      <c r="AE11" s="130"/>
      <c r="AF11" s="130"/>
      <c r="AG11" s="130"/>
      <c r="AH11" s="130"/>
    </row>
    <row r="12" ht="14.25" customHeight="1">
      <c r="A12" s="68"/>
      <c r="B12" s="68"/>
      <c r="C12" s="68"/>
      <c r="D12" s="68"/>
      <c r="E12" s="68"/>
      <c r="F12" s="68"/>
      <c r="G12" s="68"/>
      <c r="H12" s="68"/>
      <c r="I12" s="68"/>
      <c r="J12" s="68"/>
      <c r="K12" s="68"/>
      <c r="L12" s="68"/>
      <c r="M12" s="68"/>
      <c r="N12" s="68"/>
      <c r="O12" s="68"/>
      <c r="P12" s="68"/>
      <c r="Q12" s="68"/>
      <c r="R12" s="68"/>
      <c r="S12" s="68"/>
      <c r="T12" s="68"/>
      <c r="U12" s="68"/>
      <c r="V12" s="68"/>
      <c r="W12" s="68"/>
      <c r="X12" s="68"/>
      <c r="Y12" s="131"/>
      <c r="Z12" s="131"/>
      <c r="AA12" s="131"/>
      <c r="AB12" s="131"/>
      <c r="AC12" s="131"/>
      <c r="AD12" s="131"/>
      <c r="AE12" s="131"/>
      <c r="AF12" s="131"/>
      <c r="AG12" s="131"/>
      <c r="AH12" s="131"/>
    </row>
    <row r="13" ht="14.25" customHeight="1">
      <c r="A13" s="68"/>
      <c r="B13" s="68"/>
      <c r="C13" s="68"/>
      <c r="D13" s="68"/>
      <c r="E13" s="68"/>
      <c r="F13" s="68"/>
      <c r="G13" s="68"/>
      <c r="H13" s="68"/>
      <c r="I13" s="68"/>
      <c r="J13" s="68"/>
      <c r="K13" s="68"/>
      <c r="L13" s="68"/>
      <c r="M13" s="68"/>
      <c r="N13" s="68"/>
      <c r="O13" s="68"/>
      <c r="P13" s="68"/>
      <c r="Q13" s="68"/>
      <c r="R13" s="68"/>
      <c r="S13" s="68"/>
      <c r="T13" s="68"/>
      <c r="U13" s="68"/>
      <c r="V13" s="68"/>
      <c r="W13" s="68"/>
      <c r="X13" s="68"/>
      <c r="Y13" s="130"/>
      <c r="Z13" s="130"/>
      <c r="AA13" s="130"/>
      <c r="AB13" s="130"/>
      <c r="AC13" s="130"/>
      <c r="AD13" s="130"/>
      <c r="AE13" s="130"/>
      <c r="AF13" s="130"/>
      <c r="AG13" s="130"/>
      <c r="AH13" s="130"/>
    </row>
    <row r="14" ht="14.25" customHeight="1">
      <c r="A14" s="68"/>
      <c r="B14" s="68"/>
      <c r="C14" s="68"/>
      <c r="D14" s="68"/>
      <c r="E14" s="68"/>
      <c r="F14" s="68"/>
      <c r="G14" s="68"/>
      <c r="H14" s="68"/>
      <c r="I14" s="68"/>
      <c r="J14" s="68"/>
      <c r="K14" s="68"/>
      <c r="L14" s="68"/>
      <c r="M14" s="68"/>
      <c r="N14" s="68"/>
      <c r="O14" s="68"/>
      <c r="P14" s="68"/>
      <c r="Q14" s="68"/>
      <c r="R14" s="68"/>
      <c r="S14" s="68"/>
      <c r="T14" s="68"/>
      <c r="U14" s="68"/>
      <c r="V14" s="68"/>
      <c r="W14" s="68"/>
      <c r="X14" s="68"/>
      <c r="Y14" s="131"/>
      <c r="Z14" s="131"/>
      <c r="AA14" s="131"/>
      <c r="AB14" s="131"/>
      <c r="AC14" s="131"/>
      <c r="AD14" s="131"/>
      <c r="AE14" s="131"/>
      <c r="AF14" s="131"/>
      <c r="AG14" s="131"/>
      <c r="AH14" s="131"/>
    </row>
    <row r="15" ht="111.0" customHeight="1">
      <c r="A15" s="76">
        <v>5.0</v>
      </c>
      <c r="B15" s="68" t="s">
        <v>1254</v>
      </c>
      <c r="C15" s="68" t="s">
        <v>1258</v>
      </c>
      <c r="D15" s="68" t="s">
        <v>1256</v>
      </c>
      <c r="E15" s="68" t="s">
        <v>1259</v>
      </c>
      <c r="F15" s="68" t="s">
        <v>1260</v>
      </c>
      <c r="G15" s="68" t="s">
        <v>43</v>
      </c>
      <c r="H15" s="78">
        <v>46113.0</v>
      </c>
      <c r="I15" s="68" t="s">
        <v>1261</v>
      </c>
      <c r="J15" s="68">
        <v>8.2236021846E10</v>
      </c>
      <c r="K15" s="85">
        <v>1674.0</v>
      </c>
      <c r="L15" s="68"/>
      <c r="M15" s="143" t="s">
        <v>1262</v>
      </c>
      <c r="N15" s="68"/>
      <c r="O15" s="68"/>
      <c r="P15" s="143" t="s">
        <v>1263</v>
      </c>
      <c r="Q15" s="68" t="s">
        <v>1264</v>
      </c>
      <c r="R15" s="68" t="s">
        <v>1265</v>
      </c>
      <c r="S15" s="102" t="s">
        <v>1266</v>
      </c>
      <c r="T15" s="67" t="s">
        <v>1267</v>
      </c>
      <c r="U15" s="144" t="s">
        <v>1268</v>
      </c>
      <c r="V15" s="68"/>
      <c r="W15" s="68"/>
      <c r="X15" s="68"/>
      <c r="Y15" s="130" t="s">
        <v>146</v>
      </c>
      <c r="Z15" s="130" t="s">
        <v>54</v>
      </c>
      <c r="AA15" s="130" t="s">
        <v>54</v>
      </c>
      <c r="AB15" s="130" t="s">
        <v>54</v>
      </c>
      <c r="AC15" s="130" t="s">
        <v>145</v>
      </c>
      <c r="AD15" s="130" t="s">
        <v>190</v>
      </c>
      <c r="AE15" s="130" t="s">
        <v>190</v>
      </c>
      <c r="AF15" s="130" t="s">
        <v>145</v>
      </c>
      <c r="AG15" s="130" t="s">
        <v>146</v>
      </c>
      <c r="AH15" s="130">
        <v>47.0</v>
      </c>
    </row>
    <row r="16" ht="14.25" customHeight="1">
      <c r="A16" s="68"/>
      <c r="B16" s="68"/>
      <c r="C16" s="68"/>
      <c r="D16" s="68"/>
      <c r="E16" s="68"/>
      <c r="F16" s="68"/>
      <c r="G16" s="68"/>
      <c r="H16" s="68"/>
      <c r="I16" s="68"/>
      <c r="J16" s="68"/>
      <c r="K16" s="68"/>
      <c r="L16" s="68"/>
      <c r="M16" s="67"/>
      <c r="N16" s="68"/>
      <c r="O16" s="68"/>
      <c r="P16" s="67"/>
      <c r="Q16" s="68"/>
      <c r="R16" s="68"/>
      <c r="S16" s="102"/>
      <c r="T16" s="67"/>
      <c r="U16" s="83"/>
      <c r="V16" s="68"/>
      <c r="W16" s="68"/>
      <c r="X16" s="68"/>
      <c r="Y16" s="130"/>
      <c r="Z16" s="130"/>
      <c r="AA16" s="130"/>
      <c r="AB16" s="130"/>
      <c r="AC16" s="130"/>
      <c r="AD16" s="130"/>
      <c r="AE16" s="130"/>
      <c r="AF16" s="130"/>
      <c r="AG16" s="130"/>
      <c r="AH16" s="130"/>
    </row>
    <row r="17" ht="14.25" customHeight="1">
      <c r="A17" s="68"/>
      <c r="B17" s="68"/>
      <c r="C17" s="68"/>
      <c r="D17" s="68"/>
      <c r="E17" s="68"/>
      <c r="F17" s="68"/>
      <c r="G17" s="68"/>
      <c r="H17" s="68"/>
      <c r="I17" s="68"/>
      <c r="J17" s="68"/>
      <c r="K17" s="68"/>
      <c r="L17" s="68"/>
      <c r="M17" s="67"/>
      <c r="N17" s="68"/>
      <c r="O17" s="68"/>
      <c r="P17" s="67"/>
      <c r="Q17" s="68"/>
      <c r="R17" s="68"/>
      <c r="S17" s="102"/>
      <c r="T17" s="67"/>
      <c r="U17" s="83"/>
      <c r="V17" s="68"/>
      <c r="W17" s="68"/>
      <c r="X17" s="68"/>
      <c r="Y17" s="130"/>
      <c r="Z17" s="130"/>
      <c r="AA17" s="130"/>
      <c r="AB17" s="130"/>
      <c r="AC17" s="130"/>
      <c r="AD17" s="130"/>
      <c r="AE17" s="130"/>
      <c r="AF17" s="130"/>
      <c r="AG17" s="130"/>
      <c r="AH17" s="130"/>
    </row>
    <row r="18" ht="14.25" customHeight="1">
      <c r="A18" s="68"/>
      <c r="B18" s="68"/>
      <c r="C18" s="68"/>
      <c r="D18" s="68"/>
      <c r="E18" s="68"/>
      <c r="F18" s="68"/>
      <c r="G18" s="68"/>
      <c r="H18" s="68"/>
      <c r="I18" s="68"/>
      <c r="J18" s="68"/>
      <c r="K18" s="68"/>
      <c r="L18" s="68"/>
      <c r="M18" s="67"/>
      <c r="N18" s="68"/>
      <c r="O18" s="68"/>
      <c r="P18" s="67"/>
      <c r="Q18" s="68"/>
      <c r="R18" s="68"/>
      <c r="S18" s="102"/>
      <c r="T18" s="67"/>
      <c r="U18" s="83"/>
      <c r="V18" s="68"/>
      <c r="W18" s="68"/>
      <c r="X18" s="68"/>
      <c r="Y18" s="130"/>
      <c r="Z18" s="130"/>
      <c r="AA18" s="130"/>
      <c r="AB18" s="130"/>
      <c r="AC18" s="130"/>
      <c r="AD18" s="130"/>
      <c r="AE18" s="130"/>
      <c r="AF18" s="130"/>
      <c r="AG18" s="130"/>
      <c r="AH18" s="130"/>
    </row>
    <row r="19" ht="14.25" customHeight="1">
      <c r="A19" s="68"/>
      <c r="B19" s="68"/>
      <c r="C19" s="68"/>
      <c r="D19" s="68"/>
      <c r="E19" s="68"/>
      <c r="F19" s="68"/>
      <c r="G19" s="68"/>
      <c r="H19" s="68"/>
      <c r="I19" s="68"/>
      <c r="J19" s="68"/>
      <c r="K19" s="68"/>
      <c r="L19" s="68"/>
      <c r="M19" s="67"/>
      <c r="N19" s="68"/>
      <c r="O19" s="68"/>
      <c r="P19" s="67"/>
      <c r="Q19" s="68"/>
      <c r="R19" s="68"/>
      <c r="S19" s="102"/>
      <c r="T19" s="67"/>
      <c r="U19" s="83"/>
      <c r="V19" s="68"/>
      <c r="W19" s="68"/>
      <c r="X19" s="68"/>
      <c r="Y19" s="130"/>
      <c r="Z19" s="130"/>
      <c r="AA19" s="130"/>
      <c r="AB19" s="130"/>
      <c r="AC19" s="130"/>
      <c r="AD19" s="130"/>
      <c r="AE19" s="130"/>
      <c r="AF19" s="130"/>
      <c r="AG19" s="130"/>
      <c r="AH19" s="130"/>
    </row>
    <row r="20" ht="14.25" customHeight="1">
      <c r="A20" s="68"/>
      <c r="B20" s="68"/>
      <c r="C20" s="68"/>
      <c r="D20" s="68"/>
      <c r="E20" s="68"/>
      <c r="F20" s="68"/>
      <c r="G20" s="68"/>
      <c r="H20" s="68"/>
      <c r="I20" s="68"/>
      <c r="J20" s="68"/>
      <c r="K20" s="68"/>
      <c r="L20" s="68"/>
      <c r="M20" s="67"/>
      <c r="N20" s="68"/>
      <c r="O20" s="68"/>
      <c r="P20" s="67"/>
      <c r="Q20" s="68"/>
      <c r="R20" s="68"/>
      <c r="S20" s="102"/>
      <c r="T20" s="67"/>
      <c r="U20" s="83"/>
      <c r="V20" s="68"/>
      <c r="W20" s="68"/>
      <c r="X20" s="68"/>
      <c r="Y20" s="130"/>
      <c r="Z20" s="130"/>
      <c r="AA20" s="130"/>
      <c r="AB20" s="130"/>
      <c r="AC20" s="130"/>
      <c r="AD20" s="130"/>
      <c r="AE20" s="130"/>
      <c r="AF20" s="130"/>
      <c r="AG20" s="130"/>
      <c r="AH20" s="130"/>
    </row>
    <row r="21" ht="14.25" customHeight="1">
      <c r="A21" s="68"/>
      <c r="B21" s="68"/>
      <c r="C21" s="68"/>
      <c r="D21" s="68"/>
      <c r="E21" s="68"/>
      <c r="F21" s="68"/>
      <c r="G21" s="68"/>
      <c r="H21" s="68"/>
      <c r="I21" s="68"/>
      <c r="J21" s="68"/>
      <c r="K21" s="68"/>
      <c r="L21" s="68"/>
      <c r="M21" s="67"/>
      <c r="N21" s="68"/>
      <c r="O21" s="68"/>
      <c r="P21" s="67"/>
      <c r="Q21" s="68"/>
      <c r="R21" s="68"/>
      <c r="S21" s="102"/>
      <c r="T21" s="67"/>
      <c r="U21" s="83"/>
      <c r="V21" s="68"/>
      <c r="W21" s="68"/>
      <c r="X21" s="68"/>
      <c r="Y21" s="130"/>
      <c r="Z21" s="130"/>
      <c r="AA21" s="130"/>
      <c r="AB21" s="130"/>
      <c r="AC21" s="130"/>
      <c r="AD21" s="130"/>
      <c r="AE21" s="130"/>
      <c r="AF21" s="130"/>
      <c r="AG21" s="130"/>
      <c r="AH21" s="130"/>
    </row>
    <row r="22" ht="14.25" customHeight="1">
      <c r="A22" s="68"/>
      <c r="B22" s="68"/>
      <c r="C22" s="68"/>
      <c r="D22" s="68"/>
      <c r="E22" s="68"/>
      <c r="F22" s="68"/>
      <c r="G22" s="68"/>
      <c r="H22" s="68"/>
      <c r="I22" s="68"/>
      <c r="J22" s="68"/>
      <c r="K22" s="68"/>
      <c r="L22" s="68"/>
      <c r="M22" s="67"/>
      <c r="N22" s="68"/>
      <c r="O22" s="68"/>
      <c r="P22" s="67"/>
      <c r="Q22" s="68"/>
      <c r="R22" s="68"/>
      <c r="S22" s="102"/>
      <c r="T22" s="67"/>
      <c r="U22" s="83"/>
      <c r="V22" s="68"/>
      <c r="W22" s="68"/>
      <c r="X22" s="68"/>
      <c r="Y22" s="130"/>
      <c r="Z22" s="130"/>
      <c r="AA22" s="130"/>
      <c r="AB22" s="130"/>
      <c r="AC22" s="130"/>
      <c r="AD22" s="130"/>
      <c r="AE22" s="130"/>
      <c r="AF22" s="130"/>
      <c r="AG22" s="130"/>
      <c r="AH22" s="130"/>
    </row>
    <row r="23" ht="14.25" customHeight="1">
      <c r="A23" s="68"/>
      <c r="B23" s="68"/>
      <c r="C23" s="68"/>
      <c r="D23" s="68"/>
      <c r="E23" s="68"/>
      <c r="F23" s="68"/>
      <c r="G23" s="68"/>
      <c r="H23" s="68"/>
      <c r="I23" s="68"/>
      <c r="J23" s="68"/>
      <c r="K23" s="68"/>
      <c r="L23" s="68"/>
      <c r="M23" s="67"/>
      <c r="N23" s="68"/>
      <c r="O23" s="68"/>
      <c r="P23" s="67"/>
      <c r="Q23" s="68"/>
      <c r="R23" s="68"/>
      <c r="S23" s="102"/>
      <c r="T23" s="67"/>
      <c r="U23" s="83"/>
      <c r="V23" s="68"/>
      <c r="W23" s="68"/>
      <c r="X23" s="68"/>
      <c r="Y23" s="130"/>
      <c r="Z23" s="130"/>
      <c r="AA23" s="130"/>
      <c r="AB23" s="130"/>
      <c r="AC23" s="130"/>
      <c r="AD23" s="130"/>
      <c r="AE23" s="130"/>
      <c r="AF23" s="130"/>
      <c r="AG23" s="130"/>
      <c r="AH23" s="130"/>
    </row>
    <row r="24" ht="14.25" customHeight="1">
      <c r="A24" s="68"/>
      <c r="B24" s="68"/>
      <c r="C24" s="68"/>
      <c r="D24" s="68"/>
      <c r="E24" s="68"/>
      <c r="F24" s="68"/>
      <c r="G24" s="68"/>
      <c r="H24" s="68"/>
      <c r="I24" s="68"/>
      <c r="J24" s="68"/>
      <c r="K24" s="68"/>
      <c r="L24" s="68"/>
      <c r="M24" s="67"/>
      <c r="N24" s="68"/>
      <c r="O24" s="68"/>
      <c r="P24" s="67"/>
      <c r="Q24" s="68"/>
      <c r="R24" s="68"/>
      <c r="S24" s="102"/>
      <c r="T24" s="67"/>
      <c r="U24" s="83"/>
      <c r="V24" s="68"/>
      <c r="W24" s="68"/>
      <c r="X24" s="68"/>
      <c r="Y24" s="130"/>
      <c r="Z24" s="130"/>
      <c r="AA24" s="130"/>
      <c r="AB24" s="130"/>
      <c r="AC24" s="130"/>
      <c r="AD24" s="130"/>
      <c r="AE24" s="130"/>
      <c r="AF24" s="130"/>
      <c r="AG24" s="130"/>
      <c r="AH24" s="130"/>
    </row>
    <row r="25" ht="14.25" customHeight="1">
      <c r="A25" s="68"/>
      <c r="B25" s="68"/>
      <c r="C25" s="68"/>
      <c r="D25" s="68"/>
      <c r="E25" s="68"/>
      <c r="F25" s="68"/>
      <c r="G25" s="68"/>
      <c r="H25" s="68"/>
      <c r="I25" s="68"/>
      <c r="J25" s="68"/>
      <c r="K25" s="68"/>
      <c r="L25" s="68"/>
      <c r="M25" s="67"/>
      <c r="N25" s="68"/>
      <c r="O25" s="68"/>
      <c r="P25" s="67"/>
      <c r="Q25" s="68"/>
      <c r="R25" s="68"/>
      <c r="S25" s="102"/>
      <c r="T25" s="67"/>
      <c r="U25" s="83"/>
      <c r="V25" s="68"/>
      <c r="W25" s="68"/>
      <c r="X25" s="68"/>
      <c r="Y25" s="130"/>
      <c r="Z25" s="130"/>
      <c r="AA25" s="130"/>
      <c r="AB25" s="130"/>
      <c r="AC25" s="130"/>
      <c r="AD25" s="130"/>
      <c r="AE25" s="130"/>
      <c r="AF25" s="130"/>
      <c r="AG25" s="130"/>
      <c r="AH25" s="130"/>
    </row>
    <row r="26" ht="14.25" customHeight="1">
      <c r="A26" s="68"/>
      <c r="B26" s="68"/>
      <c r="C26" s="68"/>
      <c r="D26" s="68"/>
      <c r="E26" s="68"/>
      <c r="F26" s="68"/>
      <c r="G26" s="68"/>
      <c r="H26" s="68"/>
      <c r="I26" s="68"/>
      <c r="J26" s="68"/>
      <c r="K26" s="68"/>
      <c r="L26" s="68"/>
      <c r="M26" s="67"/>
      <c r="N26" s="68"/>
      <c r="O26" s="68"/>
      <c r="P26" s="67"/>
      <c r="Q26" s="68"/>
      <c r="R26" s="68"/>
      <c r="S26" s="102"/>
      <c r="T26" s="67"/>
      <c r="U26" s="83"/>
      <c r="V26" s="68"/>
      <c r="W26" s="68"/>
      <c r="X26" s="68"/>
      <c r="Y26" s="130"/>
      <c r="Z26" s="130"/>
      <c r="AA26" s="130"/>
      <c r="AB26" s="130"/>
      <c r="AC26" s="130"/>
      <c r="AD26" s="130"/>
      <c r="AE26" s="130"/>
      <c r="AF26" s="130"/>
      <c r="AG26" s="130"/>
      <c r="AH26" s="130"/>
    </row>
    <row r="27" ht="14.25" customHeight="1">
      <c r="A27" s="68"/>
      <c r="B27" s="68"/>
      <c r="C27" s="68"/>
      <c r="D27" s="68"/>
      <c r="E27" s="68"/>
      <c r="F27" s="68"/>
      <c r="G27" s="68"/>
      <c r="H27" s="68"/>
      <c r="I27" s="68"/>
      <c r="J27" s="68"/>
      <c r="K27" s="68"/>
      <c r="L27" s="68"/>
      <c r="M27" s="67"/>
      <c r="N27" s="68"/>
      <c r="O27" s="68"/>
      <c r="P27" s="67"/>
      <c r="Q27" s="68"/>
      <c r="R27" s="68"/>
      <c r="S27" s="102"/>
      <c r="T27" s="67"/>
      <c r="U27" s="83"/>
      <c r="V27" s="68"/>
      <c r="W27" s="68"/>
      <c r="X27" s="68"/>
      <c r="Y27" s="130"/>
      <c r="Z27" s="130"/>
      <c r="AA27" s="130"/>
      <c r="AB27" s="130"/>
      <c r="AC27" s="130"/>
      <c r="AD27" s="130"/>
      <c r="AE27" s="130"/>
      <c r="AF27" s="130"/>
      <c r="AG27" s="130"/>
      <c r="AH27" s="130"/>
    </row>
    <row r="28" ht="14.25" customHeight="1">
      <c r="A28" s="68"/>
      <c r="B28" s="68"/>
      <c r="C28" s="68"/>
      <c r="D28" s="68"/>
      <c r="E28" s="68"/>
      <c r="F28" s="68"/>
      <c r="G28" s="68"/>
      <c r="H28" s="68"/>
      <c r="I28" s="68"/>
      <c r="J28" s="68"/>
      <c r="K28" s="68"/>
      <c r="L28" s="68"/>
      <c r="M28" s="67"/>
      <c r="N28" s="68"/>
      <c r="O28" s="68"/>
      <c r="P28" s="67"/>
      <c r="Q28" s="68"/>
      <c r="R28" s="68"/>
      <c r="S28" s="102"/>
      <c r="T28" s="67"/>
      <c r="U28" s="83"/>
      <c r="V28" s="68"/>
      <c r="W28" s="68"/>
      <c r="X28" s="68"/>
      <c r="Y28" s="130"/>
      <c r="Z28" s="130"/>
      <c r="AA28" s="130"/>
      <c r="AB28" s="130"/>
      <c r="AC28" s="130"/>
      <c r="AD28" s="130"/>
      <c r="AE28" s="130"/>
      <c r="AF28" s="130"/>
      <c r="AG28" s="130"/>
      <c r="AH28" s="130"/>
    </row>
    <row r="29" ht="14.25" customHeight="1">
      <c r="Y29" s="62"/>
      <c r="Z29" s="62"/>
      <c r="AA29" s="62"/>
      <c r="AB29" s="62"/>
      <c r="AC29" s="62"/>
      <c r="AD29" s="62"/>
      <c r="AE29" s="62"/>
      <c r="AF29" s="62"/>
      <c r="AG29" s="62"/>
      <c r="AH29" s="62"/>
    </row>
    <row r="30" ht="14.25" customHeight="1">
      <c r="Y30" s="62"/>
      <c r="Z30" s="62"/>
      <c r="AA30" s="62"/>
      <c r="AB30" s="62"/>
      <c r="AC30" s="62"/>
      <c r="AD30" s="62"/>
      <c r="AE30" s="62"/>
      <c r="AF30" s="62"/>
      <c r="AG30" s="62"/>
      <c r="AH30" s="62"/>
    </row>
    <row r="31" ht="14.25" customHeight="1">
      <c r="Y31" s="62"/>
      <c r="Z31" s="62"/>
      <c r="AA31" s="62"/>
      <c r="AB31" s="62"/>
      <c r="AC31" s="62"/>
      <c r="AD31" s="62"/>
      <c r="AE31" s="62"/>
      <c r="AF31" s="62"/>
      <c r="AG31" s="62"/>
      <c r="AH31" s="62"/>
    </row>
    <row r="32" ht="14.25" customHeight="1">
      <c r="Y32" s="62"/>
      <c r="Z32" s="62"/>
      <c r="AA32" s="62"/>
      <c r="AB32" s="62"/>
      <c r="AC32" s="62"/>
      <c r="AD32" s="62"/>
      <c r="AE32" s="62"/>
      <c r="AF32" s="62"/>
      <c r="AG32" s="62"/>
      <c r="AH32" s="62"/>
    </row>
    <row r="33" ht="14.25" customHeight="1">
      <c r="Y33" s="62"/>
      <c r="Z33" s="62"/>
      <c r="AA33" s="62"/>
      <c r="AB33" s="62"/>
      <c r="AC33" s="62"/>
      <c r="AD33" s="62"/>
      <c r="AE33" s="62"/>
      <c r="AF33" s="62"/>
      <c r="AG33" s="62"/>
      <c r="AH33" s="62"/>
    </row>
    <row r="34" ht="14.25" customHeight="1">
      <c r="Y34" s="62"/>
      <c r="Z34" s="62"/>
      <c r="AA34" s="62"/>
      <c r="AB34" s="62"/>
      <c r="AC34" s="62"/>
      <c r="AD34" s="62"/>
      <c r="AE34" s="62"/>
      <c r="AF34" s="62"/>
      <c r="AG34" s="62"/>
      <c r="AH34" s="62"/>
    </row>
    <row r="35" ht="14.25" customHeight="1">
      <c r="Y35" s="62"/>
      <c r="Z35" s="62"/>
      <c r="AA35" s="62"/>
      <c r="AB35" s="62"/>
      <c r="AC35" s="62"/>
      <c r="AD35" s="62"/>
      <c r="AE35" s="62"/>
      <c r="AF35" s="62"/>
      <c r="AG35" s="62"/>
      <c r="AH35" s="62"/>
    </row>
    <row r="36" ht="14.25" customHeight="1">
      <c r="Y36" s="62"/>
      <c r="Z36" s="62"/>
      <c r="AA36" s="62"/>
      <c r="AB36" s="62"/>
      <c r="AC36" s="62"/>
      <c r="AD36" s="62"/>
      <c r="AE36" s="62"/>
      <c r="AF36" s="62"/>
      <c r="AG36" s="62"/>
      <c r="AH36" s="62"/>
    </row>
    <row r="37" ht="14.25" customHeight="1">
      <c r="Y37" s="62"/>
      <c r="Z37" s="62"/>
      <c r="AA37" s="62"/>
      <c r="AB37" s="62"/>
      <c r="AC37" s="62"/>
      <c r="AD37" s="62"/>
      <c r="AE37" s="62"/>
      <c r="AF37" s="62"/>
      <c r="AG37" s="62"/>
      <c r="AH37" s="62"/>
    </row>
    <row r="38" ht="14.25" customHeight="1">
      <c r="Y38" s="62"/>
      <c r="Z38" s="62"/>
      <c r="AA38" s="62"/>
      <c r="AB38" s="62"/>
      <c r="AC38" s="62"/>
      <c r="AD38" s="62"/>
      <c r="AE38" s="62"/>
      <c r="AF38" s="62"/>
      <c r="AG38" s="62"/>
      <c r="AH38" s="62"/>
    </row>
    <row r="39" ht="14.25" customHeight="1">
      <c r="Y39" s="62"/>
      <c r="Z39" s="62"/>
      <c r="AA39" s="62"/>
      <c r="AB39" s="62"/>
      <c r="AC39" s="62"/>
      <c r="AD39" s="62"/>
      <c r="AE39" s="62"/>
      <c r="AF39" s="62"/>
      <c r="AG39" s="62"/>
      <c r="AH39" s="62"/>
    </row>
    <row r="40" ht="14.25" customHeight="1">
      <c r="Y40" s="62"/>
      <c r="Z40" s="62"/>
      <c r="AA40" s="62"/>
      <c r="AB40" s="62"/>
      <c r="AC40" s="62"/>
      <c r="AD40" s="62"/>
      <c r="AE40" s="62"/>
      <c r="AF40" s="62"/>
      <c r="AG40" s="62"/>
      <c r="AH40" s="62"/>
    </row>
    <row r="41" ht="14.25" customHeight="1">
      <c r="Y41" s="62"/>
      <c r="Z41" s="62"/>
      <c r="AA41" s="62"/>
      <c r="AB41" s="62"/>
      <c r="AC41" s="62"/>
      <c r="AD41" s="62"/>
      <c r="AE41" s="62"/>
      <c r="AF41" s="62"/>
      <c r="AG41" s="62"/>
      <c r="AH41" s="62"/>
    </row>
    <row r="42" ht="14.25" customHeight="1">
      <c r="Y42" s="62"/>
      <c r="Z42" s="62"/>
      <c r="AA42" s="62"/>
      <c r="AB42" s="62"/>
      <c r="AC42" s="62"/>
      <c r="AD42" s="62"/>
      <c r="AE42" s="62"/>
      <c r="AF42" s="62"/>
      <c r="AG42" s="62"/>
      <c r="AH42" s="62"/>
    </row>
    <row r="43" ht="14.25" customHeight="1">
      <c r="Y43" s="62"/>
      <c r="Z43" s="62"/>
      <c r="AA43" s="62"/>
      <c r="AB43" s="62"/>
      <c r="AC43" s="62"/>
      <c r="AD43" s="62"/>
      <c r="AE43" s="62"/>
      <c r="AF43" s="62"/>
      <c r="AG43" s="62"/>
      <c r="AH43" s="62"/>
    </row>
    <row r="44" ht="14.25" customHeight="1">
      <c r="Y44" s="62"/>
      <c r="Z44" s="62"/>
      <c r="AA44" s="62"/>
      <c r="AB44" s="62"/>
      <c r="AC44" s="62"/>
      <c r="AD44" s="62"/>
      <c r="AE44" s="62"/>
      <c r="AF44" s="62"/>
      <c r="AG44" s="62"/>
      <c r="AH44" s="62"/>
    </row>
    <row r="45" ht="14.25" customHeight="1">
      <c r="Y45" s="62"/>
      <c r="Z45" s="62"/>
      <c r="AA45" s="62"/>
      <c r="AB45" s="62"/>
      <c r="AC45" s="62"/>
      <c r="AD45" s="62"/>
      <c r="AE45" s="62"/>
      <c r="AF45" s="62"/>
      <c r="AG45" s="62"/>
      <c r="AH45" s="62"/>
    </row>
    <row r="46" ht="14.25" customHeight="1">
      <c r="Y46" s="62"/>
      <c r="Z46" s="62"/>
      <c r="AA46" s="62"/>
      <c r="AB46" s="62"/>
      <c r="AC46" s="62"/>
      <c r="AD46" s="62"/>
      <c r="AE46" s="62"/>
      <c r="AF46" s="62"/>
      <c r="AG46" s="62"/>
      <c r="AH46" s="62"/>
    </row>
    <row r="47" ht="14.25" customHeight="1">
      <c r="Y47" s="62"/>
      <c r="Z47" s="62"/>
      <c r="AA47" s="62"/>
      <c r="AB47" s="62"/>
      <c r="AC47" s="62"/>
      <c r="AD47" s="62"/>
      <c r="AE47" s="62"/>
      <c r="AF47" s="62"/>
      <c r="AG47" s="62"/>
      <c r="AH47" s="62"/>
    </row>
    <row r="48" ht="14.25" customHeight="1">
      <c r="Y48" s="62"/>
      <c r="Z48" s="62"/>
      <c r="AA48" s="62"/>
      <c r="AB48" s="62"/>
      <c r="AC48" s="62"/>
      <c r="AD48" s="62"/>
      <c r="AE48" s="62"/>
      <c r="AF48" s="62"/>
      <c r="AG48" s="62"/>
      <c r="AH48" s="62"/>
    </row>
    <row r="49" ht="14.25" customHeight="1">
      <c r="Y49" s="62"/>
      <c r="Z49" s="62"/>
      <c r="AA49" s="62"/>
      <c r="AB49" s="62"/>
      <c r="AC49" s="62"/>
      <c r="AD49" s="62"/>
      <c r="AE49" s="62"/>
      <c r="AF49" s="62"/>
      <c r="AG49" s="62"/>
      <c r="AH49" s="62"/>
    </row>
    <row r="50" ht="14.25" customHeight="1">
      <c r="Y50" s="62"/>
      <c r="Z50" s="62"/>
      <c r="AA50" s="62"/>
      <c r="AB50" s="62"/>
      <c r="AC50" s="62"/>
      <c r="AD50" s="62"/>
      <c r="AE50" s="62"/>
      <c r="AF50" s="62"/>
      <c r="AG50" s="62"/>
      <c r="AH50" s="62"/>
    </row>
    <row r="51" ht="14.25" customHeight="1">
      <c r="Y51" s="62"/>
      <c r="Z51" s="62"/>
      <c r="AA51" s="62"/>
      <c r="AB51" s="62"/>
      <c r="AC51" s="62"/>
      <c r="AD51" s="62"/>
      <c r="AE51" s="62"/>
      <c r="AF51" s="62"/>
      <c r="AG51" s="62"/>
      <c r="AH51" s="62"/>
    </row>
    <row r="52" ht="14.25" customHeight="1">
      <c r="Y52" s="62"/>
      <c r="Z52" s="62"/>
      <c r="AA52" s="62"/>
      <c r="AB52" s="62"/>
      <c r="AC52" s="62"/>
      <c r="AD52" s="62"/>
      <c r="AE52" s="62"/>
      <c r="AF52" s="62"/>
      <c r="AG52" s="62"/>
      <c r="AH52" s="62"/>
    </row>
    <row r="53" ht="14.25" customHeight="1">
      <c r="Y53" s="62"/>
      <c r="Z53" s="62"/>
      <c r="AA53" s="62"/>
      <c r="AB53" s="62"/>
      <c r="AC53" s="62"/>
      <c r="AD53" s="62"/>
      <c r="AE53" s="62"/>
      <c r="AF53" s="62"/>
      <c r="AG53" s="62"/>
      <c r="AH53" s="62"/>
    </row>
    <row r="54" ht="14.25" customHeight="1">
      <c r="Y54" s="62"/>
      <c r="Z54" s="62"/>
      <c r="AA54" s="62"/>
      <c r="AB54" s="62"/>
      <c r="AC54" s="62"/>
      <c r="AD54" s="62"/>
      <c r="AE54" s="62"/>
      <c r="AF54" s="62"/>
      <c r="AG54" s="62"/>
      <c r="AH54" s="62"/>
    </row>
    <row r="55" ht="14.25" customHeight="1">
      <c r="C55" s="62" t="s">
        <v>216</v>
      </c>
      <c r="D55" s="62">
        <v>2.0</v>
      </c>
      <c r="Y55" s="62"/>
      <c r="Z55" s="62"/>
      <c r="AA55" s="62"/>
      <c r="AB55" s="62"/>
      <c r="AC55" s="62"/>
      <c r="AD55" s="62"/>
      <c r="AE55" s="62"/>
      <c r="AF55" s="62"/>
      <c r="AG55" s="62"/>
      <c r="AH55" s="62"/>
    </row>
    <row r="56" ht="14.25" customHeight="1">
      <c r="C56" s="62" t="s">
        <v>217</v>
      </c>
      <c r="D56" s="62">
        <v>0.0</v>
      </c>
      <c r="Y56" s="62"/>
      <c r="Z56" s="62"/>
      <c r="AA56" s="62"/>
      <c r="AB56" s="62"/>
      <c r="AC56" s="62"/>
      <c r="AD56" s="62"/>
      <c r="AE56" s="62"/>
      <c r="AF56" s="62"/>
      <c r="AG56" s="62"/>
      <c r="AH56" s="62"/>
    </row>
    <row r="57" ht="14.25" customHeight="1">
      <c r="Y57" s="62"/>
      <c r="Z57" s="62"/>
      <c r="AA57" s="62"/>
      <c r="AB57" s="62"/>
      <c r="AC57" s="62"/>
      <c r="AD57" s="62"/>
      <c r="AE57" s="62"/>
      <c r="AF57" s="62"/>
      <c r="AG57" s="62"/>
      <c r="AH57" s="62"/>
    </row>
    <row r="58" ht="14.25" customHeight="1">
      <c r="Y58" s="62"/>
      <c r="Z58" s="62"/>
      <c r="AA58" s="62"/>
      <c r="AB58" s="62"/>
      <c r="AC58" s="62"/>
      <c r="AD58" s="62"/>
      <c r="AE58" s="62"/>
      <c r="AF58" s="62"/>
      <c r="AG58" s="62"/>
      <c r="AH58" s="62"/>
    </row>
    <row r="59" ht="14.25" customHeight="1">
      <c r="Y59" s="62"/>
      <c r="Z59" s="62"/>
      <c r="AA59" s="62"/>
      <c r="AB59" s="62"/>
      <c r="AC59" s="62"/>
      <c r="AD59" s="62"/>
      <c r="AE59" s="62"/>
      <c r="AF59" s="62"/>
      <c r="AG59" s="62"/>
      <c r="AH59" s="62"/>
    </row>
    <row r="60" ht="14.25" customHeight="1">
      <c r="Y60" s="62"/>
      <c r="Z60" s="62"/>
      <c r="AA60" s="62"/>
      <c r="AB60" s="62"/>
      <c r="AC60" s="62"/>
      <c r="AD60" s="62"/>
      <c r="AE60" s="62"/>
      <c r="AF60" s="62"/>
      <c r="AG60" s="62"/>
      <c r="AH60" s="62"/>
    </row>
    <row r="61" ht="14.25" customHeight="1">
      <c r="Y61" s="62"/>
      <c r="Z61" s="62"/>
      <c r="AA61" s="62"/>
      <c r="AB61" s="62"/>
      <c r="AC61" s="62"/>
      <c r="AD61" s="62"/>
      <c r="AE61" s="62"/>
      <c r="AF61" s="62"/>
      <c r="AG61" s="62"/>
      <c r="AH61" s="62"/>
    </row>
    <row r="62" ht="14.25" customHeight="1">
      <c r="Y62" s="62"/>
      <c r="Z62" s="62"/>
      <c r="AA62" s="62"/>
      <c r="AB62" s="62"/>
      <c r="AC62" s="62"/>
      <c r="AD62" s="62"/>
      <c r="AE62" s="62"/>
      <c r="AF62" s="62"/>
      <c r="AG62" s="62"/>
      <c r="AH62" s="62"/>
    </row>
    <row r="63" ht="14.25" customHeight="1">
      <c r="Y63" s="62"/>
      <c r="Z63" s="62"/>
      <c r="AA63" s="62"/>
      <c r="AB63" s="62"/>
      <c r="AC63" s="62"/>
      <c r="AD63" s="62"/>
      <c r="AE63" s="62"/>
      <c r="AF63" s="62"/>
      <c r="AG63" s="62"/>
      <c r="AH63" s="62"/>
    </row>
    <row r="64" ht="14.25" customHeight="1">
      <c r="Y64" s="62"/>
      <c r="Z64" s="62"/>
      <c r="AA64" s="62"/>
      <c r="AB64" s="62"/>
      <c r="AC64" s="62"/>
      <c r="AD64" s="62"/>
      <c r="AE64" s="62"/>
      <c r="AF64" s="62"/>
      <c r="AG64" s="62"/>
      <c r="AH64" s="62"/>
    </row>
    <row r="65" ht="14.25" customHeight="1">
      <c r="Y65" s="62"/>
      <c r="Z65" s="62"/>
      <c r="AA65" s="62"/>
      <c r="AB65" s="62"/>
      <c r="AC65" s="62"/>
      <c r="AD65" s="62"/>
      <c r="AE65" s="62"/>
      <c r="AF65" s="62"/>
      <c r="AG65" s="62"/>
      <c r="AH65" s="62"/>
    </row>
    <row r="66" ht="14.25" customHeight="1">
      <c r="Y66" s="62"/>
      <c r="Z66" s="62"/>
      <c r="AA66" s="62"/>
      <c r="AB66" s="62"/>
      <c r="AC66" s="62"/>
      <c r="AD66" s="62"/>
      <c r="AE66" s="62"/>
      <c r="AF66" s="62"/>
      <c r="AG66" s="62"/>
      <c r="AH66" s="62"/>
    </row>
    <row r="67" ht="14.25" customHeight="1">
      <c r="Y67" s="62"/>
      <c r="Z67" s="62"/>
      <c r="AA67" s="62"/>
      <c r="AB67" s="62"/>
      <c r="AC67" s="62"/>
      <c r="AD67" s="62"/>
      <c r="AE67" s="62"/>
      <c r="AF67" s="62"/>
      <c r="AG67" s="62"/>
      <c r="AH67" s="62"/>
    </row>
    <row r="68" ht="14.25" customHeight="1">
      <c r="Y68" s="62"/>
      <c r="Z68" s="62"/>
      <c r="AA68" s="62"/>
      <c r="AB68" s="62"/>
      <c r="AC68" s="62"/>
      <c r="AD68" s="62"/>
      <c r="AE68" s="62"/>
      <c r="AF68" s="62"/>
      <c r="AG68" s="62"/>
      <c r="AH68" s="62"/>
    </row>
    <row r="69" ht="14.25" customHeight="1">
      <c r="Y69" s="62"/>
      <c r="Z69" s="62"/>
      <c r="AA69" s="62"/>
      <c r="AB69" s="62"/>
      <c r="AC69" s="62"/>
      <c r="AD69" s="62"/>
      <c r="AE69" s="62"/>
      <c r="AF69" s="62"/>
      <c r="AG69" s="62"/>
      <c r="AH69" s="62"/>
    </row>
    <row r="70" ht="14.25" customHeight="1">
      <c r="Y70" s="62"/>
      <c r="Z70" s="62"/>
      <c r="AA70" s="62"/>
      <c r="AB70" s="62"/>
      <c r="AC70" s="62"/>
      <c r="AD70" s="62"/>
      <c r="AE70" s="62"/>
      <c r="AF70" s="62"/>
      <c r="AG70" s="62"/>
      <c r="AH70" s="62"/>
    </row>
    <row r="71" ht="14.25" customHeight="1">
      <c r="Y71" s="62"/>
      <c r="Z71" s="62"/>
      <c r="AA71" s="62"/>
      <c r="AB71" s="62"/>
      <c r="AC71" s="62"/>
      <c r="AD71" s="62"/>
      <c r="AE71" s="62"/>
      <c r="AF71" s="62"/>
      <c r="AG71" s="62"/>
      <c r="AH71" s="62"/>
    </row>
    <row r="72" ht="14.25" customHeight="1">
      <c r="Y72" s="62"/>
      <c r="Z72" s="62"/>
      <c r="AA72" s="62"/>
      <c r="AB72" s="62"/>
      <c r="AC72" s="62"/>
      <c r="AD72" s="62"/>
      <c r="AE72" s="62"/>
      <c r="AF72" s="62"/>
      <c r="AG72" s="62"/>
      <c r="AH72" s="62"/>
    </row>
    <row r="73" ht="14.25" customHeight="1">
      <c r="Y73" s="62"/>
      <c r="Z73" s="62"/>
      <c r="AA73" s="62"/>
      <c r="AB73" s="62"/>
      <c r="AC73" s="62"/>
      <c r="AD73" s="62"/>
      <c r="AE73" s="62"/>
      <c r="AF73" s="62"/>
      <c r="AG73" s="62"/>
      <c r="AH73" s="62"/>
    </row>
    <row r="74" ht="14.25" customHeight="1">
      <c r="Y74" s="62"/>
      <c r="Z74" s="62"/>
      <c r="AA74" s="62"/>
      <c r="AB74" s="62"/>
      <c r="AC74" s="62"/>
      <c r="AD74" s="62"/>
      <c r="AE74" s="62"/>
      <c r="AF74" s="62"/>
      <c r="AG74" s="62"/>
      <c r="AH74" s="62"/>
    </row>
    <row r="75" ht="14.25" customHeight="1">
      <c r="Y75" s="62"/>
      <c r="Z75" s="62"/>
      <c r="AA75" s="62"/>
      <c r="AB75" s="62"/>
      <c r="AC75" s="62"/>
      <c r="AD75" s="62"/>
      <c r="AE75" s="62"/>
      <c r="AF75" s="62"/>
      <c r="AG75" s="62"/>
      <c r="AH75" s="62"/>
    </row>
    <row r="76" ht="14.25" customHeight="1">
      <c r="Y76" s="62"/>
      <c r="Z76" s="62"/>
      <c r="AA76" s="62"/>
      <c r="AB76" s="62"/>
      <c r="AC76" s="62"/>
      <c r="AD76" s="62"/>
      <c r="AE76" s="62"/>
      <c r="AF76" s="62"/>
      <c r="AG76" s="62"/>
      <c r="AH76" s="62"/>
    </row>
    <row r="77" ht="14.25" customHeight="1">
      <c r="Y77" s="62"/>
      <c r="Z77" s="62"/>
      <c r="AA77" s="62"/>
      <c r="AB77" s="62"/>
      <c r="AC77" s="62"/>
      <c r="AD77" s="62"/>
      <c r="AE77" s="62"/>
      <c r="AF77" s="62"/>
      <c r="AG77" s="62"/>
      <c r="AH77" s="62"/>
    </row>
    <row r="78" ht="14.25" customHeight="1">
      <c r="Y78" s="62"/>
      <c r="Z78" s="62"/>
      <c r="AA78" s="62"/>
      <c r="AB78" s="62"/>
      <c r="AC78" s="62"/>
      <c r="AD78" s="62"/>
      <c r="AE78" s="62"/>
      <c r="AF78" s="62"/>
      <c r="AG78" s="62"/>
      <c r="AH78" s="62"/>
    </row>
    <row r="79" ht="14.25" customHeight="1">
      <c r="Y79" s="62"/>
      <c r="Z79" s="62"/>
      <c r="AA79" s="62"/>
      <c r="AB79" s="62"/>
      <c r="AC79" s="62"/>
      <c r="AD79" s="62"/>
      <c r="AE79" s="62"/>
      <c r="AF79" s="62"/>
      <c r="AG79" s="62"/>
      <c r="AH79" s="62"/>
    </row>
    <row r="80" ht="14.25" customHeight="1">
      <c r="Y80" s="62"/>
      <c r="Z80" s="62"/>
      <c r="AA80" s="62"/>
      <c r="AB80" s="62"/>
      <c r="AC80" s="62"/>
      <c r="AD80" s="62"/>
      <c r="AE80" s="62"/>
      <c r="AF80" s="62"/>
      <c r="AG80" s="62"/>
      <c r="AH80" s="62"/>
    </row>
    <row r="81" ht="14.25" customHeight="1">
      <c r="Y81" s="62"/>
      <c r="Z81" s="62"/>
      <c r="AA81" s="62"/>
      <c r="AB81" s="62"/>
      <c r="AC81" s="62"/>
      <c r="AD81" s="62"/>
      <c r="AE81" s="62"/>
      <c r="AF81" s="62"/>
      <c r="AG81" s="62"/>
      <c r="AH81" s="62"/>
    </row>
    <row r="82" ht="14.25" customHeight="1">
      <c r="Y82" s="62"/>
      <c r="Z82" s="62"/>
      <c r="AA82" s="62"/>
      <c r="AB82" s="62"/>
      <c r="AC82" s="62"/>
      <c r="AD82" s="62"/>
      <c r="AE82" s="62"/>
      <c r="AF82" s="62"/>
      <c r="AG82" s="62"/>
      <c r="AH82" s="62"/>
    </row>
    <row r="83" ht="14.25" customHeight="1">
      <c r="Y83" s="62"/>
      <c r="Z83" s="62"/>
      <c r="AA83" s="62"/>
      <c r="AB83" s="62"/>
      <c r="AC83" s="62"/>
      <c r="AD83" s="62"/>
      <c r="AE83" s="62"/>
      <c r="AF83" s="62"/>
      <c r="AG83" s="62"/>
      <c r="AH83" s="62"/>
    </row>
    <row r="84" ht="14.25" customHeight="1">
      <c r="Y84" s="62"/>
      <c r="Z84" s="62"/>
      <c r="AA84" s="62"/>
      <c r="AB84" s="62"/>
      <c r="AC84" s="62"/>
      <c r="AD84" s="62"/>
      <c r="AE84" s="62"/>
      <c r="AF84" s="62"/>
      <c r="AG84" s="62"/>
      <c r="AH84" s="62"/>
    </row>
    <row r="85" ht="14.25" customHeight="1">
      <c r="Y85" s="62"/>
      <c r="Z85" s="62"/>
      <c r="AA85" s="62"/>
      <c r="AB85" s="62"/>
      <c r="AC85" s="62"/>
      <c r="AD85" s="62"/>
      <c r="AE85" s="62"/>
      <c r="AF85" s="62"/>
      <c r="AG85" s="62"/>
      <c r="AH85" s="62"/>
    </row>
    <row r="86" ht="14.25" customHeight="1">
      <c r="Y86" s="62"/>
      <c r="Z86" s="62"/>
      <c r="AA86" s="62"/>
      <c r="AB86" s="62"/>
      <c r="AC86" s="62"/>
      <c r="AD86" s="62"/>
      <c r="AE86" s="62"/>
      <c r="AF86" s="62"/>
      <c r="AG86" s="62"/>
      <c r="AH86" s="62"/>
    </row>
    <row r="87" ht="14.25" customHeight="1">
      <c r="Y87" s="62"/>
      <c r="Z87" s="62"/>
      <c r="AA87" s="62"/>
      <c r="AB87" s="62"/>
      <c r="AC87" s="62"/>
      <c r="AD87" s="62"/>
      <c r="AE87" s="62"/>
      <c r="AF87" s="62"/>
      <c r="AG87" s="62"/>
      <c r="AH87" s="62"/>
    </row>
    <row r="88" ht="14.25" customHeight="1">
      <c r="Y88" s="62"/>
      <c r="Z88" s="62"/>
      <c r="AA88" s="62"/>
      <c r="AB88" s="62"/>
      <c r="AC88" s="62"/>
      <c r="AD88" s="62"/>
      <c r="AE88" s="62"/>
      <c r="AF88" s="62"/>
      <c r="AG88" s="62"/>
      <c r="AH88" s="62"/>
    </row>
    <row r="89" ht="14.25" customHeight="1">
      <c r="Y89" s="62"/>
      <c r="Z89" s="62"/>
      <c r="AA89" s="62"/>
      <c r="AB89" s="62"/>
      <c r="AC89" s="62"/>
      <c r="AD89" s="62"/>
      <c r="AE89" s="62"/>
      <c r="AF89" s="62"/>
      <c r="AG89" s="62"/>
      <c r="AH89" s="62"/>
    </row>
    <row r="90" ht="14.25" customHeight="1">
      <c r="Y90" s="62"/>
      <c r="Z90" s="62"/>
      <c r="AA90" s="62"/>
      <c r="AB90" s="62"/>
      <c r="AC90" s="62"/>
      <c r="AD90" s="62"/>
      <c r="AE90" s="62"/>
      <c r="AF90" s="62"/>
      <c r="AG90" s="62"/>
      <c r="AH90" s="62"/>
    </row>
    <row r="91" ht="14.25" customHeight="1">
      <c r="Y91" s="62"/>
      <c r="Z91" s="62"/>
      <c r="AA91" s="62"/>
      <c r="AB91" s="62"/>
      <c r="AC91" s="62"/>
      <c r="AD91" s="62"/>
      <c r="AE91" s="62"/>
      <c r="AF91" s="62"/>
      <c r="AG91" s="62"/>
      <c r="AH91" s="62"/>
    </row>
    <row r="92" ht="14.25" customHeight="1">
      <c r="Y92" s="62"/>
      <c r="Z92" s="62"/>
      <c r="AA92" s="62"/>
      <c r="AB92" s="62"/>
      <c r="AC92" s="62"/>
      <c r="AD92" s="62"/>
      <c r="AE92" s="62"/>
      <c r="AF92" s="62"/>
      <c r="AG92" s="62"/>
      <c r="AH92" s="62"/>
    </row>
    <row r="93" ht="14.25" customHeight="1">
      <c r="Y93" s="62"/>
      <c r="Z93" s="62"/>
      <c r="AA93" s="62"/>
      <c r="AB93" s="62"/>
      <c r="AC93" s="62"/>
      <c r="AD93" s="62"/>
      <c r="AE93" s="62"/>
      <c r="AF93" s="62"/>
      <c r="AG93" s="62"/>
      <c r="AH93" s="62"/>
    </row>
    <row r="94" ht="14.25" customHeight="1">
      <c r="Y94" s="62"/>
      <c r="Z94" s="62"/>
      <c r="AA94" s="62"/>
      <c r="AB94" s="62"/>
      <c r="AC94" s="62"/>
      <c r="AD94" s="62"/>
      <c r="AE94" s="62"/>
      <c r="AF94" s="62"/>
      <c r="AG94" s="62"/>
      <c r="AH94" s="62"/>
    </row>
    <row r="95" ht="14.25" customHeight="1">
      <c r="Y95" s="62"/>
      <c r="Z95" s="62"/>
      <c r="AA95" s="62"/>
      <c r="AB95" s="62"/>
      <c r="AC95" s="62"/>
      <c r="AD95" s="62"/>
      <c r="AE95" s="62"/>
      <c r="AF95" s="62"/>
      <c r="AG95" s="62"/>
      <c r="AH95" s="62"/>
    </row>
    <row r="96" ht="14.25" customHeight="1">
      <c r="Y96" s="62"/>
      <c r="Z96" s="62"/>
      <c r="AA96" s="62"/>
      <c r="AB96" s="62"/>
      <c r="AC96" s="62"/>
      <c r="AD96" s="62"/>
      <c r="AE96" s="62"/>
      <c r="AF96" s="62"/>
      <c r="AG96" s="62"/>
      <c r="AH96" s="62"/>
    </row>
    <row r="97" ht="14.25" customHeight="1">
      <c r="Y97" s="62"/>
      <c r="Z97" s="62"/>
      <c r="AA97" s="62"/>
      <c r="AB97" s="62"/>
      <c r="AC97" s="62"/>
      <c r="AD97" s="62"/>
      <c r="AE97" s="62"/>
      <c r="AF97" s="62"/>
      <c r="AG97" s="62"/>
      <c r="AH97" s="62"/>
    </row>
    <row r="98" ht="14.25" customHeight="1">
      <c r="Y98" s="62"/>
      <c r="Z98" s="62"/>
      <c r="AA98" s="62"/>
      <c r="AB98" s="62"/>
      <c r="AC98" s="62"/>
      <c r="AD98" s="62"/>
      <c r="AE98" s="62"/>
      <c r="AF98" s="62"/>
      <c r="AG98" s="62"/>
      <c r="AH98" s="62"/>
    </row>
    <row r="99" ht="14.25" customHeight="1">
      <c r="Y99" s="62"/>
      <c r="Z99" s="62"/>
      <c r="AA99" s="62"/>
      <c r="AB99" s="62"/>
      <c r="AC99" s="62"/>
      <c r="AD99" s="62"/>
      <c r="AE99" s="62"/>
      <c r="AF99" s="62"/>
      <c r="AG99" s="62"/>
      <c r="AH99" s="62"/>
    </row>
    <row r="100" ht="14.25" customHeight="1">
      <c r="Y100" s="62"/>
      <c r="Z100" s="62"/>
      <c r="AA100" s="62"/>
      <c r="AB100" s="62"/>
      <c r="AC100" s="62"/>
      <c r="AD100" s="62"/>
      <c r="AE100" s="62"/>
      <c r="AF100" s="62"/>
      <c r="AG100" s="62"/>
      <c r="AH100" s="62"/>
    </row>
    <row r="101" ht="14.25" customHeight="1">
      <c r="Y101" s="62"/>
      <c r="Z101" s="62"/>
      <c r="AA101" s="62"/>
      <c r="AB101" s="62"/>
      <c r="AC101" s="62"/>
      <c r="AD101" s="62"/>
      <c r="AE101" s="62"/>
      <c r="AF101" s="62"/>
      <c r="AG101" s="62"/>
      <c r="AH101" s="62"/>
    </row>
    <row r="102" ht="14.25" customHeight="1">
      <c r="Y102" s="62"/>
      <c r="Z102" s="62"/>
      <c r="AA102" s="62"/>
      <c r="AB102" s="62"/>
      <c r="AC102" s="62"/>
      <c r="AD102" s="62"/>
      <c r="AE102" s="62"/>
      <c r="AF102" s="62"/>
      <c r="AG102" s="62"/>
      <c r="AH102" s="62"/>
    </row>
    <row r="103" ht="14.25" customHeight="1">
      <c r="Y103" s="62"/>
      <c r="Z103" s="62"/>
      <c r="AA103" s="62"/>
      <c r="AB103" s="62"/>
      <c r="AC103" s="62"/>
      <c r="AD103" s="62"/>
      <c r="AE103" s="62"/>
      <c r="AF103" s="62"/>
      <c r="AG103" s="62"/>
      <c r="AH103" s="62"/>
    </row>
    <row r="104" ht="14.25" customHeight="1">
      <c r="Y104" s="62"/>
      <c r="Z104" s="62"/>
      <c r="AA104" s="62"/>
      <c r="AB104" s="62"/>
      <c r="AC104" s="62"/>
      <c r="AD104" s="62"/>
      <c r="AE104" s="62"/>
      <c r="AF104" s="62"/>
      <c r="AG104" s="62"/>
      <c r="AH104" s="62"/>
    </row>
    <row r="105" ht="14.25" customHeight="1">
      <c r="Y105" s="62"/>
      <c r="Z105" s="62"/>
      <c r="AA105" s="62"/>
      <c r="AB105" s="62"/>
      <c r="AC105" s="62"/>
      <c r="AD105" s="62"/>
      <c r="AE105" s="62"/>
      <c r="AF105" s="62"/>
      <c r="AG105" s="62"/>
      <c r="AH105" s="62"/>
    </row>
    <row r="106" ht="14.25" customHeight="1">
      <c r="Y106" s="62"/>
      <c r="Z106" s="62"/>
      <c r="AA106" s="62"/>
      <c r="AB106" s="62"/>
      <c r="AC106" s="62"/>
      <c r="AD106" s="62"/>
      <c r="AE106" s="62"/>
      <c r="AF106" s="62"/>
      <c r="AG106" s="62"/>
      <c r="AH106" s="62"/>
    </row>
    <row r="107" ht="14.25" customHeight="1">
      <c r="Y107" s="62"/>
      <c r="Z107" s="62"/>
      <c r="AA107" s="62"/>
      <c r="AB107" s="62"/>
      <c r="AC107" s="62"/>
      <c r="AD107" s="62"/>
      <c r="AE107" s="62"/>
      <c r="AF107" s="62"/>
      <c r="AG107" s="62"/>
      <c r="AH107" s="62"/>
    </row>
    <row r="108" ht="14.25" customHeight="1">
      <c r="Y108" s="62"/>
      <c r="Z108" s="62"/>
      <c r="AA108" s="62"/>
      <c r="AB108" s="62"/>
      <c r="AC108" s="62"/>
      <c r="AD108" s="62"/>
      <c r="AE108" s="62"/>
      <c r="AF108" s="62"/>
      <c r="AG108" s="62"/>
      <c r="AH108" s="62"/>
    </row>
    <row r="109" ht="14.25" customHeight="1">
      <c r="Y109" s="62"/>
      <c r="Z109" s="62"/>
      <c r="AA109" s="62"/>
      <c r="AB109" s="62"/>
      <c r="AC109" s="62"/>
      <c r="AD109" s="62"/>
      <c r="AE109" s="62"/>
      <c r="AF109" s="62"/>
      <c r="AG109" s="62"/>
      <c r="AH109" s="62"/>
    </row>
    <row r="110" ht="14.25" customHeight="1">
      <c r="Y110" s="62"/>
      <c r="Z110" s="62"/>
      <c r="AA110" s="62"/>
      <c r="AB110" s="62"/>
      <c r="AC110" s="62"/>
      <c r="AD110" s="62"/>
      <c r="AE110" s="62"/>
      <c r="AF110" s="62"/>
      <c r="AG110" s="62"/>
      <c r="AH110" s="62"/>
    </row>
    <row r="111" ht="14.25" customHeight="1">
      <c r="Y111" s="62"/>
      <c r="Z111" s="62"/>
      <c r="AA111" s="62"/>
      <c r="AB111" s="62"/>
      <c r="AC111" s="62"/>
      <c r="AD111" s="62"/>
      <c r="AE111" s="62"/>
      <c r="AF111" s="62"/>
      <c r="AG111" s="62"/>
      <c r="AH111" s="62"/>
    </row>
    <row r="112" ht="14.25" customHeight="1">
      <c r="Y112" s="62"/>
      <c r="Z112" s="62"/>
      <c r="AA112" s="62"/>
      <c r="AB112" s="62"/>
      <c r="AC112" s="62"/>
      <c r="AD112" s="62"/>
      <c r="AE112" s="62"/>
      <c r="AF112" s="62"/>
      <c r="AG112" s="62"/>
      <c r="AH112" s="62"/>
    </row>
    <row r="113" ht="14.25" customHeight="1">
      <c r="Y113" s="62"/>
      <c r="Z113" s="62"/>
      <c r="AA113" s="62"/>
      <c r="AB113" s="62"/>
      <c r="AC113" s="62"/>
      <c r="AD113" s="62"/>
      <c r="AE113" s="62"/>
      <c r="AF113" s="62"/>
      <c r="AG113" s="62"/>
      <c r="AH113" s="62"/>
    </row>
    <row r="114" ht="14.25" customHeight="1">
      <c r="Y114" s="62"/>
      <c r="Z114" s="62"/>
      <c r="AA114" s="62"/>
      <c r="AB114" s="62"/>
      <c r="AC114" s="62"/>
      <c r="AD114" s="62"/>
      <c r="AE114" s="62"/>
      <c r="AF114" s="62"/>
      <c r="AG114" s="62"/>
      <c r="AH114" s="62"/>
    </row>
    <row r="115" ht="14.25" customHeight="1">
      <c r="Y115" s="62"/>
      <c r="Z115" s="62"/>
      <c r="AA115" s="62"/>
      <c r="AB115" s="62"/>
      <c r="AC115" s="62"/>
      <c r="AD115" s="62"/>
      <c r="AE115" s="62"/>
      <c r="AF115" s="62"/>
      <c r="AG115" s="62"/>
      <c r="AH115" s="62"/>
    </row>
    <row r="116" ht="14.25" customHeight="1">
      <c r="Y116" s="62"/>
      <c r="Z116" s="62"/>
      <c r="AA116" s="62"/>
      <c r="AB116" s="62"/>
      <c r="AC116" s="62"/>
      <c r="AD116" s="62"/>
      <c r="AE116" s="62"/>
      <c r="AF116" s="62"/>
      <c r="AG116" s="62"/>
      <c r="AH116" s="62"/>
    </row>
    <row r="117" ht="14.25" customHeight="1">
      <c r="Y117" s="62"/>
      <c r="Z117" s="62"/>
      <c r="AA117" s="62"/>
      <c r="AB117" s="62"/>
      <c r="AC117" s="62"/>
      <c r="AD117" s="62"/>
      <c r="AE117" s="62"/>
      <c r="AF117" s="62"/>
      <c r="AG117" s="62"/>
      <c r="AH117" s="62"/>
    </row>
    <row r="118" ht="14.25" customHeight="1">
      <c r="Y118" s="62"/>
      <c r="Z118" s="62"/>
      <c r="AA118" s="62"/>
      <c r="AB118" s="62"/>
      <c r="AC118" s="62"/>
      <c r="AD118" s="62"/>
      <c r="AE118" s="62"/>
      <c r="AF118" s="62"/>
      <c r="AG118" s="62"/>
      <c r="AH118" s="62"/>
    </row>
    <row r="119" ht="14.25" customHeight="1">
      <c r="Y119" s="62"/>
      <c r="Z119" s="62"/>
      <c r="AA119" s="62"/>
      <c r="AB119" s="62"/>
      <c r="AC119" s="62"/>
      <c r="AD119" s="62"/>
      <c r="AE119" s="62"/>
      <c r="AF119" s="62"/>
      <c r="AG119" s="62"/>
      <c r="AH119" s="62"/>
    </row>
    <row r="120" ht="14.25" customHeight="1">
      <c r="Y120" s="62"/>
      <c r="Z120" s="62"/>
      <c r="AA120" s="62"/>
      <c r="AB120" s="62"/>
      <c r="AC120" s="62"/>
      <c r="AD120" s="62"/>
      <c r="AE120" s="62"/>
      <c r="AF120" s="62"/>
      <c r="AG120" s="62"/>
      <c r="AH120" s="62"/>
    </row>
    <row r="121" ht="14.25" customHeight="1">
      <c r="Y121" s="62"/>
      <c r="Z121" s="62"/>
      <c r="AA121" s="62"/>
      <c r="AB121" s="62"/>
      <c r="AC121" s="62"/>
      <c r="AD121" s="62"/>
      <c r="AE121" s="62"/>
      <c r="AF121" s="62"/>
      <c r="AG121" s="62"/>
      <c r="AH121" s="62"/>
    </row>
    <row r="122" ht="14.25" customHeight="1">
      <c r="Y122" s="62"/>
      <c r="Z122" s="62"/>
      <c r="AA122" s="62"/>
      <c r="AB122" s="62"/>
      <c r="AC122" s="62"/>
      <c r="AD122" s="62"/>
      <c r="AE122" s="62"/>
      <c r="AF122" s="62"/>
      <c r="AG122" s="62"/>
      <c r="AH122" s="62"/>
    </row>
    <row r="123" ht="14.25" customHeight="1">
      <c r="Y123" s="62"/>
      <c r="Z123" s="62"/>
      <c r="AA123" s="62"/>
      <c r="AB123" s="62"/>
      <c r="AC123" s="62"/>
      <c r="AD123" s="62"/>
      <c r="AE123" s="62"/>
      <c r="AF123" s="62"/>
      <c r="AG123" s="62"/>
      <c r="AH123" s="62"/>
    </row>
    <row r="124" ht="14.25" customHeight="1">
      <c r="Y124" s="62"/>
      <c r="Z124" s="62"/>
      <c r="AA124" s="62"/>
      <c r="AB124" s="62"/>
      <c r="AC124" s="62"/>
      <c r="AD124" s="62"/>
      <c r="AE124" s="62"/>
      <c r="AF124" s="62"/>
      <c r="AG124" s="62"/>
      <c r="AH124" s="62"/>
    </row>
    <row r="125" ht="14.25" customHeight="1">
      <c r="Y125" s="62"/>
      <c r="Z125" s="62"/>
      <c r="AA125" s="62"/>
      <c r="AB125" s="62"/>
      <c r="AC125" s="62"/>
      <c r="AD125" s="62"/>
      <c r="AE125" s="62"/>
      <c r="AF125" s="62"/>
      <c r="AG125" s="62"/>
      <c r="AH125" s="62"/>
    </row>
    <row r="126" ht="14.25" customHeight="1">
      <c r="Y126" s="62"/>
      <c r="Z126" s="62"/>
      <c r="AA126" s="62"/>
      <c r="AB126" s="62"/>
      <c r="AC126" s="62"/>
      <c r="AD126" s="62"/>
      <c r="AE126" s="62"/>
      <c r="AF126" s="62"/>
      <c r="AG126" s="62"/>
      <c r="AH126" s="62"/>
    </row>
    <row r="127" ht="14.25" customHeight="1">
      <c r="Y127" s="62"/>
      <c r="Z127" s="62"/>
      <c r="AA127" s="62"/>
      <c r="AB127" s="62"/>
      <c r="AC127" s="62"/>
      <c r="AD127" s="62"/>
      <c r="AE127" s="62"/>
      <c r="AF127" s="62"/>
      <c r="AG127" s="62"/>
      <c r="AH127" s="62"/>
    </row>
    <row r="128" ht="14.25" customHeight="1">
      <c r="Y128" s="62"/>
      <c r="Z128" s="62"/>
      <c r="AA128" s="62"/>
      <c r="AB128" s="62"/>
      <c r="AC128" s="62"/>
      <c r="AD128" s="62"/>
      <c r="AE128" s="62"/>
      <c r="AF128" s="62"/>
      <c r="AG128" s="62"/>
      <c r="AH128" s="62"/>
    </row>
    <row r="129" ht="14.25" customHeight="1">
      <c r="Y129" s="62"/>
      <c r="Z129" s="62"/>
      <c r="AA129" s="62"/>
      <c r="AB129" s="62"/>
      <c r="AC129" s="62"/>
      <c r="AD129" s="62"/>
      <c r="AE129" s="62"/>
      <c r="AF129" s="62"/>
      <c r="AG129" s="62"/>
      <c r="AH129" s="62"/>
    </row>
    <row r="130" ht="14.25" customHeight="1">
      <c r="Y130" s="62"/>
      <c r="Z130" s="62"/>
      <c r="AA130" s="62"/>
      <c r="AB130" s="62"/>
      <c r="AC130" s="62"/>
      <c r="AD130" s="62"/>
      <c r="AE130" s="62"/>
      <c r="AF130" s="62"/>
      <c r="AG130" s="62"/>
      <c r="AH130" s="62"/>
    </row>
    <row r="131" ht="14.25" customHeight="1">
      <c r="Y131" s="62"/>
      <c r="Z131" s="62"/>
      <c r="AA131" s="62"/>
      <c r="AB131" s="62"/>
      <c r="AC131" s="62"/>
      <c r="AD131" s="62"/>
      <c r="AE131" s="62"/>
      <c r="AF131" s="62"/>
      <c r="AG131" s="62"/>
      <c r="AH131" s="62"/>
    </row>
    <row r="132" ht="14.25" customHeight="1">
      <c r="Y132" s="62"/>
      <c r="Z132" s="62"/>
      <c r="AA132" s="62"/>
      <c r="AB132" s="62"/>
      <c r="AC132" s="62"/>
      <c r="AD132" s="62"/>
      <c r="AE132" s="62"/>
      <c r="AF132" s="62"/>
      <c r="AG132" s="62"/>
      <c r="AH132" s="62"/>
    </row>
    <row r="133" ht="14.25" customHeight="1">
      <c r="Y133" s="62"/>
      <c r="Z133" s="62"/>
      <c r="AA133" s="62"/>
      <c r="AB133" s="62"/>
      <c r="AC133" s="62"/>
      <c r="AD133" s="62"/>
      <c r="AE133" s="62"/>
      <c r="AF133" s="62"/>
      <c r="AG133" s="62"/>
      <c r="AH133" s="62"/>
    </row>
    <row r="134" ht="14.25" customHeight="1">
      <c r="Y134" s="62"/>
      <c r="Z134" s="62"/>
      <c r="AA134" s="62"/>
      <c r="AB134" s="62"/>
      <c r="AC134" s="62"/>
      <c r="AD134" s="62"/>
      <c r="AE134" s="62"/>
      <c r="AF134" s="62"/>
      <c r="AG134" s="62"/>
      <c r="AH134" s="62"/>
    </row>
    <row r="135" ht="14.25" customHeight="1">
      <c r="Y135" s="62"/>
      <c r="Z135" s="62"/>
      <c r="AA135" s="62"/>
      <c r="AB135" s="62"/>
      <c r="AC135" s="62"/>
      <c r="AD135" s="62"/>
      <c r="AE135" s="62"/>
      <c r="AF135" s="62"/>
      <c r="AG135" s="62"/>
      <c r="AH135" s="62"/>
    </row>
    <row r="136" ht="14.25" customHeight="1">
      <c r="Y136" s="62"/>
      <c r="Z136" s="62"/>
      <c r="AA136" s="62"/>
      <c r="AB136" s="62"/>
      <c r="AC136" s="62"/>
      <c r="AD136" s="62"/>
      <c r="AE136" s="62"/>
      <c r="AF136" s="62"/>
      <c r="AG136" s="62"/>
      <c r="AH136" s="62"/>
    </row>
    <row r="137" ht="14.25" customHeight="1">
      <c r="Y137" s="62"/>
      <c r="Z137" s="62"/>
      <c r="AA137" s="62"/>
      <c r="AB137" s="62"/>
      <c r="AC137" s="62"/>
      <c r="AD137" s="62"/>
      <c r="AE137" s="62"/>
      <c r="AF137" s="62"/>
      <c r="AG137" s="62"/>
      <c r="AH137" s="62"/>
    </row>
    <row r="138" ht="14.25" customHeight="1">
      <c r="Y138" s="62"/>
      <c r="Z138" s="62"/>
      <c r="AA138" s="62"/>
      <c r="AB138" s="62"/>
      <c r="AC138" s="62"/>
      <c r="AD138" s="62"/>
      <c r="AE138" s="62"/>
      <c r="AF138" s="62"/>
      <c r="AG138" s="62"/>
      <c r="AH138" s="62"/>
    </row>
    <row r="139" ht="14.25" customHeight="1">
      <c r="Y139" s="62"/>
      <c r="Z139" s="62"/>
      <c r="AA139" s="62"/>
      <c r="AB139" s="62"/>
      <c r="AC139" s="62"/>
      <c r="AD139" s="62"/>
      <c r="AE139" s="62"/>
      <c r="AF139" s="62"/>
      <c r="AG139" s="62"/>
      <c r="AH139" s="62"/>
    </row>
    <row r="140" ht="14.25" customHeight="1">
      <c r="Y140" s="62"/>
      <c r="Z140" s="62"/>
      <c r="AA140" s="62"/>
      <c r="AB140" s="62"/>
      <c r="AC140" s="62"/>
      <c r="AD140" s="62"/>
      <c r="AE140" s="62"/>
      <c r="AF140" s="62"/>
      <c r="AG140" s="62"/>
      <c r="AH140" s="62"/>
    </row>
    <row r="141" ht="14.25" customHeight="1">
      <c r="Y141" s="62"/>
      <c r="Z141" s="62"/>
      <c r="AA141" s="62"/>
      <c r="AB141" s="62"/>
      <c r="AC141" s="62"/>
      <c r="AD141" s="62"/>
      <c r="AE141" s="62"/>
      <c r="AF141" s="62"/>
      <c r="AG141" s="62"/>
      <c r="AH141" s="62"/>
    </row>
    <row r="142" ht="14.25" customHeight="1">
      <c r="Y142" s="62"/>
      <c r="Z142" s="62"/>
      <c r="AA142" s="62"/>
      <c r="AB142" s="62"/>
      <c r="AC142" s="62"/>
      <c r="AD142" s="62"/>
      <c r="AE142" s="62"/>
      <c r="AF142" s="62"/>
      <c r="AG142" s="62"/>
      <c r="AH142" s="62"/>
    </row>
    <row r="143" ht="14.25" customHeight="1">
      <c r="Y143" s="62"/>
      <c r="Z143" s="62"/>
      <c r="AA143" s="62"/>
      <c r="AB143" s="62"/>
      <c r="AC143" s="62"/>
      <c r="AD143" s="62"/>
      <c r="AE143" s="62"/>
      <c r="AF143" s="62"/>
      <c r="AG143" s="62"/>
      <c r="AH143" s="62"/>
    </row>
    <row r="144" ht="14.25" customHeight="1">
      <c r="Y144" s="62"/>
      <c r="Z144" s="62"/>
      <c r="AA144" s="62"/>
      <c r="AB144" s="62"/>
      <c r="AC144" s="62"/>
      <c r="AD144" s="62"/>
      <c r="AE144" s="62"/>
      <c r="AF144" s="62"/>
      <c r="AG144" s="62"/>
      <c r="AH144" s="62"/>
    </row>
    <row r="145" ht="14.25" customHeight="1">
      <c r="Y145" s="62"/>
      <c r="Z145" s="62"/>
      <c r="AA145" s="62"/>
      <c r="AB145" s="62"/>
      <c r="AC145" s="62"/>
      <c r="AD145" s="62"/>
      <c r="AE145" s="62"/>
      <c r="AF145" s="62"/>
      <c r="AG145" s="62"/>
      <c r="AH145" s="62"/>
    </row>
    <row r="146" ht="14.25" customHeight="1">
      <c r="Y146" s="62"/>
      <c r="Z146" s="62"/>
      <c r="AA146" s="62"/>
      <c r="AB146" s="62"/>
      <c r="AC146" s="62"/>
      <c r="AD146" s="62"/>
      <c r="AE146" s="62"/>
      <c r="AF146" s="62"/>
      <c r="AG146" s="62"/>
      <c r="AH146" s="62"/>
    </row>
    <row r="147" ht="14.25" customHeight="1">
      <c r="Y147" s="62"/>
      <c r="Z147" s="62"/>
      <c r="AA147" s="62"/>
      <c r="AB147" s="62"/>
      <c r="AC147" s="62"/>
      <c r="AD147" s="62"/>
      <c r="AE147" s="62"/>
      <c r="AF147" s="62"/>
      <c r="AG147" s="62"/>
      <c r="AH147" s="62"/>
    </row>
    <row r="148" ht="14.25" customHeight="1">
      <c r="Y148" s="62"/>
      <c r="Z148" s="62"/>
      <c r="AA148" s="62"/>
      <c r="AB148" s="62"/>
      <c r="AC148" s="62"/>
      <c r="AD148" s="62"/>
      <c r="AE148" s="62"/>
      <c r="AF148" s="62"/>
      <c r="AG148" s="62"/>
      <c r="AH148" s="62"/>
    </row>
    <row r="149" ht="14.25" customHeight="1">
      <c r="Y149" s="62"/>
      <c r="Z149" s="62"/>
      <c r="AA149" s="62"/>
      <c r="AB149" s="62"/>
      <c r="AC149" s="62"/>
      <c r="AD149" s="62"/>
      <c r="AE149" s="62"/>
      <c r="AF149" s="62"/>
      <c r="AG149" s="62"/>
      <c r="AH149" s="62"/>
    </row>
    <row r="150" ht="14.25" customHeight="1">
      <c r="Y150" s="62"/>
      <c r="Z150" s="62"/>
      <c r="AA150" s="62"/>
      <c r="AB150" s="62"/>
      <c r="AC150" s="62"/>
      <c r="AD150" s="62"/>
      <c r="AE150" s="62"/>
      <c r="AF150" s="62"/>
      <c r="AG150" s="62"/>
      <c r="AH150" s="62"/>
    </row>
    <row r="151" ht="14.25" customHeight="1">
      <c r="Y151" s="62"/>
      <c r="Z151" s="62"/>
      <c r="AA151" s="62"/>
      <c r="AB151" s="62"/>
      <c r="AC151" s="62"/>
      <c r="AD151" s="62"/>
      <c r="AE151" s="62"/>
      <c r="AF151" s="62"/>
      <c r="AG151" s="62"/>
      <c r="AH151" s="62"/>
    </row>
    <row r="152" ht="14.25" customHeight="1">
      <c r="Y152" s="62"/>
      <c r="Z152" s="62"/>
      <c r="AA152" s="62"/>
      <c r="AB152" s="62"/>
      <c r="AC152" s="62"/>
      <c r="AD152" s="62"/>
      <c r="AE152" s="62"/>
      <c r="AF152" s="62"/>
      <c r="AG152" s="62"/>
      <c r="AH152" s="62"/>
    </row>
    <row r="153" ht="14.25" customHeight="1">
      <c r="Y153" s="62"/>
      <c r="Z153" s="62"/>
      <c r="AA153" s="62"/>
      <c r="AB153" s="62"/>
      <c r="AC153" s="62"/>
      <c r="AD153" s="62"/>
      <c r="AE153" s="62"/>
      <c r="AF153" s="62"/>
      <c r="AG153" s="62"/>
      <c r="AH153" s="62"/>
    </row>
    <row r="154" ht="14.25" customHeight="1">
      <c r="Y154" s="62"/>
      <c r="Z154" s="62"/>
      <c r="AA154" s="62"/>
      <c r="AB154" s="62"/>
      <c r="AC154" s="62"/>
      <c r="AD154" s="62"/>
      <c r="AE154" s="62"/>
      <c r="AF154" s="62"/>
      <c r="AG154" s="62"/>
      <c r="AH154" s="62"/>
    </row>
    <row r="155" ht="14.25" customHeight="1">
      <c r="Y155" s="62"/>
      <c r="Z155" s="62"/>
      <c r="AA155" s="62"/>
      <c r="AB155" s="62"/>
      <c r="AC155" s="62"/>
      <c r="AD155" s="62"/>
      <c r="AE155" s="62"/>
      <c r="AF155" s="62"/>
      <c r="AG155" s="62"/>
      <c r="AH155" s="62"/>
    </row>
    <row r="156" ht="14.25" customHeight="1">
      <c r="Y156" s="62"/>
      <c r="Z156" s="62"/>
      <c r="AA156" s="62"/>
      <c r="AB156" s="62"/>
      <c r="AC156" s="62"/>
      <c r="AD156" s="62"/>
      <c r="AE156" s="62"/>
      <c r="AF156" s="62"/>
      <c r="AG156" s="62"/>
      <c r="AH156" s="62"/>
    </row>
    <row r="157" ht="14.25" customHeight="1">
      <c r="Y157" s="62"/>
      <c r="Z157" s="62"/>
      <c r="AA157" s="62"/>
      <c r="AB157" s="62"/>
      <c r="AC157" s="62"/>
      <c r="AD157" s="62"/>
      <c r="AE157" s="62"/>
      <c r="AF157" s="62"/>
      <c r="AG157" s="62"/>
      <c r="AH157" s="62"/>
    </row>
    <row r="158" ht="14.25" customHeight="1">
      <c r="Y158" s="62"/>
      <c r="Z158" s="62"/>
      <c r="AA158" s="62"/>
      <c r="AB158" s="62"/>
      <c r="AC158" s="62"/>
      <c r="AD158" s="62"/>
      <c r="AE158" s="62"/>
      <c r="AF158" s="62"/>
      <c r="AG158" s="62"/>
      <c r="AH158" s="62"/>
    </row>
    <row r="159" ht="14.25" customHeight="1">
      <c r="Y159" s="62"/>
      <c r="Z159" s="62"/>
      <c r="AA159" s="62"/>
      <c r="AB159" s="62"/>
      <c r="AC159" s="62"/>
      <c r="AD159" s="62"/>
      <c r="AE159" s="62"/>
      <c r="AF159" s="62"/>
      <c r="AG159" s="62"/>
      <c r="AH159" s="62"/>
    </row>
    <row r="160" ht="14.25" customHeight="1">
      <c r="Y160" s="62"/>
      <c r="Z160" s="62"/>
      <c r="AA160" s="62"/>
      <c r="AB160" s="62"/>
      <c r="AC160" s="62"/>
      <c r="AD160" s="62"/>
      <c r="AE160" s="62"/>
      <c r="AF160" s="62"/>
      <c r="AG160" s="62"/>
      <c r="AH160" s="62"/>
    </row>
    <row r="161" ht="14.25" customHeight="1">
      <c r="Y161" s="62"/>
      <c r="Z161" s="62"/>
      <c r="AA161" s="62"/>
      <c r="AB161" s="62"/>
      <c r="AC161" s="62"/>
      <c r="AD161" s="62"/>
      <c r="AE161" s="62"/>
      <c r="AF161" s="62"/>
      <c r="AG161" s="62"/>
      <c r="AH161" s="62"/>
    </row>
    <row r="162" ht="14.25" customHeight="1">
      <c r="Y162" s="62"/>
      <c r="Z162" s="62"/>
      <c r="AA162" s="62"/>
      <c r="AB162" s="62"/>
      <c r="AC162" s="62"/>
      <c r="AD162" s="62"/>
      <c r="AE162" s="62"/>
      <c r="AF162" s="62"/>
      <c r="AG162" s="62"/>
      <c r="AH162" s="62"/>
    </row>
    <row r="163" ht="14.25" customHeight="1">
      <c r="Y163" s="62"/>
      <c r="Z163" s="62"/>
      <c r="AA163" s="62"/>
      <c r="AB163" s="62"/>
      <c r="AC163" s="62"/>
      <c r="AD163" s="62"/>
      <c r="AE163" s="62"/>
      <c r="AF163" s="62"/>
      <c r="AG163" s="62"/>
      <c r="AH163" s="62"/>
    </row>
    <row r="164" ht="14.25" customHeight="1">
      <c r="Y164" s="62"/>
      <c r="Z164" s="62"/>
      <c r="AA164" s="62"/>
      <c r="AB164" s="62"/>
      <c r="AC164" s="62"/>
      <c r="AD164" s="62"/>
      <c r="AE164" s="62"/>
      <c r="AF164" s="62"/>
      <c r="AG164" s="62"/>
      <c r="AH164" s="62"/>
    </row>
    <row r="165" ht="14.25" customHeight="1">
      <c r="Y165" s="62"/>
      <c r="Z165" s="62"/>
      <c r="AA165" s="62"/>
      <c r="AB165" s="62"/>
      <c r="AC165" s="62"/>
      <c r="AD165" s="62"/>
      <c r="AE165" s="62"/>
      <c r="AF165" s="62"/>
      <c r="AG165" s="62"/>
      <c r="AH165" s="62"/>
    </row>
    <row r="166" ht="14.25" customHeight="1">
      <c r="Y166" s="62"/>
      <c r="Z166" s="62"/>
      <c r="AA166" s="62"/>
      <c r="AB166" s="62"/>
      <c r="AC166" s="62"/>
      <c r="AD166" s="62"/>
      <c r="AE166" s="62"/>
      <c r="AF166" s="62"/>
      <c r="AG166" s="62"/>
      <c r="AH166" s="62"/>
    </row>
    <row r="167" ht="14.25" customHeight="1">
      <c r="Y167" s="62"/>
      <c r="Z167" s="62"/>
      <c r="AA167" s="62"/>
      <c r="AB167" s="62"/>
      <c r="AC167" s="62"/>
      <c r="AD167" s="62"/>
      <c r="AE167" s="62"/>
      <c r="AF167" s="62"/>
      <c r="AG167" s="62"/>
      <c r="AH167" s="62"/>
    </row>
    <row r="168" ht="14.25" customHeight="1">
      <c r="Y168" s="62"/>
      <c r="Z168" s="62"/>
      <c r="AA168" s="62"/>
      <c r="AB168" s="62"/>
      <c r="AC168" s="62"/>
      <c r="AD168" s="62"/>
      <c r="AE168" s="62"/>
      <c r="AF168" s="62"/>
      <c r="AG168" s="62"/>
      <c r="AH168" s="62"/>
    </row>
    <row r="169" ht="14.25" customHeight="1">
      <c r="Y169" s="62"/>
      <c r="Z169" s="62"/>
      <c r="AA169" s="62"/>
      <c r="AB169" s="62"/>
      <c r="AC169" s="62"/>
      <c r="AD169" s="62"/>
      <c r="AE169" s="62"/>
      <c r="AF169" s="62"/>
      <c r="AG169" s="62"/>
      <c r="AH169" s="62"/>
    </row>
    <row r="170" ht="14.25" customHeight="1">
      <c r="Y170" s="62"/>
      <c r="Z170" s="62"/>
      <c r="AA170" s="62"/>
      <c r="AB170" s="62"/>
      <c r="AC170" s="62"/>
      <c r="AD170" s="62"/>
      <c r="AE170" s="62"/>
      <c r="AF170" s="62"/>
      <c r="AG170" s="62"/>
      <c r="AH170" s="62"/>
    </row>
    <row r="171" ht="14.25" customHeight="1">
      <c r="Y171" s="62"/>
      <c r="Z171" s="62"/>
      <c r="AA171" s="62"/>
      <c r="AB171" s="62"/>
      <c r="AC171" s="62"/>
      <c r="AD171" s="62"/>
      <c r="AE171" s="62"/>
      <c r="AF171" s="62"/>
      <c r="AG171" s="62"/>
      <c r="AH171" s="62"/>
    </row>
    <row r="172" ht="14.25" customHeight="1">
      <c r="Y172" s="62"/>
      <c r="Z172" s="62"/>
      <c r="AA172" s="62"/>
      <c r="AB172" s="62"/>
      <c r="AC172" s="62"/>
      <c r="AD172" s="62"/>
      <c r="AE172" s="62"/>
      <c r="AF172" s="62"/>
      <c r="AG172" s="62"/>
      <c r="AH172" s="62"/>
    </row>
    <row r="173" ht="14.25" customHeight="1">
      <c r="Y173" s="62"/>
      <c r="Z173" s="62"/>
      <c r="AA173" s="62"/>
      <c r="AB173" s="62"/>
      <c r="AC173" s="62"/>
      <c r="AD173" s="62"/>
      <c r="AE173" s="62"/>
      <c r="AF173" s="62"/>
      <c r="AG173" s="62"/>
      <c r="AH173" s="62"/>
    </row>
    <row r="174" ht="14.25" customHeight="1">
      <c r="Y174" s="62"/>
      <c r="Z174" s="62"/>
      <c r="AA174" s="62"/>
      <c r="AB174" s="62"/>
      <c r="AC174" s="62"/>
      <c r="AD174" s="62"/>
      <c r="AE174" s="62"/>
      <c r="AF174" s="62"/>
      <c r="AG174" s="62"/>
      <c r="AH174" s="62"/>
    </row>
    <row r="175" ht="14.25" customHeight="1">
      <c r="Y175" s="62"/>
      <c r="Z175" s="62"/>
      <c r="AA175" s="62"/>
      <c r="AB175" s="62"/>
      <c r="AC175" s="62"/>
      <c r="AD175" s="62"/>
      <c r="AE175" s="62"/>
      <c r="AF175" s="62"/>
      <c r="AG175" s="62"/>
      <c r="AH175" s="62"/>
    </row>
    <row r="176" ht="14.25" customHeight="1">
      <c r="Y176" s="62"/>
      <c r="Z176" s="62"/>
      <c r="AA176" s="62"/>
      <c r="AB176" s="62"/>
      <c r="AC176" s="62"/>
      <c r="AD176" s="62"/>
      <c r="AE176" s="62"/>
      <c r="AF176" s="62"/>
      <c r="AG176" s="62"/>
      <c r="AH176" s="62"/>
    </row>
    <row r="177" ht="14.25" customHeight="1">
      <c r="Y177" s="62"/>
      <c r="Z177" s="62"/>
      <c r="AA177" s="62"/>
      <c r="AB177" s="62"/>
      <c r="AC177" s="62"/>
      <c r="AD177" s="62"/>
      <c r="AE177" s="62"/>
      <c r="AF177" s="62"/>
      <c r="AG177" s="62"/>
      <c r="AH177" s="62"/>
    </row>
    <row r="178" ht="14.25" customHeight="1">
      <c r="Y178" s="62"/>
      <c r="Z178" s="62"/>
      <c r="AA178" s="62"/>
      <c r="AB178" s="62"/>
      <c r="AC178" s="62"/>
      <c r="AD178" s="62"/>
      <c r="AE178" s="62"/>
      <c r="AF178" s="62"/>
      <c r="AG178" s="62"/>
      <c r="AH178" s="62"/>
    </row>
    <row r="179" ht="14.25" customHeight="1">
      <c r="Y179" s="62"/>
      <c r="Z179" s="62"/>
      <c r="AA179" s="62"/>
      <c r="AB179" s="62"/>
      <c r="AC179" s="62"/>
      <c r="AD179" s="62"/>
      <c r="AE179" s="62"/>
      <c r="AF179" s="62"/>
      <c r="AG179" s="62"/>
      <c r="AH179" s="62"/>
    </row>
    <row r="180" ht="14.25" customHeight="1">
      <c r="Y180" s="62"/>
      <c r="Z180" s="62"/>
      <c r="AA180" s="62"/>
      <c r="AB180" s="62"/>
      <c r="AC180" s="62"/>
      <c r="AD180" s="62"/>
      <c r="AE180" s="62"/>
      <c r="AF180" s="62"/>
      <c r="AG180" s="62"/>
      <c r="AH180" s="62"/>
    </row>
    <row r="181" ht="14.25" customHeight="1">
      <c r="Y181" s="62"/>
      <c r="Z181" s="62"/>
      <c r="AA181" s="62"/>
      <c r="AB181" s="62"/>
      <c r="AC181" s="62"/>
      <c r="AD181" s="62"/>
      <c r="AE181" s="62"/>
      <c r="AF181" s="62"/>
      <c r="AG181" s="62"/>
      <c r="AH181" s="62"/>
    </row>
    <row r="182" ht="14.25" customHeight="1">
      <c r="Y182" s="62"/>
      <c r="Z182" s="62"/>
      <c r="AA182" s="62"/>
      <c r="AB182" s="62"/>
      <c r="AC182" s="62"/>
      <c r="AD182" s="62"/>
      <c r="AE182" s="62"/>
      <c r="AF182" s="62"/>
      <c r="AG182" s="62"/>
      <c r="AH182" s="62"/>
    </row>
    <row r="183" ht="14.25" customHeight="1">
      <c r="Y183" s="62"/>
      <c r="Z183" s="62"/>
      <c r="AA183" s="62"/>
      <c r="AB183" s="62"/>
      <c r="AC183" s="62"/>
      <c r="AD183" s="62"/>
      <c r="AE183" s="62"/>
      <c r="AF183" s="62"/>
      <c r="AG183" s="62"/>
      <c r="AH183" s="62"/>
    </row>
    <row r="184" ht="14.25" customHeight="1">
      <c r="Y184" s="62"/>
      <c r="Z184" s="62"/>
      <c r="AA184" s="62"/>
      <c r="AB184" s="62"/>
      <c r="AC184" s="62"/>
      <c r="AD184" s="62"/>
      <c r="AE184" s="62"/>
      <c r="AF184" s="62"/>
      <c r="AG184" s="62"/>
      <c r="AH184" s="62"/>
    </row>
    <row r="185" ht="14.25" customHeight="1">
      <c r="Y185" s="62"/>
      <c r="Z185" s="62"/>
      <c r="AA185" s="62"/>
      <c r="AB185" s="62"/>
      <c r="AC185" s="62"/>
      <c r="AD185" s="62"/>
      <c r="AE185" s="62"/>
      <c r="AF185" s="62"/>
      <c r="AG185" s="62"/>
      <c r="AH185" s="62"/>
    </row>
    <row r="186" ht="14.25" customHeight="1">
      <c r="Y186" s="62"/>
      <c r="Z186" s="62"/>
      <c r="AA186" s="62"/>
      <c r="AB186" s="62"/>
      <c r="AC186" s="62"/>
      <c r="AD186" s="62"/>
      <c r="AE186" s="62"/>
      <c r="AF186" s="62"/>
      <c r="AG186" s="62"/>
      <c r="AH186" s="62"/>
    </row>
    <row r="187" ht="14.25" customHeight="1">
      <c r="Y187" s="62"/>
      <c r="Z187" s="62"/>
      <c r="AA187" s="62"/>
      <c r="AB187" s="62"/>
      <c r="AC187" s="62"/>
      <c r="AD187" s="62"/>
      <c r="AE187" s="62"/>
      <c r="AF187" s="62"/>
      <c r="AG187" s="62"/>
      <c r="AH187" s="62"/>
    </row>
    <row r="188" ht="14.25" customHeight="1">
      <c r="Y188" s="62"/>
      <c r="Z188" s="62"/>
      <c r="AA188" s="62"/>
      <c r="AB188" s="62"/>
      <c r="AC188" s="62"/>
      <c r="AD188" s="62"/>
      <c r="AE188" s="62"/>
      <c r="AF188" s="62"/>
      <c r="AG188" s="62"/>
      <c r="AH188" s="62"/>
    </row>
    <row r="189" ht="14.25" customHeight="1">
      <c r="Y189" s="62"/>
      <c r="Z189" s="62"/>
      <c r="AA189" s="62"/>
      <c r="AB189" s="62"/>
      <c r="AC189" s="62"/>
      <c r="AD189" s="62"/>
      <c r="AE189" s="62"/>
      <c r="AF189" s="62"/>
      <c r="AG189" s="62"/>
      <c r="AH189" s="62"/>
    </row>
    <row r="190" ht="14.25" customHeight="1">
      <c r="Y190" s="62"/>
      <c r="Z190" s="62"/>
      <c r="AA190" s="62"/>
      <c r="AB190" s="62"/>
      <c r="AC190" s="62"/>
      <c r="AD190" s="62"/>
      <c r="AE190" s="62"/>
      <c r="AF190" s="62"/>
      <c r="AG190" s="62"/>
      <c r="AH190" s="62"/>
    </row>
    <row r="191" ht="14.25" customHeight="1">
      <c r="Y191" s="62"/>
      <c r="Z191" s="62"/>
      <c r="AA191" s="62"/>
      <c r="AB191" s="62"/>
      <c r="AC191" s="62"/>
      <c r="AD191" s="62"/>
      <c r="AE191" s="62"/>
      <c r="AF191" s="62"/>
      <c r="AG191" s="62"/>
      <c r="AH191" s="62"/>
    </row>
    <row r="192" ht="14.25" customHeight="1">
      <c r="Y192" s="62"/>
      <c r="Z192" s="62"/>
      <c r="AA192" s="62"/>
      <c r="AB192" s="62"/>
      <c r="AC192" s="62"/>
      <c r="AD192" s="62"/>
      <c r="AE192" s="62"/>
      <c r="AF192" s="62"/>
      <c r="AG192" s="62"/>
      <c r="AH192" s="62"/>
    </row>
    <row r="193" ht="14.25" customHeight="1">
      <c r="Y193" s="62"/>
      <c r="Z193" s="62"/>
      <c r="AA193" s="62"/>
      <c r="AB193" s="62"/>
      <c r="AC193" s="62"/>
      <c r="AD193" s="62"/>
      <c r="AE193" s="62"/>
      <c r="AF193" s="62"/>
      <c r="AG193" s="62"/>
      <c r="AH193" s="62"/>
    </row>
    <row r="194" ht="14.25" customHeight="1">
      <c r="Y194" s="62"/>
      <c r="Z194" s="62"/>
      <c r="AA194" s="62"/>
      <c r="AB194" s="62"/>
      <c r="AC194" s="62"/>
      <c r="AD194" s="62"/>
      <c r="AE194" s="62"/>
      <c r="AF194" s="62"/>
      <c r="AG194" s="62"/>
      <c r="AH194" s="62"/>
    </row>
    <row r="195" ht="14.25" customHeight="1">
      <c r="Y195" s="62"/>
      <c r="Z195" s="62"/>
      <c r="AA195" s="62"/>
      <c r="AB195" s="62"/>
      <c r="AC195" s="62"/>
      <c r="AD195" s="62"/>
      <c r="AE195" s="62"/>
      <c r="AF195" s="62"/>
      <c r="AG195" s="62"/>
      <c r="AH195" s="62"/>
    </row>
    <row r="196" ht="14.25" customHeight="1">
      <c r="Y196" s="62"/>
      <c r="Z196" s="62"/>
      <c r="AA196" s="62"/>
      <c r="AB196" s="62"/>
      <c r="AC196" s="62"/>
      <c r="AD196" s="62"/>
      <c r="AE196" s="62"/>
      <c r="AF196" s="62"/>
      <c r="AG196" s="62"/>
      <c r="AH196" s="62"/>
    </row>
    <row r="197" ht="14.25" customHeight="1">
      <c r="Y197" s="62"/>
      <c r="Z197" s="62"/>
      <c r="AA197" s="62"/>
      <c r="AB197" s="62"/>
      <c r="AC197" s="62"/>
      <c r="AD197" s="62"/>
      <c r="AE197" s="62"/>
      <c r="AF197" s="62"/>
      <c r="AG197" s="62"/>
      <c r="AH197" s="62"/>
    </row>
    <row r="198" ht="14.25" customHeight="1">
      <c r="Y198" s="62"/>
      <c r="Z198" s="62"/>
      <c r="AA198" s="62"/>
      <c r="AB198" s="62"/>
      <c r="AC198" s="62"/>
      <c r="AD198" s="62"/>
      <c r="AE198" s="62"/>
      <c r="AF198" s="62"/>
      <c r="AG198" s="62"/>
      <c r="AH198" s="62"/>
    </row>
    <row r="199" ht="14.25" customHeight="1">
      <c r="Y199" s="62"/>
      <c r="Z199" s="62"/>
      <c r="AA199" s="62"/>
      <c r="AB199" s="62"/>
      <c r="AC199" s="62"/>
      <c r="AD199" s="62"/>
      <c r="AE199" s="62"/>
      <c r="AF199" s="62"/>
      <c r="AG199" s="62"/>
      <c r="AH199" s="62"/>
    </row>
    <row r="200" ht="14.25" customHeight="1">
      <c r="Y200" s="62"/>
      <c r="Z200" s="62"/>
      <c r="AA200" s="62"/>
      <c r="AB200" s="62"/>
      <c r="AC200" s="62"/>
      <c r="AD200" s="62"/>
      <c r="AE200" s="62"/>
      <c r="AF200" s="62"/>
      <c r="AG200" s="62"/>
      <c r="AH200" s="62"/>
    </row>
    <row r="201" ht="14.25" customHeight="1">
      <c r="Y201" s="62"/>
      <c r="Z201" s="62"/>
      <c r="AA201" s="62"/>
      <c r="AB201" s="62"/>
      <c r="AC201" s="62"/>
      <c r="AD201" s="62"/>
      <c r="AE201" s="62"/>
      <c r="AF201" s="62"/>
      <c r="AG201" s="62"/>
      <c r="AH201" s="62"/>
    </row>
    <row r="202" ht="14.25" customHeight="1">
      <c r="Y202" s="62"/>
      <c r="Z202" s="62"/>
      <c r="AA202" s="62"/>
      <c r="AB202" s="62"/>
      <c r="AC202" s="62"/>
      <c r="AD202" s="62"/>
      <c r="AE202" s="62"/>
      <c r="AF202" s="62"/>
      <c r="AG202" s="62"/>
      <c r="AH202" s="62"/>
    </row>
    <row r="203" ht="14.25" customHeight="1">
      <c r="Y203" s="62"/>
      <c r="Z203" s="62"/>
      <c r="AA203" s="62"/>
      <c r="AB203" s="62"/>
      <c r="AC203" s="62"/>
      <c r="AD203" s="62"/>
      <c r="AE203" s="62"/>
      <c r="AF203" s="62"/>
      <c r="AG203" s="62"/>
      <c r="AH203" s="62"/>
    </row>
    <row r="204" ht="14.25" customHeight="1">
      <c r="Y204" s="62"/>
      <c r="Z204" s="62"/>
      <c r="AA204" s="62"/>
      <c r="AB204" s="62"/>
      <c r="AC204" s="62"/>
      <c r="AD204" s="62"/>
      <c r="AE204" s="62"/>
      <c r="AF204" s="62"/>
      <c r="AG204" s="62"/>
      <c r="AH204" s="62"/>
    </row>
    <row r="205" ht="14.25" customHeight="1">
      <c r="Y205" s="62"/>
      <c r="Z205" s="62"/>
      <c r="AA205" s="62"/>
      <c r="AB205" s="62"/>
      <c r="AC205" s="62"/>
      <c r="AD205" s="62"/>
      <c r="AE205" s="62"/>
      <c r="AF205" s="62"/>
      <c r="AG205" s="62"/>
      <c r="AH205" s="62"/>
    </row>
    <row r="206" ht="14.25" customHeight="1">
      <c r="Y206" s="62"/>
      <c r="Z206" s="62"/>
      <c r="AA206" s="62"/>
      <c r="AB206" s="62"/>
      <c r="AC206" s="62"/>
      <c r="AD206" s="62"/>
      <c r="AE206" s="62"/>
      <c r="AF206" s="62"/>
      <c r="AG206" s="62"/>
      <c r="AH206" s="62"/>
    </row>
    <row r="207" ht="14.25" customHeight="1">
      <c r="Y207" s="62"/>
      <c r="Z207" s="62"/>
      <c r="AA207" s="62"/>
      <c r="AB207" s="62"/>
      <c r="AC207" s="62"/>
      <c r="AD207" s="62"/>
      <c r="AE207" s="62"/>
      <c r="AF207" s="62"/>
      <c r="AG207" s="62"/>
      <c r="AH207" s="62"/>
    </row>
    <row r="208" ht="14.25" customHeight="1">
      <c r="Y208" s="62"/>
      <c r="Z208" s="62"/>
      <c r="AA208" s="62"/>
      <c r="AB208" s="62"/>
      <c r="AC208" s="62"/>
      <c r="AD208" s="62"/>
      <c r="AE208" s="62"/>
      <c r="AF208" s="62"/>
      <c r="AG208" s="62"/>
      <c r="AH208" s="62"/>
    </row>
    <row r="209" ht="14.25" customHeight="1">
      <c r="Y209" s="62"/>
      <c r="Z209" s="62"/>
      <c r="AA209" s="62"/>
      <c r="AB209" s="62"/>
      <c r="AC209" s="62"/>
      <c r="AD209" s="62"/>
      <c r="AE209" s="62"/>
      <c r="AF209" s="62"/>
      <c r="AG209" s="62"/>
      <c r="AH209" s="62"/>
    </row>
    <row r="210" ht="14.25" customHeight="1">
      <c r="Y210" s="62"/>
      <c r="Z210" s="62"/>
      <c r="AA210" s="62"/>
      <c r="AB210" s="62"/>
      <c r="AC210" s="62"/>
      <c r="AD210" s="62"/>
      <c r="AE210" s="62"/>
      <c r="AF210" s="62"/>
      <c r="AG210" s="62"/>
      <c r="AH210" s="62"/>
    </row>
    <row r="211" ht="14.25" customHeight="1">
      <c r="Y211" s="62"/>
      <c r="Z211" s="62"/>
      <c r="AA211" s="62"/>
      <c r="AB211" s="62"/>
      <c r="AC211" s="62"/>
      <c r="AD211" s="62"/>
      <c r="AE211" s="62"/>
      <c r="AF211" s="62"/>
      <c r="AG211" s="62"/>
      <c r="AH211" s="62"/>
    </row>
    <row r="212" ht="14.25" customHeight="1">
      <c r="Y212" s="62"/>
      <c r="Z212" s="62"/>
      <c r="AA212" s="62"/>
      <c r="AB212" s="62"/>
      <c r="AC212" s="62"/>
      <c r="AD212" s="62"/>
      <c r="AE212" s="62"/>
      <c r="AF212" s="62"/>
      <c r="AG212" s="62"/>
      <c r="AH212" s="62"/>
    </row>
    <row r="213" ht="14.25" customHeight="1">
      <c r="Y213" s="62"/>
      <c r="Z213" s="62"/>
      <c r="AA213" s="62"/>
      <c r="AB213" s="62"/>
      <c r="AC213" s="62"/>
      <c r="AD213" s="62"/>
      <c r="AE213" s="62"/>
      <c r="AF213" s="62"/>
      <c r="AG213" s="62"/>
      <c r="AH213" s="62"/>
    </row>
    <row r="214" ht="14.25" customHeight="1">
      <c r="Y214" s="62"/>
      <c r="Z214" s="62"/>
      <c r="AA214" s="62"/>
      <c r="AB214" s="62"/>
      <c r="AC214" s="62"/>
      <c r="AD214" s="62"/>
      <c r="AE214" s="62"/>
      <c r="AF214" s="62"/>
      <c r="AG214" s="62"/>
      <c r="AH214" s="62"/>
    </row>
    <row r="215" ht="14.25" customHeight="1">
      <c r="Y215" s="62"/>
      <c r="Z215" s="62"/>
      <c r="AA215" s="62"/>
      <c r="AB215" s="62"/>
      <c r="AC215" s="62"/>
      <c r="AD215" s="62"/>
      <c r="AE215" s="62"/>
      <c r="AF215" s="62"/>
      <c r="AG215" s="62"/>
      <c r="AH215" s="62"/>
    </row>
    <row r="216" ht="14.25" customHeight="1">
      <c r="Y216" s="62"/>
      <c r="Z216" s="62"/>
      <c r="AA216" s="62"/>
      <c r="AB216" s="62"/>
      <c r="AC216" s="62"/>
      <c r="AD216" s="62"/>
      <c r="AE216" s="62"/>
      <c r="AF216" s="62"/>
      <c r="AG216" s="62"/>
      <c r="AH216" s="62"/>
    </row>
    <row r="217" ht="14.25" customHeight="1">
      <c r="Y217" s="62"/>
      <c r="Z217" s="62"/>
      <c r="AA217" s="62"/>
      <c r="AB217" s="62"/>
      <c r="AC217" s="62"/>
      <c r="AD217" s="62"/>
      <c r="AE217" s="62"/>
      <c r="AF217" s="62"/>
      <c r="AG217" s="62"/>
      <c r="AH217" s="62"/>
    </row>
    <row r="218" ht="14.25" customHeight="1">
      <c r="Y218" s="62"/>
      <c r="Z218" s="62"/>
      <c r="AA218" s="62"/>
      <c r="AB218" s="62"/>
      <c r="AC218" s="62"/>
      <c r="AD218" s="62"/>
      <c r="AE218" s="62"/>
      <c r="AF218" s="62"/>
      <c r="AG218" s="62"/>
      <c r="AH218" s="62"/>
    </row>
    <row r="219" ht="14.25" customHeight="1">
      <c r="Y219" s="62"/>
      <c r="Z219" s="62"/>
      <c r="AA219" s="62"/>
      <c r="AB219" s="62"/>
      <c r="AC219" s="62"/>
      <c r="AD219" s="62"/>
      <c r="AE219" s="62"/>
      <c r="AF219" s="62"/>
      <c r="AG219" s="62"/>
      <c r="AH219" s="62"/>
    </row>
    <row r="220" ht="14.25" customHeight="1">
      <c r="Y220" s="62"/>
      <c r="Z220" s="62"/>
      <c r="AA220" s="62"/>
      <c r="AB220" s="62"/>
      <c r="AC220" s="62"/>
      <c r="AD220" s="62"/>
      <c r="AE220" s="62"/>
      <c r="AF220" s="62"/>
      <c r="AG220" s="62"/>
      <c r="AH220" s="62"/>
    </row>
    <row r="221" ht="14.25" customHeight="1">
      <c r="Y221" s="62"/>
      <c r="Z221" s="62"/>
      <c r="AA221" s="62"/>
      <c r="AB221" s="62"/>
      <c r="AC221" s="62"/>
      <c r="AD221" s="62"/>
      <c r="AE221" s="62"/>
      <c r="AF221" s="62"/>
      <c r="AG221" s="62"/>
      <c r="AH221" s="62"/>
    </row>
    <row r="222" ht="14.25" customHeight="1">
      <c r="Y222" s="62"/>
      <c r="Z222" s="62"/>
      <c r="AA222" s="62"/>
      <c r="AB222" s="62"/>
      <c r="AC222" s="62"/>
      <c r="AD222" s="62"/>
      <c r="AE222" s="62"/>
      <c r="AF222" s="62"/>
      <c r="AG222" s="62"/>
      <c r="AH222" s="62"/>
    </row>
    <row r="223" ht="14.25" customHeight="1">
      <c r="Y223" s="62"/>
      <c r="Z223" s="62"/>
      <c r="AA223" s="62"/>
      <c r="AB223" s="62"/>
      <c r="AC223" s="62"/>
      <c r="AD223" s="62"/>
      <c r="AE223" s="62"/>
      <c r="AF223" s="62"/>
      <c r="AG223" s="62"/>
      <c r="AH223" s="62"/>
    </row>
    <row r="224" ht="14.25" customHeight="1">
      <c r="Y224" s="62"/>
      <c r="Z224" s="62"/>
      <c r="AA224" s="62"/>
      <c r="AB224" s="62"/>
      <c r="AC224" s="62"/>
      <c r="AD224" s="62"/>
      <c r="AE224" s="62"/>
      <c r="AF224" s="62"/>
      <c r="AG224" s="62"/>
      <c r="AH224" s="62"/>
    </row>
    <row r="225" ht="14.25" customHeight="1">
      <c r="Y225" s="62"/>
      <c r="Z225" s="62"/>
      <c r="AA225" s="62"/>
      <c r="AB225" s="62"/>
      <c r="AC225" s="62"/>
      <c r="AD225" s="62"/>
      <c r="AE225" s="62"/>
      <c r="AF225" s="62"/>
      <c r="AG225" s="62"/>
      <c r="AH225" s="62"/>
    </row>
    <row r="226" ht="14.25" customHeight="1">
      <c r="Y226" s="62"/>
      <c r="Z226" s="62"/>
      <c r="AA226" s="62"/>
      <c r="AB226" s="62"/>
      <c r="AC226" s="62"/>
      <c r="AD226" s="62"/>
      <c r="AE226" s="62"/>
      <c r="AF226" s="62"/>
      <c r="AG226" s="62"/>
      <c r="AH226" s="62"/>
    </row>
    <row r="227" ht="14.25" customHeight="1">
      <c r="Y227" s="62"/>
      <c r="Z227" s="62"/>
      <c r="AA227" s="62"/>
      <c r="AB227" s="62"/>
      <c r="AC227" s="62"/>
      <c r="AD227" s="62"/>
      <c r="AE227" s="62"/>
      <c r="AF227" s="62"/>
      <c r="AG227" s="62"/>
      <c r="AH227" s="62"/>
    </row>
    <row r="228" ht="14.25" customHeight="1">
      <c r="Y228" s="62"/>
      <c r="Z228" s="62"/>
      <c r="AA228" s="62"/>
      <c r="AB228" s="62"/>
      <c r="AC228" s="62"/>
      <c r="AD228" s="62"/>
      <c r="AE228" s="62"/>
      <c r="AF228" s="62"/>
      <c r="AG228" s="62"/>
      <c r="AH228" s="62"/>
    </row>
    <row r="229" ht="14.25" customHeight="1">
      <c r="Y229" s="62"/>
      <c r="Z229" s="62"/>
      <c r="AA229" s="62"/>
      <c r="AB229" s="62"/>
      <c r="AC229" s="62"/>
      <c r="AD229" s="62"/>
      <c r="AE229" s="62"/>
      <c r="AF229" s="62"/>
      <c r="AG229" s="62"/>
      <c r="AH229" s="62"/>
    </row>
    <row r="230" ht="14.25" customHeight="1">
      <c r="Y230" s="62"/>
      <c r="Z230" s="62"/>
      <c r="AA230" s="62"/>
      <c r="AB230" s="62"/>
      <c r="AC230" s="62"/>
      <c r="AD230" s="62"/>
      <c r="AE230" s="62"/>
      <c r="AF230" s="62"/>
      <c r="AG230" s="62"/>
      <c r="AH230" s="62"/>
    </row>
    <row r="231" ht="14.25" customHeight="1">
      <c r="Y231" s="62"/>
      <c r="Z231" s="62"/>
      <c r="AA231" s="62"/>
      <c r="AB231" s="62"/>
      <c r="AC231" s="62"/>
      <c r="AD231" s="62"/>
      <c r="AE231" s="62"/>
      <c r="AF231" s="62"/>
      <c r="AG231" s="62"/>
      <c r="AH231" s="62"/>
    </row>
    <row r="232" ht="14.25" customHeight="1">
      <c r="Y232" s="62"/>
      <c r="Z232" s="62"/>
      <c r="AA232" s="62"/>
      <c r="AB232" s="62"/>
      <c r="AC232" s="62"/>
      <c r="AD232" s="62"/>
      <c r="AE232" s="62"/>
      <c r="AF232" s="62"/>
      <c r="AG232" s="62"/>
      <c r="AH232" s="62"/>
    </row>
    <row r="233" ht="14.25" customHeight="1">
      <c r="Y233" s="62"/>
      <c r="Z233" s="62"/>
      <c r="AA233" s="62"/>
      <c r="AB233" s="62"/>
      <c r="AC233" s="62"/>
      <c r="AD233" s="62"/>
      <c r="AE233" s="62"/>
      <c r="AF233" s="62"/>
      <c r="AG233" s="62"/>
      <c r="AH233" s="62"/>
    </row>
    <row r="234" ht="14.25" customHeight="1">
      <c r="Y234" s="62"/>
      <c r="Z234" s="62"/>
      <c r="AA234" s="62"/>
      <c r="AB234" s="62"/>
      <c r="AC234" s="62"/>
      <c r="AD234" s="62"/>
      <c r="AE234" s="62"/>
      <c r="AF234" s="62"/>
      <c r="AG234" s="62"/>
      <c r="AH234" s="62"/>
    </row>
    <row r="235" ht="14.25" customHeight="1">
      <c r="Y235" s="62"/>
      <c r="Z235" s="62"/>
      <c r="AA235" s="62"/>
      <c r="AB235" s="62"/>
      <c r="AC235" s="62"/>
      <c r="AD235" s="62"/>
      <c r="AE235" s="62"/>
      <c r="AF235" s="62"/>
      <c r="AG235" s="62"/>
      <c r="AH235" s="62"/>
    </row>
    <row r="236" ht="14.25" customHeight="1">
      <c r="Y236" s="62"/>
      <c r="Z236" s="62"/>
      <c r="AA236" s="62"/>
      <c r="AB236" s="62"/>
      <c r="AC236" s="62"/>
      <c r="AD236" s="62"/>
      <c r="AE236" s="62"/>
      <c r="AF236" s="62"/>
      <c r="AG236" s="62"/>
      <c r="AH236" s="62"/>
    </row>
    <row r="237" ht="14.25" customHeight="1">
      <c r="Y237" s="62"/>
      <c r="Z237" s="62"/>
      <c r="AA237" s="62"/>
      <c r="AB237" s="62"/>
      <c r="AC237" s="62"/>
      <c r="AD237" s="62"/>
      <c r="AE237" s="62"/>
      <c r="AF237" s="62"/>
      <c r="AG237" s="62"/>
      <c r="AH237" s="62"/>
    </row>
    <row r="238" ht="14.25" customHeight="1">
      <c r="Y238" s="62"/>
      <c r="Z238" s="62"/>
      <c r="AA238" s="62"/>
      <c r="AB238" s="62"/>
      <c r="AC238" s="62"/>
      <c r="AD238" s="62"/>
      <c r="AE238" s="62"/>
      <c r="AF238" s="62"/>
      <c r="AG238" s="62"/>
      <c r="AH238" s="62"/>
    </row>
    <row r="239" ht="14.25" customHeight="1">
      <c r="Y239" s="62"/>
      <c r="Z239" s="62"/>
      <c r="AA239" s="62"/>
      <c r="AB239" s="62"/>
      <c r="AC239" s="62"/>
      <c r="AD239" s="62"/>
      <c r="AE239" s="62"/>
      <c r="AF239" s="62"/>
      <c r="AG239" s="62"/>
      <c r="AH239" s="62"/>
    </row>
    <row r="240" ht="14.25" customHeight="1">
      <c r="Y240" s="62"/>
      <c r="Z240" s="62"/>
      <c r="AA240" s="62"/>
      <c r="AB240" s="62"/>
      <c r="AC240" s="62"/>
      <c r="AD240" s="62"/>
      <c r="AE240" s="62"/>
      <c r="AF240" s="62"/>
      <c r="AG240" s="62"/>
      <c r="AH240" s="62"/>
    </row>
    <row r="241" ht="14.25" customHeight="1">
      <c r="Y241" s="62"/>
      <c r="Z241" s="62"/>
      <c r="AA241" s="62"/>
      <c r="AB241" s="62"/>
      <c r="AC241" s="62"/>
      <c r="AD241" s="62"/>
      <c r="AE241" s="62"/>
      <c r="AF241" s="62"/>
      <c r="AG241" s="62"/>
      <c r="AH241" s="62"/>
    </row>
    <row r="242" ht="14.25" customHeight="1">
      <c r="Y242" s="62"/>
      <c r="Z242" s="62"/>
      <c r="AA242" s="62"/>
      <c r="AB242" s="62"/>
      <c r="AC242" s="62"/>
      <c r="AD242" s="62"/>
      <c r="AE242" s="62"/>
      <c r="AF242" s="62"/>
      <c r="AG242" s="62"/>
      <c r="AH242" s="62"/>
    </row>
    <row r="243" ht="14.25" customHeight="1">
      <c r="Y243" s="62"/>
      <c r="Z243" s="62"/>
      <c r="AA243" s="62"/>
      <c r="AB243" s="62"/>
      <c r="AC243" s="62"/>
      <c r="AD243" s="62"/>
      <c r="AE243" s="62"/>
      <c r="AF243" s="62"/>
      <c r="AG243" s="62"/>
      <c r="AH243" s="62"/>
    </row>
    <row r="244" ht="14.25" customHeight="1">
      <c r="Y244" s="62"/>
      <c r="Z244" s="62"/>
      <c r="AA244" s="62"/>
      <c r="AB244" s="62"/>
      <c r="AC244" s="62"/>
      <c r="AD244" s="62"/>
      <c r="AE244" s="62"/>
      <c r="AF244" s="62"/>
      <c r="AG244" s="62"/>
      <c r="AH244" s="62"/>
    </row>
    <row r="245" ht="14.25" customHeight="1">
      <c r="Y245" s="62"/>
      <c r="Z245" s="62"/>
      <c r="AA245" s="62"/>
      <c r="AB245" s="62"/>
      <c r="AC245" s="62"/>
      <c r="AD245" s="62"/>
      <c r="AE245" s="62"/>
      <c r="AF245" s="62"/>
      <c r="AG245" s="62"/>
      <c r="AH245" s="62"/>
    </row>
    <row r="246" ht="14.25" customHeight="1">
      <c r="Y246" s="62"/>
      <c r="Z246" s="62"/>
      <c r="AA246" s="62"/>
      <c r="AB246" s="62"/>
      <c r="AC246" s="62"/>
      <c r="AD246" s="62"/>
      <c r="AE246" s="62"/>
      <c r="AF246" s="62"/>
      <c r="AG246" s="62"/>
      <c r="AH246" s="62"/>
    </row>
    <row r="247" ht="14.25" customHeight="1">
      <c r="Y247" s="62"/>
      <c r="Z247" s="62"/>
      <c r="AA247" s="62"/>
      <c r="AB247" s="62"/>
      <c r="AC247" s="62"/>
      <c r="AD247" s="62"/>
      <c r="AE247" s="62"/>
      <c r="AF247" s="62"/>
      <c r="AG247" s="62"/>
      <c r="AH247" s="62"/>
    </row>
    <row r="248" ht="14.25" customHeight="1">
      <c r="Y248" s="62"/>
      <c r="Z248" s="62"/>
      <c r="AA248" s="62"/>
      <c r="AB248" s="62"/>
      <c r="AC248" s="62"/>
      <c r="AD248" s="62"/>
      <c r="AE248" s="62"/>
      <c r="AF248" s="62"/>
      <c r="AG248" s="62"/>
      <c r="AH248" s="62"/>
    </row>
    <row r="249" ht="14.25" customHeight="1">
      <c r="Y249" s="62"/>
      <c r="Z249" s="62"/>
      <c r="AA249" s="62"/>
      <c r="AB249" s="62"/>
      <c r="AC249" s="62"/>
      <c r="AD249" s="62"/>
      <c r="AE249" s="62"/>
      <c r="AF249" s="62"/>
      <c r="AG249" s="62"/>
      <c r="AH249" s="62"/>
    </row>
    <row r="250" ht="14.25" customHeight="1">
      <c r="Y250" s="62"/>
      <c r="Z250" s="62"/>
      <c r="AA250" s="62"/>
      <c r="AB250" s="62"/>
      <c r="AC250" s="62"/>
      <c r="AD250" s="62"/>
      <c r="AE250" s="62"/>
      <c r="AF250" s="62"/>
      <c r="AG250" s="62"/>
      <c r="AH250" s="62"/>
    </row>
    <row r="251" ht="14.25" customHeight="1">
      <c r="Y251" s="62"/>
      <c r="Z251" s="62"/>
      <c r="AA251" s="62"/>
      <c r="AB251" s="62"/>
      <c r="AC251" s="62"/>
      <c r="AD251" s="62"/>
      <c r="AE251" s="62"/>
      <c r="AF251" s="62"/>
      <c r="AG251" s="62"/>
      <c r="AH251" s="62"/>
    </row>
    <row r="252" ht="14.25" customHeight="1">
      <c r="Y252" s="62"/>
      <c r="Z252" s="62"/>
      <c r="AA252" s="62"/>
      <c r="AB252" s="62"/>
      <c r="AC252" s="62"/>
      <c r="AD252" s="62"/>
      <c r="AE252" s="62"/>
      <c r="AF252" s="62"/>
      <c r="AG252" s="62"/>
      <c r="AH252" s="62"/>
    </row>
    <row r="253" ht="14.25" customHeight="1">
      <c r="Y253" s="62"/>
      <c r="Z253" s="62"/>
      <c r="AA253" s="62"/>
      <c r="AB253" s="62"/>
      <c r="AC253" s="62"/>
      <c r="AD253" s="62"/>
      <c r="AE253" s="62"/>
      <c r="AF253" s="62"/>
      <c r="AG253" s="62"/>
      <c r="AH253" s="62"/>
    </row>
    <row r="254" ht="14.25" customHeight="1">
      <c r="Y254" s="62"/>
      <c r="Z254" s="62"/>
      <c r="AA254" s="62"/>
      <c r="AB254" s="62"/>
      <c r="AC254" s="62"/>
      <c r="AD254" s="62"/>
      <c r="AE254" s="62"/>
      <c r="AF254" s="62"/>
      <c r="AG254" s="62"/>
      <c r="AH254" s="62"/>
    </row>
    <row r="255" ht="14.25" customHeight="1">
      <c r="Y255" s="62"/>
      <c r="Z255" s="62"/>
      <c r="AA255" s="62"/>
      <c r="AB255" s="62"/>
      <c r="AC255" s="62"/>
      <c r="AD255" s="62"/>
      <c r="AE255" s="62"/>
      <c r="AF255" s="62"/>
      <c r="AG255" s="62"/>
      <c r="AH255" s="62"/>
    </row>
    <row r="256" ht="14.25" customHeight="1">
      <c r="Y256" s="62"/>
      <c r="Z256" s="62"/>
      <c r="AA256" s="62"/>
      <c r="AB256" s="62"/>
      <c r="AC256" s="62"/>
      <c r="AD256" s="62"/>
      <c r="AE256" s="62"/>
      <c r="AF256" s="62"/>
      <c r="AG256" s="62"/>
      <c r="AH256" s="62"/>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K1:P1"/>
    <mergeCell ref="K2:P2"/>
  </mergeCells>
  <dataValidations>
    <dataValidation type="list" allowBlank="1" showErrorMessage="1" sqref="Y5:AG28">
      <formula1>"Ada,Belum Ada,Proses,Belum mengurus"</formula1>
    </dataValidation>
    <dataValidation type="list" allowBlank="1" showErrorMessage="1" sqref="G4:G6">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5.71"/>
    <col customWidth="1" min="3" max="3" width="27.0"/>
    <col customWidth="1" min="4" max="4" width="11.86"/>
    <col customWidth="1" min="5" max="5" width="25.71"/>
    <col customWidth="1" min="6" max="7" width="32.43"/>
    <col customWidth="1" min="8" max="8" width="15.86"/>
    <col customWidth="1" min="9" max="11" width="21.14"/>
    <col customWidth="1" min="12" max="12" width="31.29"/>
    <col customWidth="1" min="13" max="13" width="33.43"/>
    <col customWidth="1" min="14" max="15" width="27.0"/>
    <col customWidth="1" min="16" max="16" width="32.14"/>
    <col customWidth="1" min="17" max="17" width="33.57"/>
    <col customWidth="1" min="18" max="18" width="31.43"/>
    <col customWidth="1" min="19" max="24" width="26.43"/>
    <col customWidth="1" min="25" max="25" width="18.43"/>
    <col customWidth="1" min="26" max="35" width="8.71"/>
  </cols>
  <sheetData>
    <row r="1" ht="14.25" customHeight="1">
      <c r="L1" s="63" t="s">
        <v>1</v>
      </c>
      <c r="Z1" s="62"/>
      <c r="AA1" s="62"/>
      <c r="AB1" s="62"/>
      <c r="AC1" s="62"/>
      <c r="AD1" s="62"/>
      <c r="AE1" s="62"/>
      <c r="AF1" s="62"/>
      <c r="AG1" s="62"/>
      <c r="AH1" s="62"/>
      <c r="AI1" s="62"/>
    </row>
    <row r="2" ht="14.25" customHeight="1">
      <c r="L2" s="137" t="s">
        <v>2</v>
      </c>
      <c r="Z2" s="62"/>
      <c r="AA2" s="62"/>
      <c r="AB2" s="62"/>
      <c r="AC2" s="62"/>
      <c r="AD2" s="62"/>
      <c r="AE2" s="62"/>
      <c r="AF2" s="62"/>
      <c r="AG2" s="62"/>
      <c r="AH2" s="62"/>
      <c r="AI2" s="62"/>
    </row>
    <row r="3" ht="14.25" customHeight="1">
      <c r="Z3" s="62"/>
      <c r="AA3" s="62"/>
      <c r="AB3" s="62"/>
      <c r="AC3" s="62"/>
      <c r="AD3" s="62"/>
      <c r="AE3" s="62"/>
      <c r="AF3" s="62"/>
      <c r="AG3" s="62"/>
      <c r="AH3" s="62"/>
      <c r="AI3" s="62"/>
    </row>
    <row r="4" ht="40.5" customHeight="1">
      <c r="A4" s="6" t="s">
        <v>3</v>
      </c>
      <c r="B4" s="6" t="s">
        <v>4</v>
      </c>
      <c r="C4" s="6" t="s">
        <v>5</v>
      </c>
      <c r="D4" s="6" t="s">
        <v>6</v>
      </c>
      <c r="E4" s="6" t="s">
        <v>7</v>
      </c>
      <c r="F4" s="6" t="s">
        <v>1269</v>
      </c>
      <c r="G4" s="6" t="s">
        <v>8</v>
      </c>
      <c r="H4" s="6" t="s">
        <v>9</v>
      </c>
      <c r="I4" s="6" t="s">
        <v>1084</v>
      </c>
      <c r="J4" s="6" t="s">
        <v>12</v>
      </c>
      <c r="K4" s="6" t="s">
        <v>13</v>
      </c>
      <c r="L4" s="6" t="s">
        <v>14</v>
      </c>
      <c r="M4" s="6" t="s">
        <v>15</v>
      </c>
      <c r="N4" s="6" t="s">
        <v>16</v>
      </c>
      <c r="O4" s="6" t="s">
        <v>147</v>
      </c>
      <c r="P4" s="6" t="s">
        <v>18</v>
      </c>
      <c r="Q4" s="6" t="s">
        <v>19</v>
      </c>
      <c r="R4" s="6" t="s">
        <v>20</v>
      </c>
      <c r="S4" s="6" t="s">
        <v>21</v>
      </c>
      <c r="T4" s="6" t="s">
        <v>22</v>
      </c>
      <c r="U4" s="6" t="s">
        <v>23</v>
      </c>
      <c r="V4" s="6" t="s">
        <v>24</v>
      </c>
      <c r="W4" s="6" t="s">
        <v>25</v>
      </c>
      <c r="X4" s="6" t="s">
        <v>26</v>
      </c>
      <c r="Y4" s="6" t="s">
        <v>27</v>
      </c>
      <c r="Z4" s="145" t="s">
        <v>28</v>
      </c>
      <c r="AA4" s="145" t="s">
        <v>29</v>
      </c>
      <c r="AB4" s="145" t="s">
        <v>30</v>
      </c>
      <c r="AC4" s="145" t="s">
        <v>31</v>
      </c>
      <c r="AD4" s="145" t="s">
        <v>32</v>
      </c>
      <c r="AE4" s="145" t="s">
        <v>33</v>
      </c>
      <c r="AF4" s="145" t="s">
        <v>34</v>
      </c>
      <c r="AG4" s="145" t="s">
        <v>35</v>
      </c>
      <c r="AH4" s="145" t="s">
        <v>36</v>
      </c>
      <c r="AI4" s="145" t="s">
        <v>37</v>
      </c>
    </row>
    <row r="5" ht="21.0" customHeight="1">
      <c r="A5" s="146">
        <v>1.0</v>
      </c>
      <c r="B5" s="146" t="s">
        <v>1270</v>
      </c>
      <c r="C5" s="146" t="s">
        <v>1271</v>
      </c>
      <c r="D5" s="147" t="s">
        <v>1272</v>
      </c>
      <c r="E5" s="146" t="s">
        <v>1273</v>
      </c>
      <c r="F5" s="9" t="s">
        <v>1274</v>
      </c>
      <c r="G5" s="146" t="s">
        <v>1275</v>
      </c>
      <c r="H5" s="146" t="s">
        <v>43</v>
      </c>
      <c r="I5" s="11"/>
      <c r="J5" s="147" t="s">
        <v>1276</v>
      </c>
      <c r="K5" s="148" t="s">
        <v>1277</v>
      </c>
      <c r="L5" s="148" t="s">
        <v>1278</v>
      </c>
      <c r="M5" s="9" t="s">
        <v>1279</v>
      </c>
      <c r="N5" s="9" t="s">
        <v>1280</v>
      </c>
      <c r="O5" s="9" t="s">
        <v>53</v>
      </c>
      <c r="P5" s="9" t="s">
        <v>1281</v>
      </c>
      <c r="Q5" s="9" t="s">
        <v>1282</v>
      </c>
      <c r="R5" s="9" t="s">
        <v>1283</v>
      </c>
      <c r="S5" s="9" t="s">
        <v>1284</v>
      </c>
      <c r="T5" s="9">
        <v>98.0</v>
      </c>
      <c r="U5" s="9">
        <v>114.0</v>
      </c>
      <c r="V5" s="9">
        <v>106.0</v>
      </c>
      <c r="W5" s="9" t="s">
        <v>1285</v>
      </c>
      <c r="X5" s="9" t="s">
        <v>53</v>
      </c>
      <c r="Y5" s="11"/>
      <c r="Z5" s="149" t="s">
        <v>54</v>
      </c>
      <c r="AA5" s="25" t="s">
        <v>54</v>
      </c>
      <c r="AB5" s="25" t="s">
        <v>146</v>
      </c>
      <c r="AC5" s="25" t="s">
        <v>54</v>
      </c>
      <c r="AD5" s="25" t="s">
        <v>54</v>
      </c>
      <c r="AE5" s="25" t="s">
        <v>146</v>
      </c>
      <c r="AF5" s="25" t="s">
        <v>146</v>
      </c>
      <c r="AG5" s="25" t="s">
        <v>54</v>
      </c>
      <c r="AH5" s="25" t="s">
        <v>146</v>
      </c>
      <c r="AI5" s="25">
        <v>48.0</v>
      </c>
    </row>
    <row r="6" ht="14.25" customHeight="1">
      <c r="A6" s="150"/>
      <c r="B6" s="150"/>
      <c r="C6" s="150"/>
      <c r="D6" s="150"/>
      <c r="E6" s="150"/>
      <c r="F6" s="13"/>
      <c r="G6" s="150"/>
      <c r="H6" s="150"/>
      <c r="I6" s="14"/>
      <c r="J6" s="150"/>
      <c r="K6" s="150"/>
      <c r="L6" s="150"/>
      <c r="M6" s="13" t="s">
        <v>1286</v>
      </c>
      <c r="N6" s="13"/>
      <c r="O6" s="13"/>
      <c r="P6" s="13" t="s">
        <v>1287</v>
      </c>
      <c r="Q6" s="13" t="s">
        <v>1288</v>
      </c>
      <c r="R6" s="13" t="s">
        <v>1289</v>
      </c>
      <c r="S6" s="13" t="s">
        <v>1290</v>
      </c>
      <c r="T6" s="13"/>
      <c r="U6" s="13"/>
      <c r="V6" s="13"/>
      <c r="W6" s="13"/>
      <c r="X6" s="13"/>
      <c r="Y6" s="13"/>
      <c r="Z6" s="26"/>
      <c r="AA6" s="26"/>
      <c r="AB6" s="26"/>
      <c r="AC6" s="26"/>
      <c r="AD6" s="26"/>
      <c r="AE6" s="26"/>
      <c r="AF6" s="26"/>
      <c r="AG6" s="26"/>
      <c r="AH6" s="26"/>
      <c r="AI6" s="26"/>
    </row>
    <row r="7" ht="14.25" customHeight="1">
      <c r="A7" s="150"/>
      <c r="B7" s="150"/>
      <c r="C7" s="150"/>
      <c r="D7" s="150"/>
      <c r="E7" s="150"/>
      <c r="F7" s="9"/>
      <c r="G7" s="150"/>
      <c r="H7" s="150"/>
      <c r="I7" s="11"/>
      <c r="J7" s="150"/>
      <c r="K7" s="150"/>
      <c r="L7" s="150"/>
      <c r="M7" s="9" t="s">
        <v>1291</v>
      </c>
      <c r="N7" s="11"/>
      <c r="O7" s="11"/>
      <c r="P7" s="9" t="s">
        <v>1292</v>
      </c>
      <c r="Q7" s="9" t="s">
        <v>1293</v>
      </c>
      <c r="R7" s="9" t="s">
        <v>1294</v>
      </c>
      <c r="S7" s="9" t="s">
        <v>1295</v>
      </c>
      <c r="T7" s="11"/>
      <c r="U7" s="11"/>
      <c r="V7" s="11"/>
      <c r="W7" s="11"/>
      <c r="X7" s="11"/>
      <c r="Y7" s="11"/>
      <c r="Z7" s="25"/>
      <c r="AA7" s="25"/>
      <c r="AB7" s="25"/>
      <c r="AC7" s="25"/>
      <c r="AD7" s="25"/>
      <c r="AE7" s="25"/>
      <c r="AF7" s="25"/>
      <c r="AG7" s="25"/>
      <c r="AH7" s="25"/>
      <c r="AI7" s="25"/>
    </row>
    <row r="8" ht="14.25" customHeight="1">
      <c r="A8" s="150"/>
      <c r="B8" s="150"/>
      <c r="C8" s="150"/>
      <c r="D8" s="150"/>
      <c r="E8" s="150"/>
      <c r="F8" s="13"/>
      <c r="G8" s="150"/>
      <c r="H8" s="150"/>
      <c r="I8" s="14"/>
      <c r="J8" s="150"/>
      <c r="K8" s="150"/>
      <c r="L8" s="150"/>
      <c r="M8" s="13" t="s">
        <v>1296</v>
      </c>
      <c r="N8" s="14"/>
      <c r="O8" s="14"/>
      <c r="P8" s="13" t="s">
        <v>1297</v>
      </c>
      <c r="Q8" s="13" t="s">
        <v>1298</v>
      </c>
      <c r="R8" s="13" t="s">
        <v>1299</v>
      </c>
      <c r="S8" s="14"/>
      <c r="T8" s="14"/>
      <c r="U8" s="14"/>
      <c r="V8" s="14"/>
      <c r="W8" s="14"/>
      <c r="X8" s="14"/>
      <c r="Y8" s="14"/>
      <c r="Z8" s="26"/>
      <c r="AA8" s="26"/>
      <c r="AB8" s="26"/>
      <c r="AC8" s="26"/>
      <c r="AD8" s="26"/>
      <c r="AE8" s="26"/>
      <c r="AF8" s="26"/>
      <c r="AG8" s="26"/>
      <c r="AH8" s="26"/>
      <c r="AI8" s="26"/>
    </row>
    <row r="9" ht="14.25" customHeight="1">
      <c r="A9" s="150"/>
      <c r="B9" s="150"/>
      <c r="C9" s="150"/>
      <c r="D9" s="150"/>
      <c r="E9" s="150"/>
      <c r="F9" s="9"/>
      <c r="G9" s="150"/>
      <c r="H9" s="150"/>
      <c r="I9" s="11"/>
      <c r="J9" s="150"/>
      <c r="K9" s="150"/>
      <c r="L9" s="150"/>
      <c r="M9" s="9"/>
      <c r="N9" s="11"/>
      <c r="O9" s="11"/>
      <c r="P9" s="9" t="s">
        <v>1300</v>
      </c>
      <c r="Q9" s="9" t="s">
        <v>1301</v>
      </c>
      <c r="R9" s="9" t="s">
        <v>1302</v>
      </c>
      <c r="S9" s="11"/>
      <c r="T9" s="11"/>
      <c r="U9" s="11"/>
      <c r="V9" s="11"/>
      <c r="W9" s="11"/>
      <c r="X9" s="11"/>
      <c r="Y9" s="11"/>
      <c r="Z9" s="25"/>
      <c r="AA9" s="25"/>
      <c r="AB9" s="25"/>
      <c r="AC9" s="25"/>
      <c r="AD9" s="25"/>
      <c r="AE9" s="25"/>
      <c r="AF9" s="25"/>
      <c r="AG9" s="25"/>
      <c r="AH9" s="25"/>
      <c r="AI9" s="25"/>
    </row>
    <row r="10" ht="14.25" customHeight="1">
      <c r="A10" s="151"/>
      <c r="B10" s="150"/>
      <c r="C10" s="150"/>
      <c r="D10" s="150"/>
      <c r="E10" s="150"/>
      <c r="F10" s="13"/>
      <c r="G10" s="150"/>
      <c r="H10" s="150"/>
      <c r="I10" s="14"/>
      <c r="J10" s="150"/>
      <c r="K10" s="150"/>
      <c r="L10" s="150"/>
      <c r="M10" s="13"/>
      <c r="N10" s="14"/>
      <c r="O10" s="14"/>
      <c r="P10" s="13" t="s">
        <v>1303</v>
      </c>
      <c r="Q10" s="13" t="s">
        <v>1304</v>
      </c>
      <c r="R10" s="14"/>
      <c r="S10" s="14"/>
      <c r="T10" s="14"/>
      <c r="U10" s="14"/>
      <c r="V10" s="14"/>
      <c r="W10" s="14"/>
      <c r="X10" s="14"/>
      <c r="Y10" s="14"/>
      <c r="Z10" s="26"/>
      <c r="AA10" s="26"/>
      <c r="AB10" s="26"/>
      <c r="AC10" s="26"/>
      <c r="AD10" s="26"/>
      <c r="AE10" s="26"/>
      <c r="AF10" s="26"/>
      <c r="AG10" s="26"/>
      <c r="AH10" s="26"/>
      <c r="AI10" s="26"/>
    </row>
    <row r="11" ht="14.25" customHeight="1">
      <c r="A11" s="11"/>
      <c r="B11" s="150"/>
      <c r="C11" s="150"/>
      <c r="D11" s="150"/>
      <c r="E11" s="150"/>
      <c r="F11" s="9"/>
      <c r="G11" s="150"/>
      <c r="H11" s="150"/>
      <c r="I11" s="11"/>
      <c r="J11" s="150"/>
      <c r="K11" s="150"/>
      <c r="L11" s="150"/>
      <c r="M11" s="9"/>
      <c r="N11" s="11"/>
      <c r="O11" s="11"/>
      <c r="P11" s="9" t="s">
        <v>1305</v>
      </c>
      <c r="Q11" s="9" t="s">
        <v>1306</v>
      </c>
      <c r="R11" s="11"/>
      <c r="S11" s="11"/>
      <c r="T11" s="11"/>
      <c r="U11" s="11"/>
      <c r="V11" s="11"/>
      <c r="W11" s="11"/>
      <c r="X11" s="11"/>
      <c r="Y11" s="11"/>
      <c r="Z11" s="25"/>
      <c r="AA11" s="25"/>
      <c r="AB11" s="25"/>
      <c r="AC11" s="25"/>
      <c r="AD11" s="25"/>
      <c r="AE11" s="25"/>
      <c r="AF11" s="25"/>
      <c r="AG11" s="25"/>
      <c r="AH11" s="25"/>
      <c r="AI11" s="25"/>
    </row>
    <row r="12" ht="14.25" customHeight="1">
      <c r="A12" s="14"/>
      <c r="B12" s="150"/>
      <c r="C12" s="150"/>
      <c r="D12" s="150"/>
      <c r="E12" s="150"/>
      <c r="F12" s="13"/>
      <c r="G12" s="150"/>
      <c r="H12" s="150"/>
      <c r="I12" s="14"/>
      <c r="J12" s="150"/>
      <c r="K12" s="150"/>
      <c r="L12" s="150"/>
      <c r="M12" s="13"/>
      <c r="N12" s="14"/>
      <c r="O12" s="14"/>
      <c r="P12" s="13" t="s">
        <v>1307</v>
      </c>
      <c r="Q12" s="13" t="s">
        <v>1308</v>
      </c>
      <c r="R12" s="14"/>
      <c r="S12" s="14"/>
      <c r="T12" s="14"/>
      <c r="U12" s="14"/>
      <c r="V12" s="14"/>
      <c r="W12" s="14"/>
      <c r="X12" s="14"/>
      <c r="Y12" s="14"/>
      <c r="Z12" s="26"/>
      <c r="AA12" s="26"/>
      <c r="AB12" s="26"/>
      <c r="AC12" s="26"/>
      <c r="AD12" s="26"/>
      <c r="AE12" s="26"/>
      <c r="AF12" s="26"/>
      <c r="AG12" s="26"/>
      <c r="AH12" s="26"/>
      <c r="AI12" s="26"/>
    </row>
    <row r="13" ht="14.25" customHeight="1">
      <c r="A13" s="11"/>
      <c r="B13" s="150"/>
      <c r="C13" s="150"/>
      <c r="D13" s="150"/>
      <c r="E13" s="150"/>
      <c r="F13" s="9"/>
      <c r="G13" s="150"/>
      <c r="H13" s="150"/>
      <c r="I13" s="11"/>
      <c r="J13" s="150"/>
      <c r="K13" s="150"/>
      <c r="L13" s="150"/>
      <c r="M13" s="11"/>
      <c r="N13" s="11"/>
      <c r="O13" s="11"/>
      <c r="P13" s="9" t="s">
        <v>1309</v>
      </c>
      <c r="Q13" s="9" t="s">
        <v>1310</v>
      </c>
      <c r="R13" s="11"/>
      <c r="S13" s="11"/>
      <c r="T13" s="11"/>
      <c r="U13" s="11"/>
      <c r="V13" s="11"/>
      <c r="W13" s="11"/>
      <c r="X13" s="11"/>
      <c r="Y13" s="11"/>
      <c r="Z13" s="25"/>
      <c r="AA13" s="25"/>
      <c r="AB13" s="25"/>
      <c r="AC13" s="25"/>
      <c r="AD13" s="25"/>
      <c r="AE13" s="25"/>
      <c r="AF13" s="25"/>
      <c r="AG13" s="25"/>
      <c r="AH13" s="25"/>
      <c r="AI13" s="25"/>
    </row>
    <row r="14" ht="14.25" customHeight="1">
      <c r="A14" s="14"/>
      <c r="B14" s="150"/>
      <c r="C14" s="150"/>
      <c r="D14" s="150"/>
      <c r="E14" s="150"/>
      <c r="F14" s="13"/>
      <c r="G14" s="150"/>
      <c r="H14" s="150"/>
      <c r="I14" s="14" t="s">
        <v>1311</v>
      </c>
      <c r="J14" s="150"/>
      <c r="K14" s="150"/>
      <c r="L14" s="150"/>
      <c r="M14" s="14"/>
      <c r="N14" s="14"/>
      <c r="O14" s="14"/>
      <c r="P14" s="13" t="s">
        <v>1312</v>
      </c>
      <c r="Q14" s="13" t="s">
        <v>1313</v>
      </c>
      <c r="R14" s="14"/>
      <c r="S14" s="14"/>
      <c r="T14" s="14"/>
      <c r="U14" s="14"/>
      <c r="V14" s="14"/>
      <c r="W14" s="14"/>
      <c r="X14" s="14"/>
      <c r="Y14" s="14"/>
      <c r="Z14" s="26"/>
      <c r="AA14" s="26"/>
      <c r="AB14" s="26"/>
      <c r="AC14" s="26"/>
      <c r="AD14" s="26"/>
      <c r="AE14" s="26"/>
      <c r="AF14" s="26"/>
      <c r="AG14" s="26"/>
      <c r="AH14" s="26"/>
      <c r="AI14" s="26"/>
    </row>
    <row r="15" ht="14.25" customHeight="1">
      <c r="A15" s="11"/>
      <c r="B15" s="150"/>
      <c r="C15" s="150"/>
      <c r="D15" s="150"/>
      <c r="E15" s="150"/>
      <c r="F15" s="9"/>
      <c r="G15" s="150"/>
      <c r="H15" s="150"/>
      <c r="I15" s="11"/>
      <c r="J15" s="150"/>
      <c r="K15" s="150"/>
      <c r="L15" s="150"/>
      <c r="M15" s="11"/>
      <c r="N15" s="11"/>
      <c r="O15" s="11"/>
      <c r="P15" s="9" t="s">
        <v>1314</v>
      </c>
      <c r="Q15" s="9" t="s">
        <v>1315</v>
      </c>
      <c r="R15" s="11"/>
      <c r="S15" s="11"/>
      <c r="T15" s="11"/>
      <c r="U15" s="11"/>
      <c r="V15" s="11"/>
      <c r="W15" s="11"/>
      <c r="X15" s="11"/>
      <c r="Y15" s="11"/>
      <c r="Z15" s="25"/>
      <c r="AA15" s="25"/>
      <c r="AB15" s="25"/>
      <c r="AC15" s="25"/>
      <c r="AD15" s="25"/>
      <c r="AE15" s="25"/>
      <c r="AF15" s="25"/>
      <c r="AG15" s="25"/>
      <c r="AH15" s="25"/>
      <c r="AI15" s="25"/>
    </row>
    <row r="16" ht="14.25" customHeight="1">
      <c r="A16" s="14"/>
      <c r="B16" s="150"/>
      <c r="C16" s="150"/>
      <c r="D16" s="150"/>
      <c r="E16" s="150"/>
      <c r="F16" s="13"/>
      <c r="G16" s="150"/>
      <c r="H16" s="150"/>
      <c r="I16" s="14"/>
      <c r="J16" s="150"/>
      <c r="K16" s="150"/>
      <c r="L16" s="150"/>
      <c r="M16" s="14"/>
      <c r="N16" s="14"/>
      <c r="O16" s="14"/>
      <c r="P16" s="14"/>
      <c r="Q16" s="13" t="s">
        <v>1316</v>
      </c>
      <c r="R16" s="14"/>
      <c r="S16" s="14"/>
      <c r="T16" s="14"/>
      <c r="U16" s="14"/>
      <c r="V16" s="14"/>
      <c r="W16" s="14"/>
      <c r="X16" s="14"/>
      <c r="Y16" s="14"/>
      <c r="Z16" s="26"/>
      <c r="AA16" s="26"/>
      <c r="AB16" s="26"/>
      <c r="AC16" s="26"/>
      <c r="AD16" s="26"/>
      <c r="AE16" s="26"/>
      <c r="AF16" s="26"/>
      <c r="AG16" s="26"/>
      <c r="AH16" s="26"/>
      <c r="AI16" s="26"/>
    </row>
    <row r="17" ht="14.25" customHeight="1">
      <c r="A17" s="11"/>
      <c r="B17" s="150"/>
      <c r="C17" s="150"/>
      <c r="D17" s="150"/>
      <c r="E17" s="150"/>
      <c r="F17" s="9"/>
      <c r="G17" s="150"/>
      <c r="H17" s="150"/>
      <c r="I17" s="11"/>
      <c r="J17" s="150"/>
      <c r="K17" s="150"/>
      <c r="L17" s="150"/>
      <c r="M17" s="11"/>
      <c r="N17" s="11"/>
      <c r="O17" s="11"/>
      <c r="P17" s="11"/>
      <c r="Q17" s="9" t="s">
        <v>1317</v>
      </c>
      <c r="R17" s="11"/>
      <c r="S17" s="11"/>
      <c r="T17" s="11"/>
      <c r="U17" s="11"/>
      <c r="V17" s="11"/>
      <c r="W17" s="11"/>
      <c r="X17" s="11"/>
      <c r="Y17" s="11"/>
      <c r="Z17" s="25"/>
      <c r="AA17" s="25"/>
      <c r="AB17" s="25"/>
      <c r="AC17" s="25"/>
      <c r="AD17" s="25"/>
      <c r="AE17" s="25"/>
      <c r="AF17" s="25"/>
      <c r="AG17" s="25"/>
      <c r="AH17" s="25"/>
      <c r="AI17" s="25"/>
    </row>
    <row r="18" ht="14.25" customHeight="1">
      <c r="A18" s="14"/>
      <c r="B18" s="150"/>
      <c r="C18" s="150"/>
      <c r="D18" s="150"/>
      <c r="E18" s="150"/>
      <c r="F18" s="13"/>
      <c r="G18" s="150"/>
      <c r="H18" s="150"/>
      <c r="I18" s="14"/>
      <c r="J18" s="150"/>
      <c r="K18" s="150"/>
      <c r="L18" s="150"/>
      <c r="M18" s="14"/>
      <c r="N18" s="14"/>
      <c r="O18" s="14"/>
      <c r="P18" s="14"/>
      <c r="Q18" s="13" t="s">
        <v>1318</v>
      </c>
      <c r="R18" s="14"/>
      <c r="S18" s="14"/>
      <c r="T18" s="14"/>
      <c r="U18" s="14"/>
      <c r="V18" s="14"/>
      <c r="W18" s="14"/>
      <c r="X18" s="14"/>
      <c r="Y18" s="14"/>
      <c r="Z18" s="26"/>
      <c r="AA18" s="26"/>
      <c r="AB18" s="26"/>
      <c r="AC18" s="26"/>
      <c r="AD18" s="26"/>
      <c r="AE18" s="26"/>
      <c r="AF18" s="26"/>
      <c r="AG18" s="26"/>
      <c r="AH18" s="26"/>
      <c r="AI18" s="26"/>
    </row>
    <row r="19" ht="14.25" customHeight="1">
      <c r="A19" s="11"/>
      <c r="B19" s="150"/>
      <c r="C19" s="150"/>
      <c r="D19" s="150"/>
      <c r="E19" s="150"/>
      <c r="F19" s="9"/>
      <c r="G19" s="150"/>
      <c r="H19" s="150"/>
      <c r="I19" s="11"/>
      <c r="J19" s="150"/>
      <c r="K19" s="150"/>
      <c r="L19" s="150"/>
      <c r="M19" s="11"/>
      <c r="N19" s="11"/>
      <c r="O19" s="11"/>
      <c r="P19" s="11"/>
      <c r="Q19" s="9" t="s">
        <v>1319</v>
      </c>
      <c r="R19" s="11"/>
      <c r="S19" s="11"/>
      <c r="T19" s="11"/>
      <c r="U19" s="11"/>
      <c r="V19" s="11"/>
      <c r="W19" s="11"/>
      <c r="X19" s="11"/>
      <c r="Y19" s="11"/>
      <c r="Z19" s="25"/>
      <c r="AA19" s="25"/>
      <c r="AB19" s="25"/>
      <c r="AC19" s="25"/>
      <c r="AD19" s="25"/>
      <c r="AE19" s="25"/>
      <c r="AF19" s="25"/>
      <c r="AG19" s="25"/>
      <c r="AH19" s="25"/>
      <c r="AI19" s="25"/>
    </row>
    <row r="20" ht="14.25" customHeight="1">
      <c r="A20" s="14"/>
      <c r="B20" s="150"/>
      <c r="C20" s="150"/>
      <c r="D20" s="150"/>
      <c r="E20" s="150"/>
      <c r="F20" s="13"/>
      <c r="G20" s="150"/>
      <c r="H20" s="150"/>
      <c r="I20" s="14"/>
      <c r="J20" s="150"/>
      <c r="K20" s="150"/>
      <c r="L20" s="150"/>
      <c r="M20" s="14"/>
      <c r="N20" s="14"/>
      <c r="O20" s="14"/>
      <c r="P20" s="14"/>
      <c r="Q20" s="13" t="s">
        <v>1320</v>
      </c>
      <c r="R20" s="14"/>
      <c r="S20" s="14"/>
      <c r="T20" s="14"/>
      <c r="U20" s="14"/>
      <c r="V20" s="14"/>
      <c r="W20" s="14"/>
      <c r="X20" s="14"/>
      <c r="Y20" s="14"/>
      <c r="Z20" s="26"/>
      <c r="AA20" s="26"/>
      <c r="AB20" s="26"/>
      <c r="AC20" s="26"/>
      <c r="AD20" s="26"/>
      <c r="AE20" s="26"/>
      <c r="AF20" s="26"/>
      <c r="AG20" s="26"/>
      <c r="AH20" s="26"/>
      <c r="AI20" s="26"/>
    </row>
    <row r="21" ht="14.25" customHeight="1">
      <c r="A21" s="11"/>
      <c r="B21" s="150"/>
      <c r="C21" s="150"/>
      <c r="D21" s="150"/>
      <c r="E21" s="150"/>
      <c r="F21" s="9"/>
      <c r="G21" s="150"/>
      <c r="H21" s="150"/>
      <c r="I21" s="11"/>
      <c r="J21" s="150"/>
      <c r="K21" s="150"/>
      <c r="L21" s="150"/>
      <c r="M21" s="11"/>
      <c r="N21" s="11"/>
      <c r="O21" s="11"/>
      <c r="P21" s="11"/>
      <c r="Q21" s="9" t="s">
        <v>1321</v>
      </c>
      <c r="R21" s="11"/>
      <c r="S21" s="11"/>
      <c r="T21" s="11"/>
      <c r="U21" s="11"/>
      <c r="V21" s="11"/>
      <c r="W21" s="11"/>
      <c r="X21" s="11"/>
      <c r="Y21" s="11"/>
      <c r="Z21" s="25"/>
      <c r="AA21" s="25"/>
      <c r="AB21" s="25"/>
      <c r="AC21" s="25"/>
      <c r="AD21" s="25"/>
      <c r="AE21" s="25"/>
      <c r="AF21" s="25"/>
      <c r="AG21" s="25"/>
      <c r="AH21" s="25"/>
      <c r="AI21" s="25"/>
    </row>
    <row r="22" ht="14.25" customHeight="1">
      <c r="A22" s="14"/>
      <c r="B22" s="150"/>
      <c r="C22" s="150"/>
      <c r="D22" s="150"/>
      <c r="E22" s="150"/>
      <c r="F22" s="13"/>
      <c r="G22" s="150"/>
      <c r="H22" s="150"/>
      <c r="I22" s="14"/>
      <c r="J22" s="150"/>
      <c r="K22" s="150"/>
      <c r="L22" s="150"/>
      <c r="M22" s="14"/>
      <c r="N22" s="14"/>
      <c r="O22" s="14"/>
      <c r="P22" s="14"/>
      <c r="Q22" s="13" t="s">
        <v>1322</v>
      </c>
      <c r="R22" s="14"/>
      <c r="S22" s="14"/>
      <c r="T22" s="14"/>
      <c r="U22" s="14"/>
      <c r="V22" s="14"/>
      <c r="W22" s="14"/>
      <c r="X22" s="14"/>
      <c r="Y22" s="14"/>
      <c r="Z22" s="26"/>
      <c r="AA22" s="26"/>
      <c r="AB22" s="26"/>
      <c r="AC22" s="26"/>
      <c r="AD22" s="26"/>
      <c r="AE22" s="26"/>
      <c r="AF22" s="26"/>
      <c r="AG22" s="26"/>
      <c r="AH22" s="26"/>
      <c r="AI22" s="26">
        <v>47.0</v>
      </c>
    </row>
    <row r="23" ht="14.25" customHeight="1">
      <c r="A23" s="11"/>
      <c r="B23" s="150"/>
      <c r="C23" s="150"/>
      <c r="D23" s="150"/>
      <c r="E23" s="150"/>
      <c r="F23" s="9"/>
      <c r="G23" s="150"/>
      <c r="H23" s="150"/>
      <c r="I23" s="11"/>
      <c r="J23" s="150"/>
      <c r="K23" s="150"/>
      <c r="L23" s="150"/>
      <c r="M23" s="11"/>
      <c r="N23" s="11"/>
      <c r="O23" s="11"/>
      <c r="P23" s="11"/>
      <c r="Q23" s="9"/>
      <c r="R23" s="11"/>
      <c r="S23" s="11"/>
      <c r="T23" s="11"/>
      <c r="U23" s="11"/>
      <c r="V23" s="11"/>
      <c r="W23" s="11"/>
      <c r="X23" s="11"/>
      <c r="Y23" s="11"/>
      <c r="Z23" s="25"/>
      <c r="AA23" s="25"/>
      <c r="AB23" s="25"/>
      <c r="AC23" s="25"/>
      <c r="AD23" s="25"/>
      <c r="AE23" s="25"/>
      <c r="AF23" s="25"/>
      <c r="AG23" s="25"/>
      <c r="AH23" s="25"/>
      <c r="AI23" s="25"/>
    </row>
    <row r="24" ht="14.25" customHeight="1">
      <c r="B24" s="151"/>
      <c r="C24" s="151"/>
      <c r="D24" s="151"/>
      <c r="E24" s="151"/>
      <c r="F24" s="89"/>
      <c r="G24" s="151"/>
      <c r="H24" s="151"/>
      <c r="I24" s="57"/>
      <c r="J24" s="151"/>
      <c r="K24" s="151"/>
      <c r="L24" s="151"/>
      <c r="Z24" s="62"/>
      <c r="AA24" s="62"/>
      <c r="AB24" s="62"/>
      <c r="AC24" s="62"/>
      <c r="AD24" s="62"/>
      <c r="AE24" s="62"/>
      <c r="AF24" s="62"/>
      <c r="AG24" s="62"/>
      <c r="AH24" s="62"/>
      <c r="AI24" s="62"/>
    </row>
    <row r="25" ht="14.25" customHeight="1">
      <c r="Z25" s="62"/>
      <c r="AA25" s="62"/>
      <c r="AB25" s="62"/>
      <c r="AC25" s="62"/>
      <c r="AD25" s="62"/>
      <c r="AE25" s="62"/>
      <c r="AF25" s="62"/>
      <c r="AG25" s="62"/>
      <c r="AH25" s="62"/>
      <c r="AI25" s="62"/>
    </row>
    <row r="26" ht="14.25" customHeight="1">
      <c r="A26" s="62" t="s">
        <v>1323</v>
      </c>
      <c r="B26" s="62" t="s">
        <v>1324</v>
      </c>
      <c r="C26" s="152" t="s">
        <v>1325</v>
      </c>
      <c r="D26" s="62" t="s">
        <v>1326</v>
      </c>
      <c r="E26" s="62" t="s">
        <v>1327</v>
      </c>
      <c r="F26" s="62" t="s">
        <v>72</v>
      </c>
      <c r="G26" s="62" t="s">
        <v>1328</v>
      </c>
      <c r="H26" s="9" t="s">
        <v>949</v>
      </c>
      <c r="I26" s="9" t="s">
        <v>53</v>
      </c>
      <c r="J26" s="9" t="s">
        <v>1329</v>
      </c>
      <c r="K26" s="9">
        <v>8.9530975064E10</v>
      </c>
      <c r="L26" s="9">
        <v>1200.0</v>
      </c>
      <c r="M26" s="9" t="s">
        <v>1330</v>
      </c>
      <c r="Z26" s="62"/>
      <c r="AA26" s="62" t="s">
        <v>190</v>
      </c>
      <c r="AB26" s="62" t="s">
        <v>146</v>
      </c>
      <c r="AC26" s="62" t="s">
        <v>146</v>
      </c>
      <c r="AD26" s="62" t="s">
        <v>146</v>
      </c>
      <c r="AE26" s="62" t="s">
        <v>146</v>
      </c>
      <c r="AF26" s="62" t="s">
        <v>146</v>
      </c>
      <c r="AG26" s="62" t="s">
        <v>145</v>
      </c>
      <c r="AH26" s="62" t="s">
        <v>146</v>
      </c>
      <c r="AI26" s="62"/>
    </row>
    <row r="27" ht="14.25" customHeight="1">
      <c r="H27" s="153"/>
      <c r="I27" s="13"/>
      <c r="J27" s="13"/>
      <c r="K27" s="13"/>
      <c r="L27" s="13"/>
      <c r="M27" s="13" t="s">
        <v>1330</v>
      </c>
      <c r="Z27" s="62"/>
      <c r="AA27" s="62"/>
      <c r="AB27" s="62"/>
      <c r="AC27" s="62"/>
      <c r="AD27" s="62"/>
      <c r="AE27" s="62"/>
      <c r="AF27" s="62"/>
      <c r="AG27" s="62"/>
      <c r="AH27" s="62"/>
      <c r="AI27" s="62"/>
    </row>
    <row r="28" ht="14.25" customHeight="1">
      <c r="H28" s="150"/>
      <c r="I28" s="9"/>
      <c r="J28" s="9"/>
      <c r="K28" s="9"/>
      <c r="L28" s="9"/>
      <c r="M28" s="9"/>
      <c r="Z28" s="62"/>
      <c r="AA28" s="62"/>
      <c r="AB28" s="62"/>
      <c r="AC28" s="62"/>
      <c r="AD28" s="62"/>
      <c r="AE28" s="62"/>
      <c r="AF28" s="62"/>
      <c r="AG28" s="62"/>
      <c r="AH28" s="62"/>
      <c r="AI28" s="62"/>
    </row>
    <row r="29" ht="14.25" customHeight="1">
      <c r="C29" s="62"/>
      <c r="D29" s="62"/>
      <c r="H29" s="150"/>
      <c r="I29" s="13"/>
      <c r="J29" s="13"/>
      <c r="K29" s="13"/>
      <c r="L29" s="13"/>
      <c r="M29" s="13"/>
      <c r="Z29" s="62"/>
      <c r="AA29" s="62"/>
      <c r="AB29" s="62"/>
      <c r="AC29" s="62"/>
      <c r="AD29" s="62"/>
      <c r="AE29" s="62"/>
      <c r="AF29" s="62"/>
      <c r="AG29" s="62"/>
      <c r="AH29" s="62"/>
      <c r="AI29" s="62"/>
    </row>
    <row r="30" ht="14.25" customHeight="1">
      <c r="C30" s="62"/>
      <c r="D30" s="62"/>
      <c r="H30" s="150"/>
      <c r="I30" s="9"/>
      <c r="J30" s="9"/>
      <c r="K30" s="9"/>
      <c r="L30" s="9"/>
      <c r="M30" s="9"/>
      <c r="Z30" s="62"/>
      <c r="AA30" s="62"/>
      <c r="AB30" s="62"/>
      <c r="AC30" s="62"/>
      <c r="AD30" s="62"/>
      <c r="AE30" s="62"/>
      <c r="AF30" s="62"/>
      <c r="AG30" s="62"/>
      <c r="AH30" s="62"/>
      <c r="AI30" s="62"/>
    </row>
    <row r="31" ht="14.25" customHeight="1">
      <c r="H31" s="150"/>
      <c r="I31" s="13"/>
      <c r="J31" s="13"/>
      <c r="K31" s="13"/>
      <c r="L31" s="13"/>
      <c r="M31" s="13"/>
      <c r="Z31" s="62"/>
      <c r="AA31" s="62"/>
      <c r="AB31" s="62"/>
      <c r="AC31" s="62"/>
      <c r="AD31" s="62"/>
      <c r="AE31" s="62"/>
      <c r="AF31" s="62"/>
      <c r="AG31" s="62"/>
      <c r="AH31" s="62"/>
      <c r="AI31" s="62"/>
    </row>
    <row r="32" ht="14.25" customHeight="1">
      <c r="H32" s="150"/>
      <c r="I32" s="9"/>
      <c r="J32" s="9"/>
      <c r="K32" s="9"/>
      <c r="L32" s="9"/>
      <c r="M32" s="9"/>
      <c r="Z32" s="62"/>
      <c r="AA32" s="62"/>
      <c r="AB32" s="62"/>
      <c r="AC32" s="62"/>
      <c r="AD32" s="62"/>
      <c r="AE32" s="62"/>
      <c r="AF32" s="62"/>
      <c r="AG32" s="62"/>
      <c r="AH32" s="62"/>
      <c r="AI32" s="62"/>
    </row>
    <row r="33" ht="14.25" customHeight="1">
      <c r="H33" s="150"/>
      <c r="I33" s="13"/>
      <c r="J33" s="13"/>
      <c r="K33" s="13"/>
      <c r="L33" s="13"/>
      <c r="M33" s="13"/>
      <c r="Z33" s="62"/>
      <c r="AA33" s="62"/>
      <c r="AB33" s="62"/>
      <c r="AC33" s="62"/>
      <c r="AD33" s="62"/>
      <c r="AE33" s="62"/>
      <c r="AF33" s="62"/>
      <c r="AG33" s="62"/>
      <c r="AH33" s="62"/>
      <c r="AI33" s="62"/>
    </row>
    <row r="34" ht="14.25" customHeight="1">
      <c r="H34" s="150"/>
      <c r="I34" s="9"/>
      <c r="J34" s="9"/>
      <c r="K34" s="9"/>
      <c r="L34" s="9"/>
      <c r="M34" s="9"/>
      <c r="Z34" s="62"/>
      <c r="AA34" s="62"/>
      <c r="AB34" s="62"/>
      <c r="AC34" s="62"/>
      <c r="AD34" s="62"/>
      <c r="AE34" s="62"/>
      <c r="AF34" s="62"/>
      <c r="AG34" s="62"/>
      <c r="AH34" s="62"/>
      <c r="AI34" s="62"/>
    </row>
    <row r="35" ht="14.25" customHeight="1">
      <c r="H35" s="150"/>
      <c r="I35" s="13"/>
      <c r="J35" s="13"/>
      <c r="K35" s="13"/>
      <c r="L35" s="13"/>
      <c r="M35" s="13"/>
      <c r="Z35" s="62"/>
      <c r="AA35" s="62"/>
      <c r="AB35" s="62"/>
      <c r="AC35" s="62"/>
      <c r="AD35" s="62"/>
      <c r="AE35" s="62"/>
      <c r="AF35" s="62"/>
      <c r="AG35" s="62"/>
      <c r="AH35" s="62"/>
      <c r="AI35" s="62"/>
    </row>
    <row r="36" ht="14.25" customHeight="1">
      <c r="H36" s="150"/>
      <c r="I36" s="9"/>
      <c r="J36" s="9"/>
      <c r="K36" s="9"/>
      <c r="L36" s="9"/>
      <c r="M36" s="9"/>
      <c r="Z36" s="62"/>
      <c r="AA36" s="62"/>
      <c r="AB36" s="62"/>
      <c r="AC36" s="62"/>
      <c r="AD36" s="62"/>
      <c r="AE36" s="62"/>
      <c r="AF36" s="62"/>
      <c r="AG36" s="62"/>
      <c r="AH36" s="62"/>
      <c r="AI36" s="62"/>
    </row>
    <row r="37" ht="14.25" customHeight="1">
      <c r="H37" s="150"/>
      <c r="I37" s="13"/>
      <c r="J37" s="13"/>
      <c r="K37" s="13"/>
      <c r="L37" s="13"/>
      <c r="M37" s="13"/>
      <c r="Z37" s="62"/>
      <c r="AA37" s="62"/>
      <c r="AB37" s="62"/>
      <c r="AC37" s="62"/>
      <c r="AD37" s="62"/>
      <c r="AE37" s="62"/>
      <c r="AF37" s="62"/>
      <c r="AG37" s="62"/>
      <c r="AH37" s="62"/>
      <c r="AI37" s="62"/>
    </row>
    <row r="38" ht="14.25" customHeight="1">
      <c r="H38" s="150"/>
      <c r="I38" s="9"/>
      <c r="J38" s="9"/>
      <c r="K38" s="9"/>
      <c r="L38" s="9"/>
      <c r="M38" s="9"/>
      <c r="Z38" s="62"/>
      <c r="AA38" s="62"/>
      <c r="AB38" s="62"/>
      <c r="AC38" s="62"/>
      <c r="AD38" s="62"/>
      <c r="AE38" s="62"/>
      <c r="AF38" s="62"/>
      <c r="AG38" s="62"/>
      <c r="AH38" s="62"/>
      <c r="AI38" s="62"/>
    </row>
    <row r="39" ht="14.25" customHeight="1">
      <c r="H39" s="150"/>
      <c r="I39" s="13"/>
      <c r="J39" s="13"/>
      <c r="K39" s="13"/>
      <c r="L39" s="13"/>
      <c r="M39" s="13"/>
      <c r="Z39" s="62"/>
      <c r="AA39" s="62"/>
      <c r="AB39" s="62"/>
      <c r="AC39" s="62"/>
      <c r="AD39" s="62"/>
      <c r="AE39" s="62"/>
      <c r="AF39" s="62"/>
      <c r="AG39" s="62"/>
      <c r="AH39" s="62"/>
      <c r="AI39" s="62"/>
    </row>
    <row r="40" ht="14.25" customHeight="1">
      <c r="H40" s="150"/>
      <c r="I40" s="9"/>
      <c r="J40" s="9"/>
      <c r="K40" s="9"/>
      <c r="L40" s="9"/>
      <c r="M40" s="9"/>
      <c r="Z40" s="62"/>
      <c r="AA40" s="62"/>
      <c r="AB40" s="62"/>
      <c r="AC40" s="62"/>
      <c r="AD40" s="62"/>
      <c r="AE40" s="62"/>
      <c r="AF40" s="62"/>
      <c r="AG40" s="62"/>
      <c r="AH40" s="62"/>
      <c r="AI40" s="62"/>
    </row>
    <row r="41" ht="14.25" customHeight="1">
      <c r="H41" s="150"/>
      <c r="I41" s="13"/>
      <c r="J41" s="13"/>
      <c r="K41" s="13"/>
      <c r="L41" s="13"/>
      <c r="M41" s="13"/>
      <c r="Z41" s="62"/>
      <c r="AA41" s="62"/>
      <c r="AB41" s="62"/>
      <c r="AC41" s="62"/>
      <c r="AD41" s="62"/>
      <c r="AE41" s="62"/>
      <c r="AF41" s="62"/>
      <c r="AG41" s="62"/>
      <c r="AH41" s="62"/>
      <c r="AI41" s="62"/>
    </row>
    <row r="42" ht="14.25" customHeight="1">
      <c r="H42" s="150"/>
      <c r="I42" s="9"/>
      <c r="J42" s="9"/>
      <c r="K42" s="9"/>
      <c r="L42" s="9"/>
      <c r="M42" s="9"/>
      <c r="Z42" s="62"/>
      <c r="AA42" s="62"/>
      <c r="AB42" s="62"/>
      <c r="AC42" s="62"/>
      <c r="AD42" s="62"/>
      <c r="AE42" s="62"/>
      <c r="AF42" s="62"/>
      <c r="AG42" s="62"/>
      <c r="AH42" s="62"/>
      <c r="AI42" s="62"/>
    </row>
    <row r="43" ht="14.25" customHeight="1">
      <c r="H43" s="150"/>
      <c r="I43" s="13"/>
      <c r="J43" s="13"/>
      <c r="K43" s="13"/>
      <c r="L43" s="13"/>
      <c r="M43" s="13"/>
      <c r="Z43" s="62"/>
      <c r="AA43" s="62"/>
      <c r="AB43" s="62"/>
      <c r="AC43" s="62"/>
      <c r="AD43" s="62"/>
      <c r="AE43" s="62"/>
      <c r="AF43" s="62"/>
      <c r="AG43" s="62"/>
      <c r="AH43" s="62"/>
      <c r="AI43" s="62"/>
    </row>
    <row r="44" ht="14.25" customHeight="1">
      <c r="H44" s="150"/>
      <c r="I44" s="9"/>
      <c r="J44" s="9"/>
      <c r="K44" s="9"/>
      <c r="L44" s="9"/>
      <c r="M44" s="9"/>
      <c r="Z44" s="62"/>
      <c r="AA44" s="62"/>
      <c r="AB44" s="62"/>
      <c r="AC44" s="62"/>
      <c r="AD44" s="62"/>
      <c r="AE44" s="62"/>
      <c r="AF44" s="62"/>
      <c r="AG44" s="62"/>
      <c r="AH44" s="62"/>
      <c r="AI44" s="62"/>
    </row>
    <row r="45" ht="14.25" customHeight="1">
      <c r="H45" s="151"/>
      <c r="Z45" s="62"/>
      <c r="AA45" s="62"/>
      <c r="AB45" s="62"/>
      <c r="AC45" s="62"/>
      <c r="AD45" s="62"/>
      <c r="AE45" s="62"/>
      <c r="AF45" s="62"/>
      <c r="AG45" s="62"/>
      <c r="AH45" s="62"/>
      <c r="AI45" s="62"/>
    </row>
    <row r="46" ht="14.25" customHeight="1">
      <c r="Z46" s="62"/>
      <c r="AA46" s="62"/>
      <c r="AB46" s="62"/>
      <c r="AC46" s="62"/>
      <c r="AD46" s="62"/>
      <c r="AE46" s="62"/>
      <c r="AF46" s="62"/>
      <c r="AG46" s="62"/>
      <c r="AH46" s="62"/>
      <c r="AI46" s="62"/>
    </row>
    <row r="47" ht="14.25" customHeight="1">
      <c r="Z47" s="62"/>
      <c r="AA47" s="62"/>
      <c r="AB47" s="62"/>
      <c r="AC47" s="62"/>
      <c r="AD47" s="62"/>
      <c r="AE47" s="62"/>
      <c r="AF47" s="62"/>
      <c r="AG47" s="62"/>
      <c r="AH47" s="62"/>
      <c r="AI47" s="62"/>
    </row>
    <row r="48" ht="14.25" customHeight="1">
      <c r="Z48" s="62"/>
      <c r="AA48" s="62"/>
      <c r="AB48" s="62"/>
      <c r="AC48" s="62"/>
      <c r="AD48" s="62"/>
      <c r="AE48" s="62"/>
      <c r="AF48" s="62"/>
      <c r="AG48" s="62"/>
      <c r="AH48" s="62"/>
      <c r="AI48" s="62"/>
    </row>
    <row r="49" ht="14.25" customHeight="1">
      <c r="Z49" s="62"/>
      <c r="AA49" s="62"/>
      <c r="AB49" s="62"/>
      <c r="AC49" s="62"/>
      <c r="AD49" s="62"/>
      <c r="AE49" s="62"/>
      <c r="AF49" s="62"/>
      <c r="AG49" s="62"/>
      <c r="AH49" s="62"/>
      <c r="AI49" s="62"/>
    </row>
    <row r="50" ht="14.25" customHeight="1">
      <c r="Z50" s="62"/>
      <c r="AA50" s="62"/>
      <c r="AB50" s="62"/>
      <c r="AC50" s="62"/>
      <c r="AD50" s="62"/>
      <c r="AE50" s="62"/>
      <c r="AF50" s="62"/>
      <c r="AG50" s="62"/>
      <c r="AH50" s="62"/>
      <c r="AI50" s="62"/>
    </row>
    <row r="51" ht="14.25" customHeight="1">
      <c r="Z51" s="62"/>
      <c r="AA51" s="62"/>
      <c r="AB51" s="62"/>
      <c r="AC51" s="62"/>
      <c r="AD51" s="62"/>
      <c r="AE51" s="62"/>
      <c r="AF51" s="62"/>
      <c r="AG51" s="62"/>
      <c r="AH51" s="62"/>
      <c r="AI51" s="62"/>
    </row>
    <row r="52" ht="14.25" customHeight="1">
      <c r="Z52" s="62"/>
      <c r="AA52" s="62"/>
      <c r="AB52" s="62"/>
      <c r="AC52" s="62"/>
      <c r="AD52" s="62"/>
      <c r="AE52" s="62"/>
      <c r="AF52" s="62"/>
      <c r="AG52" s="62"/>
      <c r="AH52" s="62"/>
      <c r="AI52" s="62"/>
    </row>
    <row r="53" ht="14.25" customHeight="1">
      <c r="Z53" s="62"/>
      <c r="AA53" s="62"/>
      <c r="AB53" s="62"/>
      <c r="AC53" s="62"/>
      <c r="AD53" s="62"/>
      <c r="AE53" s="62"/>
      <c r="AF53" s="62"/>
      <c r="AG53" s="62"/>
      <c r="AH53" s="62"/>
      <c r="AI53" s="62"/>
    </row>
    <row r="54" ht="14.25" customHeight="1">
      <c r="Z54" s="62"/>
      <c r="AA54" s="62"/>
      <c r="AB54" s="62"/>
      <c r="AC54" s="62"/>
      <c r="AD54" s="62"/>
      <c r="AE54" s="62"/>
      <c r="AF54" s="62"/>
      <c r="AG54" s="62"/>
      <c r="AH54" s="62"/>
      <c r="AI54" s="62"/>
    </row>
    <row r="55" ht="14.25" customHeight="1">
      <c r="Z55" s="62"/>
      <c r="AA55" s="62"/>
      <c r="AB55" s="62"/>
      <c r="AC55" s="62"/>
      <c r="AD55" s="62"/>
      <c r="AE55" s="62"/>
      <c r="AF55" s="62"/>
      <c r="AG55" s="62"/>
      <c r="AH55" s="62"/>
      <c r="AI55" s="62"/>
    </row>
    <row r="56" ht="14.25" customHeight="1">
      <c r="Z56" s="62"/>
      <c r="AA56" s="62"/>
      <c r="AB56" s="62"/>
      <c r="AC56" s="62"/>
      <c r="AD56" s="62"/>
      <c r="AE56" s="62"/>
      <c r="AF56" s="62"/>
      <c r="AG56" s="62"/>
      <c r="AH56" s="62"/>
      <c r="AI56" s="62"/>
    </row>
    <row r="57" ht="14.25" customHeight="1">
      <c r="Z57" s="62"/>
      <c r="AA57" s="62"/>
      <c r="AB57" s="62"/>
      <c r="AC57" s="62"/>
      <c r="AD57" s="62"/>
      <c r="AE57" s="62"/>
      <c r="AF57" s="62"/>
      <c r="AG57" s="62"/>
      <c r="AH57" s="62"/>
      <c r="AI57" s="62"/>
    </row>
    <row r="58" ht="14.25" customHeight="1">
      <c r="Z58" s="62"/>
      <c r="AA58" s="62"/>
      <c r="AB58" s="62"/>
      <c r="AC58" s="62"/>
      <c r="AD58" s="62"/>
      <c r="AE58" s="62"/>
      <c r="AF58" s="62"/>
      <c r="AG58" s="62"/>
      <c r="AH58" s="62"/>
      <c r="AI58" s="62"/>
    </row>
    <row r="59" ht="14.25" customHeight="1">
      <c r="Z59" s="62"/>
      <c r="AA59" s="62"/>
      <c r="AB59" s="62"/>
      <c r="AC59" s="62"/>
      <c r="AD59" s="62"/>
      <c r="AE59" s="62"/>
      <c r="AF59" s="62"/>
      <c r="AG59" s="62"/>
      <c r="AH59" s="62"/>
      <c r="AI59" s="62"/>
    </row>
    <row r="60" ht="14.25" customHeight="1">
      <c r="Z60" s="62"/>
      <c r="AA60" s="62"/>
      <c r="AB60" s="62"/>
      <c r="AC60" s="62"/>
      <c r="AD60" s="62"/>
      <c r="AE60" s="62"/>
      <c r="AF60" s="62"/>
      <c r="AG60" s="62"/>
      <c r="AH60" s="62"/>
      <c r="AI60" s="62"/>
    </row>
    <row r="61" ht="14.25" customHeight="1">
      <c r="Z61" s="62"/>
      <c r="AA61" s="62"/>
      <c r="AB61" s="62"/>
      <c r="AC61" s="62"/>
      <c r="AD61" s="62"/>
      <c r="AE61" s="62"/>
      <c r="AF61" s="62"/>
      <c r="AG61" s="62"/>
      <c r="AH61" s="62"/>
      <c r="AI61" s="62"/>
    </row>
    <row r="62" ht="14.25" customHeight="1">
      <c r="Z62" s="62"/>
      <c r="AA62" s="62"/>
      <c r="AB62" s="62"/>
      <c r="AC62" s="62"/>
      <c r="AD62" s="62"/>
      <c r="AE62" s="62"/>
      <c r="AF62" s="62"/>
      <c r="AG62" s="62"/>
      <c r="AH62" s="62"/>
      <c r="AI62" s="62"/>
    </row>
    <row r="63" ht="14.25" customHeight="1">
      <c r="Z63" s="62"/>
      <c r="AA63" s="62"/>
      <c r="AB63" s="62"/>
      <c r="AC63" s="62"/>
      <c r="AD63" s="62"/>
      <c r="AE63" s="62"/>
      <c r="AF63" s="62"/>
      <c r="AG63" s="62"/>
      <c r="AH63" s="62"/>
      <c r="AI63" s="62"/>
    </row>
    <row r="64" ht="14.25" customHeight="1">
      <c r="Z64" s="62"/>
      <c r="AA64" s="62"/>
      <c r="AB64" s="62"/>
      <c r="AC64" s="62"/>
      <c r="AD64" s="62"/>
      <c r="AE64" s="62"/>
      <c r="AF64" s="62"/>
      <c r="AG64" s="62"/>
      <c r="AH64" s="62"/>
      <c r="AI64" s="62"/>
    </row>
    <row r="65" ht="14.25" customHeight="1">
      <c r="Z65" s="62"/>
      <c r="AA65" s="62"/>
      <c r="AB65" s="62"/>
      <c r="AC65" s="62"/>
      <c r="AD65" s="62"/>
      <c r="AE65" s="62"/>
      <c r="AF65" s="62"/>
      <c r="AG65" s="62"/>
      <c r="AH65" s="62"/>
      <c r="AI65" s="62"/>
    </row>
    <row r="66" ht="14.25" customHeight="1">
      <c r="Z66" s="62"/>
      <c r="AA66" s="62"/>
      <c r="AB66" s="62"/>
      <c r="AC66" s="62"/>
      <c r="AD66" s="62"/>
      <c r="AE66" s="62"/>
      <c r="AF66" s="62"/>
      <c r="AG66" s="62"/>
      <c r="AH66" s="62"/>
      <c r="AI66" s="62"/>
    </row>
    <row r="67" ht="14.25" customHeight="1">
      <c r="Z67" s="62"/>
      <c r="AA67" s="62"/>
      <c r="AB67" s="62"/>
      <c r="AC67" s="62"/>
      <c r="AD67" s="62"/>
      <c r="AE67" s="62"/>
      <c r="AF67" s="62"/>
      <c r="AG67" s="62"/>
      <c r="AH67" s="62"/>
      <c r="AI67" s="62"/>
    </row>
    <row r="68" ht="14.25" customHeight="1">
      <c r="Z68" s="62"/>
      <c r="AA68" s="62"/>
      <c r="AB68" s="62"/>
      <c r="AC68" s="62"/>
      <c r="AD68" s="62"/>
      <c r="AE68" s="62"/>
      <c r="AF68" s="62"/>
      <c r="AG68" s="62"/>
      <c r="AH68" s="62"/>
      <c r="AI68" s="62"/>
    </row>
    <row r="69" ht="14.25" customHeight="1">
      <c r="Z69" s="62"/>
      <c r="AA69" s="62"/>
      <c r="AB69" s="62"/>
      <c r="AC69" s="62"/>
      <c r="AD69" s="62"/>
      <c r="AE69" s="62"/>
      <c r="AF69" s="62"/>
      <c r="AG69" s="62"/>
      <c r="AH69" s="62"/>
      <c r="AI69" s="62"/>
    </row>
    <row r="70" ht="14.25" customHeight="1">
      <c r="Z70" s="62"/>
      <c r="AA70" s="62"/>
      <c r="AB70" s="62"/>
      <c r="AC70" s="62"/>
      <c r="AD70" s="62"/>
      <c r="AE70" s="62"/>
      <c r="AF70" s="62"/>
      <c r="AG70" s="62"/>
      <c r="AH70" s="62"/>
      <c r="AI70" s="62"/>
    </row>
    <row r="71" ht="14.25" customHeight="1">
      <c r="Z71" s="62"/>
      <c r="AA71" s="62"/>
      <c r="AB71" s="62"/>
      <c r="AC71" s="62"/>
      <c r="AD71" s="62"/>
      <c r="AE71" s="62"/>
      <c r="AF71" s="62"/>
      <c r="AG71" s="62"/>
      <c r="AH71" s="62"/>
      <c r="AI71" s="62"/>
    </row>
    <row r="72" ht="14.25" customHeight="1">
      <c r="Z72" s="62"/>
      <c r="AA72" s="62"/>
      <c r="AB72" s="62"/>
      <c r="AC72" s="62"/>
      <c r="AD72" s="62"/>
      <c r="AE72" s="62"/>
      <c r="AF72" s="62"/>
      <c r="AG72" s="62"/>
      <c r="AH72" s="62"/>
      <c r="AI72" s="62"/>
    </row>
    <row r="73" ht="14.25" customHeight="1">
      <c r="Z73" s="62"/>
      <c r="AA73" s="62"/>
      <c r="AB73" s="62"/>
      <c r="AC73" s="62"/>
      <c r="AD73" s="62"/>
      <c r="AE73" s="62"/>
      <c r="AF73" s="62"/>
      <c r="AG73" s="62"/>
      <c r="AH73" s="62"/>
      <c r="AI73" s="62"/>
    </row>
    <row r="74" ht="14.25" customHeight="1">
      <c r="Z74" s="62"/>
      <c r="AA74" s="62"/>
      <c r="AB74" s="62"/>
      <c r="AC74" s="62"/>
      <c r="AD74" s="62"/>
      <c r="AE74" s="62"/>
      <c r="AF74" s="62"/>
      <c r="AG74" s="62"/>
      <c r="AH74" s="62"/>
      <c r="AI74" s="62"/>
    </row>
    <row r="75" ht="14.25" customHeight="1">
      <c r="Z75" s="62"/>
      <c r="AA75" s="62"/>
      <c r="AB75" s="62"/>
      <c r="AC75" s="62"/>
      <c r="AD75" s="62"/>
      <c r="AE75" s="62"/>
      <c r="AF75" s="62"/>
      <c r="AG75" s="62"/>
      <c r="AH75" s="62"/>
      <c r="AI75" s="62"/>
    </row>
    <row r="76" ht="14.25" customHeight="1">
      <c r="Z76" s="62"/>
      <c r="AA76" s="62"/>
      <c r="AB76" s="62"/>
      <c r="AC76" s="62"/>
      <c r="AD76" s="62"/>
      <c r="AE76" s="62"/>
      <c r="AF76" s="62"/>
      <c r="AG76" s="62"/>
      <c r="AH76" s="62"/>
      <c r="AI76" s="62"/>
    </row>
    <row r="77" ht="14.25" customHeight="1">
      <c r="Z77" s="62"/>
      <c r="AA77" s="62"/>
      <c r="AB77" s="62"/>
      <c r="AC77" s="62"/>
      <c r="AD77" s="62"/>
      <c r="AE77" s="62"/>
      <c r="AF77" s="62"/>
      <c r="AG77" s="62"/>
      <c r="AH77" s="62"/>
      <c r="AI77" s="62"/>
    </row>
    <row r="78" ht="14.25" customHeight="1">
      <c r="Z78" s="62"/>
      <c r="AA78" s="62"/>
      <c r="AB78" s="62"/>
      <c r="AC78" s="62"/>
      <c r="AD78" s="62"/>
      <c r="AE78" s="62"/>
      <c r="AF78" s="62"/>
      <c r="AG78" s="62"/>
      <c r="AH78" s="62"/>
      <c r="AI78" s="62"/>
    </row>
    <row r="79" ht="14.25" customHeight="1">
      <c r="Z79" s="62"/>
      <c r="AA79" s="62"/>
      <c r="AB79" s="62"/>
      <c r="AC79" s="62"/>
      <c r="AD79" s="62"/>
      <c r="AE79" s="62"/>
      <c r="AF79" s="62"/>
      <c r="AG79" s="62"/>
      <c r="AH79" s="62"/>
      <c r="AI79" s="62"/>
    </row>
    <row r="80" ht="14.25" customHeight="1">
      <c r="Z80" s="62"/>
      <c r="AA80" s="62"/>
      <c r="AB80" s="62"/>
      <c r="AC80" s="62"/>
      <c r="AD80" s="62"/>
      <c r="AE80" s="62"/>
      <c r="AF80" s="62"/>
      <c r="AG80" s="62"/>
      <c r="AH80" s="62"/>
      <c r="AI80" s="62"/>
    </row>
    <row r="81" ht="14.25" customHeight="1">
      <c r="Z81" s="62"/>
      <c r="AA81" s="62"/>
      <c r="AB81" s="62"/>
      <c r="AC81" s="62"/>
      <c r="AD81" s="62"/>
      <c r="AE81" s="62"/>
      <c r="AF81" s="62"/>
      <c r="AG81" s="62"/>
      <c r="AH81" s="62"/>
      <c r="AI81" s="62"/>
    </row>
    <row r="82" ht="14.25" customHeight="1">
      <c r="Z82" s="62"/>
      <c r="AA82" s="62"/>
      <c r="AB82" s="62"/>
      <c r="AC82" s="62"/>
      <c r="AD82" s="62"/>
      <c r="AE82" s="62"/>
      <c r="AF82" s="62"/>
      <c r="AG82" s="62"/>
      <c r="AH82" s="62"/>
      <c r="AI82" s="62"/>
    </row>
    <row r="83" ht="14.25" customHeight="1">
      <c r="Z83" s="62"/>
      <c r="AA83" s="62"/>
      <c r="AB83" s="62"/>
      <c r="AC83" s="62"/>
      <c r="AD83" s="62"/>
      <c r="AE83" s="62"/>
      <c r="AF83" s="62"/>
      <c r="AG83" s="62"/>
      <c r="AH83" s="62"/>
      <c r="AI83" s="62"/>
    </row>
    <row r="84" ht="14.25" customHeight="1">
      <c r="Z84" s="62"/>
      <c r="AA84" s="62"/>
      <c r="AB84" s="62"/>
      <c r="AC84" s="62"/>
      <c r="AD84" s="62"/>
      <c r="AE84" s="62"/>
      <c r="AF84" s="62"/>
      <c r="AG84" s="62"/>
      <c r="AH84" s="62"/>
      <c r="AI84" s="62"/>
    </row>
    <row r="85" ht="14.25" customHeight="1">
      <c r="Z85" s="62"/>
      <c r="AA85" s="62"/>
      <c r="AB85" s="62"/>
      <c r="AC85" s="62"/>
      <c r="AD85" s="62"/>
      <c r="AE85" s="62"/>
      <c r="AF85" s="62"/>
      <c r="AG85" s="62"/>
      <c r="AH85" s="62"/>
      <c r="AI85" s="62"/>
    </row>
    <row r="86" ht="14.25" customHeight="1">
      <c r="Z86" s="62"/>
      <c r="AA86" s="62"/>
      <c r="AB86" s="62"/>
      <c r="AC86" s="62"/>
      <c r="AD86" s="62"/>
      <c r="AE86" s="62"/>
      <c r="AF86" s="62"/>
      <c r="AG86" s="62"/>
      <c r="AH86" s="62"/>
      <c r="AI86" s="62"/>
    </row>
    <row r="87" ht="14.25" customHeight="1">
      <c r="Z87" s="62"/>
      <c r="AA87" s="62"/>
      <c r="AB87" s="62"/>
      <c r="AC87" s="62"/>
      <c r="AD87" s="62"/>
      <c r="AE87" s="62"/>
      <c r="AF87" s="62"/>
      <c r="AG87" s="62"/>
      <c r="AH87" s="62"/>
      <c r="AI87" s="62"/>
    </row>
    <row r="88" ht="14.25" customHeight="1">
      <c r="Z88" s="62"/>
      <c r="AA88" s="62"/>
      <c r="AB88" s="62"/>
      <c r="AC88" s="62"/>
      <c r="AD88" s="62"/>
      <c r="AE88" s="62"/>
      <c r="AF88" s="62"/>
      <c r="AG88" s="62"/>
      <c r="AH88" s="62"/>
      <c r="AI88" s="62"/>
    </row>
    <row r="89" ht="14.25" customHeight="1">
      <c r="Z89" s="62"/>
      <c r="AA89" s="62"/>
      <c r="AB89" s="62"/>
      <c r="AC89" s="62"/>
      <c r="AD89" s="62"/>
      <c r="AE89" s="62"/>
      <c r="AF89" s="62"/>
      <c r="AG89" s="62"/>
      <c r="AH89" s="62"/>
      <c r="AI89" s="62"/>
    </row>
    <row r="90" ht="14.25" customHeight="1">
      <c r="Z90" s="62"/>
      <c r="AA90" s="62"/>
      <c r="AB90" s="62"/>
      <c r="AC90" s="62"/>
      <c r="AD90" s="62"/>
      <c r="AE90" s="62"/>
      <c r="AF90" s="62"/>
      <c r="AG90" s="62"/>
      <c r="AH90" s="62"/>
      <c r="AI90" s="62"/>
    </row>
    <row r="91" ht="14.25" customHeight="1">
      <c r="Z91" s="62"/>
      <c r="AA91" s="62"/>
      <c r="AB91" s="62"/>
      <c r="AC91" s="62"/>
      <c r="AD91" s="62"/>
      <c r="AE91" s="62"/>
      <c r="AF91" s="62"/>
      <c r="AG91" s="62"/>
      <c r="AH91" s="62"/>
      <c r="AI91" s="62"/>
    </row>
    <row r="92" ht="14.25" customHeight="1">
      <c r="Z92" s="62"/>
      <c r="AA92" s="62"/>
      <c r="AB92" s="62"/>
      <c r="AC92" s="62"/>
      <c r="AD92" s="62"/>
      <c r="AE92" s="62"/>
      <c r="AF92" s="62"/>
      <c r="AG92" s="62"/>
      <c r="AH92" s="62"/>
      <c r="AI92" s="62"/>
    </row>
    <row r="93" ht="14.25" customHeight="1">
      <c r="Z93" s="62"/>
      <c r="AA93" s="62"/>
      <c r="AB93" s="62"/>
      <c r="AC93" s="62"/>
      <c r="AD93" s="62"/>
      <c r="AE93" s="62"/>
      <c r="AF93" s="62"/>
      <c r="AG93" s="62"/>
      <c r="AH93" s="62"/>
      <c r="AI93" s="62"/>
    </row>
    <row r="94" ht="14.25" customHeight="1">
      <c r="Z94" s="62"/>
      <c r="AA94" s="62"/>
      <c r="AB94" s="62"/>
      <c r="AC94" s="62"/>
      <c r="AD94" s="62"/>
      <c r="AE94" s="62"/>
      <c r="AF94" s="62"/>
      <c r="AG94" s="62"/>
      <c r="AH94" s="62"/>
      <c r="AI94" s="62"/>
    </row>
    <row r="95" ht="14.25" customHeight="1">
      <c r="Z95" s="62"/>
      <c r="AA95" s="62"/>
      <c r="AB95" s="62"/>
      <c r="AC95" s="62"/>
      <c r="AD95" s="62"/>
      <c r="AE95" s="62"/>
      <c r="AF95" s="62"/>
      <c r="AG95" s="62"/>
      <c r="AH95" s="62"/>
      <c r="AI95" s="62"/>
    </row>
    <row r="96" ht="14.25" customHeight="1">
      <c r="Z96" s="62"/>
      <c r="AA96" s="62"/>
      <c r="AB96" s="62"/>
      <c r="AC96" s="62"/>
      <c r="AD96" s="62"/>
      <c r="AE96" s="62"/>
      <c r="AF96" s="62"/>
      <c r="AG96" s="62"/>
      <c r="AH96" s="62"/>
      <c r="AI96" s="62"/>
    </row>
    <row r="97" ht="14.25" customHeight="1">
      <c r="Z97" s="62"/>
      <c r="AA97" s="62"/>
      <c r="AB97" s="62"/>
      <c r="AC97" s="62"/>
      <c r="AD97" s="62"/>
      <c r="AE97" s="62"/>
      <c r="AF97" s="62"/>
      <c r="AG97" s="62"/>
      <c r="AH97" s="62"/>
      <c r="AI97" s="62"/>
    </row>
    <row r="98" ht="14.25" customHeight="1">
      <c r="Z98" s="62"/>
      <c r="AA98" s="62"/>
      <c r="AB98" s="62"/>
      <c r="AC98" s="62"/>
      <c r="AD98" s="62"/>
      <c r="AE98" s="62"/>
      <c r="AF98" s="62"/>
      <c r="AG98" s="62"/>
      <c r="AH98" s="62"/>
      <c r="AI98" s="62"/>
    </row>
    <row r="99" ht="14.25" customHeight="1">
      <c r="Z99" s="62"/>
      <c r="AA99" s="62"/>
      <c r="AB99" s="62"/>
      <c r="AC99" s="62"/>
      <c r="AD99" s="62"/>
      <c r="AE99" s="62"/>
      <c r="AF99" s="62"/>
      <c r="AG99" s="62"/>
      <c r="AH99" s="62"/>
      <c r="AI99" s="62"/>
    </row>
    <row r="100" ht="14.25" customHeight="1">
      <c r="Z100" s="62"/>
      <c r="AA100" s="62"/>
      <c r="AB100" s="62"/>
      <c r="AC100" s="62"/>
      <c r="AD100" s="62"/>
      <c r="AE100" s="62"/>
      <c r="AF100" s="62"/>
      <c r="AG100" s="62"/>
      <c r="AH100" s="62"/>
      <c r="AI100" s="62"/>
    </row>
    <row r="101" ht="14.25" customHeight="1">
      <c r="Z101" s="62"/>
      <c r="AA101" s="62"/>
      <c r="AB101" s="62"/>
      <c r="AC101" s="62"/>
      <c r="AD101" s="62"/>
      <c r="AE101" s="62"/>
      <c r="AF101" s="62"/>
      <c r="AG101" s="62"/>
      <c r="AH101" s="62"/>
      <c r="AI101" s="62"/>
    </row>
    <row r="102" ht="14.25" customHeight="1">
      <c r="Z102" s="62"/>
      <c r="AA102" s="62"/>
      <c r="AB102" s="62"/>
      <c r="AC102" s="62"/>
      <c r="AD102" s="62"/>
      <c r="AE102" s="62"/>
      <c r="AF102" s="62"/>
      <c r="AG102" s="62"/>
      <c r="AH102" s="62"/>
      <c r="AI102" s="62"/>
    </row>
    <row r="103" ht="14.25" customHeight="1">
      <c r="Z103" s="62"/>
      <c r="AA103" s="62"/>
      <c r="AB103" s="62"/>
      <c r="AC103" s="62"/>
      <c r="AD103" s="62"/>
      <c r="AE103" s="62"/>
      <c r="AF103" s="62"/>
      <c r="AG103" s="62"/>
      <c r="AH103" s="62"/>
      <c r="AI103" s="62"/>
    </row>
    <row r="104" ht="14.25" customHeight="1">
      <c r="Z104" s="62"/>
      <c r="AA104" s="62"/>
      <c r="AB104" s="62"/>
      <c r="AC104" s="62"/>
      <c r="AD104" s="62"/>
      <c r="AE104" s="62"/>
      <c r="AF104" s="62"/>
      <c r="AG104" s="62"/>
      <c r="AH104" s="62"/>
      <c r="AI104" s="62"/>
    </row>
    <row r="105" ht="14.25" customHeight="1">
      <c r="Z105" s="62"/>
      <c r="AA105" s="62"/>
      <c r="AB105" s="62"/>
      <c r="AC105" s="62"/>
      <c r="AD105" s="62"/>
      <c r="AE105" s="62"/>
      <c r="AF105" s="62"/>
      <c r="AG105" s="62"/>
      <c r="AH105" s="62"/>
      <c r="AI105" s="62"/>
    </row>
    <row r="106" ht="14.25" customHeight="1">
      <c r="Z106" s="62"/>
      <c r="AA106" s="62"/>
      <c r="AB106" s="62"/>
      <c r="AC106" s="62"/>
      <c r="AD106" s="62"/>
      <c r="AE106" s="62"/>
      <c r="AF106" s="62"/>
      <c r="AG106" s="62"/>
      <c r="AH106" s="62"/>
      <c r="AI106" s="62"/>
    </row>
    <row r="107" ht="14.25" customHeight="1">
      <c r="Z107" s="62"/>
      <c r="AA107" s="62"/>
      <c r="AB107" s="62"/>
      <c r="AC107" s="62"/>
      <c r="AD107" s="62"/>
      <c r="AE107" s="62"/>
      <c r="AF107" s="62"/>
      <c r="AG107" s="62"/>
      <c r="AH107" s="62"/>
      <c r="AI107" s="62"/>
    </row>
    <row r="108" ht="14.25" customHeight="1">
      <c r="Z108" s="62"/>
      <c r="AA108" s="62"/>
      <c r="AB108" s="62"/>
      <c r="AC108" s="62"/>
      <c r="AD108" s="62"/>
      <c r="AE108" s="62"/>
      <c r="AF108" s="62"/>
      <c r="AG108" s="62"/>
      <c r="AH108" s="62"/>
      <c r="AI108" s="62"/>
    </row>
    <row r="109" ht="14.25" customHeight="1">
      <c r="Z109" s="62"/>
      <c r="AA109" s="62"/>
      <c r="AB109" s="62"/>
      <c r="AC109" s="62"/>
      <c r="AD109" s="62"/>
      <c r="AE109" s="62"/>
      <c r="AF109" s="62"/>
      <c r="AG109" s="62"/>
      <c r="AH109" s="62"/>
      <c r="AI109" s="62"/>
    </row>
    <row r="110" ht="14.25" customHeight="1">
      <c r="Z110" s="62"/>
      <c r="AA110" s="62"/>
      <c r="AB110" s="62"/>
      <c r="AC110" s="62"/>
      <c r="AD110" s="62"/>
      <c r="AE110" s="62"/>
      <c r="AF110" s="62"/>
      <c r="AG110" s="62"/>
      <c r="AH110" s="62"/>
      <c r="AI110" s="62"/>
    </row>
    <row r="111" ht="14.25" customHeight="1">
      <c r="Z111" s="62"/>
      <c r="AA111" s="62"/>
      <c r="AB111" s="62"/>
      <c r="AC111" s="62"/>
      <c r="AD111" s="62"/>
      <c r="AE111" s="62"/>
      <c r="AF111" s="62"/>
      <c r="AG111" s="62"/>
      <c r="AH111" s="62"/>
      <c r="AI111" s="62"/>
    </row>
    <row r="112" ht="14.25" customHeight="1">
      <c r="Z112" s="62"/>
      <c r="AA112" s="62"/>
      <c r="AB112" s="62"/>
      <c r="AC112" s="62"/>
      <c r="AD112" s="62"/>
      <c r="AE112" s="62"/>
      <c r="AF112" s="62"/>
      <c r="AG112" s="62"/>
      <c r="AH112" s="62"/>
      <c r="AI112" s="62"/>
    </row>
    <row r="113" ht="14.25" customHeight="1">
      <c r="Z113" s="62"/>
      <c r="AA113" s="62"/>
      <c r="AB113" s="62"/>
      <c r="AC113" s="62"/>
      <c r="AD113" s="62"/>
      <c r="AE113" s="62"/>
      <c r="AF113" s="62"/>
      <c r="AG113" s="62"/>
      <c r="AH113" s="62"/>
      <c r="AI113" s="62"/>
    </row>
    <row r="114" ht="14.25" customHeight="1">
      <c r="Z114" s="62"/>
      <c r="AA114" s="62"/>
      <c r="AB114" s="62"/>
      <c r="AC114" s="62"/>
      <c r="AD114" s="62"/>
      <c r="AE114" s="62"/>
      <c r="AF114" s="62"/>
      <c r="AG114" s="62"/>
      <c r="AH114" s="62"/>
      <c r="AI114" s="62"/>
    </row>
    <row r="115" ht="14.25" customHeight="1">
      <c r="Z115" s="62"/>
      <c r="AA115" s="62"/>
      <c r="AB115" s="62"/>
      <c r="AC115" s="62"/>
      <c r="AD115" s="62"/>
      <c r="AE115" s="62"/>
      <c r="AF115" s="62"/>
      <c r="AG115" s="62"/>
      <c r="AH115" s="62"/>
      <c r="AI115" s="62"/>
    </row>
    <row r="116" ht="14.25" customHeight="1">
      <c r="Z116" s="62"/>
      <c r="AA116" s="62"/>
      <c r="AB116" s="62"/>
      <c r="AC116" s="62"/>
      <c r="AD116" s="62"/>
      <c r="AE116" s="62"/>
      <c r="AF116" s="62"/>
      <c r="AG116" s="62"/>
      <c r="AH116" s="62"/>
      <c r="AI116" s="62"/>
    </row>
    <row r="117" ht="14.25" customHeight="1">
      <c r="Z117" s="62"/>
      <c r="AA117" s="62"/>
      <c r="AB117" s="62"/>
      <c r="AC117" s="62"/>
      <c r="AD117" s="62"/>
      <c r="AE117" s="62"/>
      <c r="AF117" s="62"/>
      <c r="AG117" s="62"/>
      <c r="AH117" s="62"/>
      <c r="AI117" s="62"/>
    </row>
    <row r="118" ht="14.25" customHeight="1">
      <c r="Z118" s="62"/>
      <c r="AA118" s="62"/>
      <c r="AB118" s="62"/>
      <c r="AC118" s="62"/>
      <c r="AD118" s="62"/>
      <c r="AE118" s="62"/>
      <c r="AF118" s="62"/>
      <c r="AG118" s="62"/>
      <c r="AH118" s="62"/>
      <c r="AI118" s="62"/>
    </row>
    <row r="119" ht="14.25" customHeight="1">
      <c r="Z119" s="62"/>
      <c r="AA119" s="62"/>
      <c r="AB119" s="62"/>
      <c r="AC119" s="62"/>
      <c r="AD119" s="62"/>
      <c r="AE119" s="62"/>
      <c r="AF119" s="62"/>
      <c r="AG119" s="62"/>
      <c r="AH119" s="62"/>
      <c r="AI119" s="62"/>
    </row>
    <row r="120" ht="14.25" customHeight="1">
      <c r="Z120" s="62"/>
      <c r="AA120" s="62"/>
      <c r="AB120" s="62"/>
      <c r="AC120" s="62"/>
      <c r="AD120" s="62"/>
      <c r="AE120" s="62"/>
      <c r="AF120" s="62"/>
      <c r="AG120" s="62"/>
      <c r="AH120" s="62"/>
      <c r="AI120" s="62"/>
    </row>
    <row r="121" ht="14.25" customHeight="1">
      <c r="Z121" s="62"/>
      <c r="AA121" s="62"/>
      <c r="AB121" s="62"/>
      <c r="AC121" s="62"/>
      <c r="AD121" s="62"/>
      <c r="AE121" s="62"/>
      <c r="AF121" s="62"/>
      <c r="AG121" s="62"/>
      <c r="AH121" s="62"/>
      <c r="AI121" s="62"/>
    </row>
    <row r="122" ht="14.25" customHeight="1">
      <c r="Z122" s="62"/>
      <c r="AA122" s="62"/>
      <c r="AB122" s="62"/>
      <c r="AC122" s="62"/>
      <c r="AD122" s="62"/>
      <c r="AE122" s="62"/>
      <c r="AF122" s="62"/>
      <c r="AG122" s="62"/>
      <c r="AH122" s="62"/>
      <c r="AI122" s="62"/>
    </row>
    <row r="123" ht="14.25" customHeight="1">
      <c r="Z123" s="62"/>
      <c r="AA123" s="62"/>
      <c r="AB123" s="62"/>
      <c r="AC123" s="62"/>
      <c r="AD123" s="62"/>
      <c r="AE123" s="62"/>
      <c r="AF123" s="62"/>
      <c r="AG123" s="62"/>
      <c r="AH123" s="62"/>
      <c r="AI123" s="62"/>
    </row>
    <row r="124" ht="14.25" customHeight="1">
      <c r="Z124" s="62"/>
      <c r="AA124" s="62"/>
      <c r="AB124" s="62"/>
      <c r="AC124" s="62"/>
      <c r="AD124" s="62"/>
      <c r="AE124" s="62"/>
      <c r="AF124" s="62"/>
      <c r="AG124" s="62"/>
      <c r="AH124" s="62"/>
      <c r="AI124" s="62"/>
    </row>
    <row r="125" ht="14.25" customHeight="1">
      <c r="Z125" s="62"/>
      <c r="AA125" s="62"/>
      <c r="AB125" s="62"/>
      <c r="AC125" s="62"/>
      <c r="AD125" s="62"/>
      <c r="AE125" s="62"/>
      <c r="AF125" s="62"/>
      <c r="AG125" s="62"/>
      <c r="AH125" s="62"/>
      <c r="AI125" s="62"/>
    </row>
    <row r="126" ht="14.25" customHeight="1">
      <c r="Z126" s="62"/>
      <c r="AA126" s="62"/>
      <c r="AB126" s="62"/>
      <c r="AC126" s="62"/>
      <c r="AD126" s="62"/>
      <c r="AE126" s="62"/>
      <c r="AF126" s="62"/>
      <c r="AG126" s="62"/>
      <c r="AH126" s="62"/>
      <c r="AI126" s="62"/>
    </row>
    <row r="127" ht="14.25" customHeight="1">
      <c r="Z127" s="62"/>
      <c r="AA127" s="62"/>
      <c r="AB127" s="62"/>
      <c r="AC127" s="62"/>
      <c r="AD127" s="62"/>
      <c r="AE127" s="62"/>
      <c r="AF127" s="62"/>
      <c r="AG127" s="62"/>
      <c r="AH127" s="62"/>
      <c r="AI127" s="62"/>
    </row>
    <row r="128" ht="14.25" customHeight="1">
      <c r="Z128" s="62"/>
      <c r="AA128" s="62"/>
      <c r="AB128" s="62"/>
      <c r="AC128" s="62"/>
      <c r="AD128" s="62"/>
      <c r="AE128" s="62"/>
      <c r="AF128" s="62"/>
      <c r="AG128" s="62"/>
      <c r="AH128" s="62"/>
      <c r="AI128" s="62"/>
    </row>
    <row r="129" ht="14.25" customHeight="1">
      <c r="Z129" s="62"/>
      <c r="AA129" s="62"/>
      <c r="AB129" s="62"/>
      <c r="AC129" s="62"/>
      <c r="AD129" s="62"/>
      <c r="AE129" s="62"/>
      <c r="AF129" s="62"/>
      <c r="AG129" s="62"/>
      <c r="AH129" s="62"/>
      <c r="AI129" s="62"/>
    </row>
    <row r="130" ht="14.25" customHeight="1">
      <c r="Z130" s="62"/>
      <c r="AA130" s="62"/>
      <c r="AB130" s="62"/>
      <c r="AC130" s="62"/>
      <c r="AD130" s="62"/>
      <c r="AE130" s="62"/>
      <c r="AF130" s="62"/>
      <c r="AG130" s="62"/>
      <c r="AH130" s="62"/>
      <c r="AI130" s="62"/>
    </row>
    <row r="131" ht="14.25" customHeight="1">
      <c r="Z131" s="62"/>
      <c r="AA131" s="62"/>
      <c r="AB131" s="62"/>
      <c r="AC131" s="62"/>
      <c r="AD131" s="62"/>
      <c r="AE131" s="62"/>
      <c r="AF131" s="62"/>
      <c r="AG131" s="62"/>
      <c r="AH131" s="62"/>
      <c r="AI131" s="62"/>
    </row>
    <row r="132" ht="14.25" customHeight="1">
      <c r="Z132" s="62"/>
      <c r="AA132" s="62"/>
      <c r="AB132" s="62"/>
      <c r="AC132" s="62"/>
      <c r="AD132" s="62"/>
      <c r="AE132" s="62"/>
      <c r="AF132" s="62"/>
      <c r="AG132" s="62"/>
      <c r="AH132" s="62"/>
      <c r="AI132" s="62"/>
    </row>
    <row r="133" ht="14.25" customHeight="1">
      <c r="Z133" s="62"/>
      <c r="AA133" s="62"/>
      <c r="AB133" s="62"/>
      <c r="AC133" s="62"/>
      <c r="AD133" s="62"/>
      <c r="AE133" s="62"/>
      <c r="AF133" s="62"/>
      <c r="AG133" s="62"/>
      <c r="AH133" s="62"/>
      <c r="AI133" s="62"/>
    </row>
    <row r="134" ht="14.25" customHeight="1">
      <c r="Z134" s="62"/>
      <c r="AA134" s="62"/>
      <c r="AB134" s="62"/>
      <c r="AC134" s="62"/>
      <c r="AD134" s="62"/>
      <c r="AE134" s="62"/>
      <c r="AF134" s="62"/>
      <c r="AG134" s="62"/>
      <c r="AH134" s="62"/>
      <c r="AI134" s="62"/>
    </row>
    <row r="135" ht="14.25" customHeight="1">
      <c r="Z135" s="62"/>
      <c r="AA135" s="62"/>
      <c r="AB135" s="62"/>
      <c r="AC135" s="62"/>
      <c r="AD135" s="62"/>
      <c r="AE135" s="62"/>
      <c r="AF135" s="62"/>
      <c r="AG135" s="62"/>
      <c r="AH135" s="62"/>
      <c r="AI135" s="62"/>
    </row>
    <row r="136" ht="14.25" customHeight="1">
      <c r="Z136" s="62"/>
      <c r="AA136" s="62"/>
      <c r="AB136" s="62"/>
      <c r="AC136" s="62"/>
      <c r="AD136" s="62"/>
      <c r="AE136" s="62"/>
      <c r="AF136" s="62"/>
      <c r="AG136" s="62"/>
      <c r="AH136" s="62"/>
      <c r="AI136" s="62"/>
    </row>
    <row r="137" ht="14.25" customHeight="1">
      <c r="Z137" s="62"/>
      <c r="AA137" s="62"/>
      <c r="AB137" s="62"/>
      <c r="AC137" s="62"/>
      <c r="AD137" s="62"/>
      <c r="AE137" s="62"/>
      <c r="AF137" s="62"/>
      <c r="AG137" s="62"/>
      <c r="AH137" s="62"/>
      <c r="AI137" s="62"/>
    </row>
    <row r="138" ht="14.25" customHeight="1">
      <c r="Z138" s="62"/>
      <c r="AA138" s="62"/>
      <c r="AB138" s="62"/>
      <c r="AC138" s="62"/>
      <c r="AD138" s="62"/>
      <c r="AE138" s="62"/>
      <c r="AF138" s="62"/>
      <c r="AG138" s="62"/>
      <c r="AH138" s="62"/>
      <c r="AI138" s="62"/>
    </row>
    <row r="139" ht="14.25" customHeight="1">
      <c r="Z139" s="62"/>
      <c r="AA139" s="62"/>
      <c r="AB139" s="62"/>
      <c r="AC139" s="62"/>
      <c r="AD139" s="62"/>
      <c r="AE139" s="62"/>
      <c r="AF139" s="62"/>
      <c r="AG139" s="62"/>
      <c r="AH139" s="62"/>
      <c r="AI139" s="62"/>
    </row>
    <row r="140" ht="14.25" customHeight="1">
      <c r="Z140" s="62"/>
      <c r="AA140" s="62"/>
      <c r="AB140" s="62"/>
      <c r="AC140" s="62"/>
      <c r="AD140" s="62"/>
      <c r="AE140" s="62"/>
      <c r="AF140" s="62"/>
      <c r="AG140" s="62"/>
      <c r="AH140" s="62"/>
      <c r="AI140" s="62"/>
    </row>
    <row r="141" ht="14.25" customHeight="1">
      <c r="Z141" s="62"/>
      <c r="AA141" s="62"/>
      <c r="AB141" s="62"/>
      <c r="AC141" s="62"/>
      <c r="AD141" s="62"/>
      <c r="AE141" s="62"/>
      <c r="AF141" s="62"/>
      <c r="AG141" s="62"/>
      <c r="AH141" s="62"/>
      <c r="AI141" s="62"/>
    </row>
    <row r="142" ht="14.25" customHeight="1">
      <c r="Z142" s="62"/>
      <c r="AA142" s="62"/>
      <c r="AB142" s="62"/>
      <c r="AC142" s="62"/>
      <c r="AD142" s="62"/>
      <c r="AE142" s="62"/>
      <c r="AF142" s="62"/>
      <c r="AG142" s="62"/>
      <c r="AH142" s="62"/>
      <c r="AI142" s="62"/>
    </row>
    <row r="143" ht="14.25" customHeight="1">
      <c r="Z143" s="62"/>
      <c r="AA143" s="62"/>
      <c r="AB143" s="62"/>
      <c r="AC143" s="62"/>
      <c r="AD143" s="62"/>
      <c r="AE143" s="62"/>
      <c r="AF143" s="62"/>
      <c r="AG143" s="62"/>
      <c r="AH143" s="62"/>
      <c r="AI143" s="62"/>
    </row>
    <row r="144" ht="14.25" customHeight="1">
      <c r="Z144" s="62"/>
      <c r="AA144" s="62"/>
      <c r="AB144" s="62"/>
      <c r="AC144" s="62"/>
      <c r="AD144" s="62"/>
      <c r="AE144" s="62"/>
      <c r="AF144" s="62"/>
      <c r="AG144" s="62"/>
      <c r="AH144" s="62"/>
      <c r="AI144" s="62"/>
    </row>
    <row r="145" ht="14.25" customHeight="1">
      <c r="Z145" s="62"/>
      <c r="AA145" s="62"/>
      <c r="AB145" s="62"/>
      <c r="AC145" s="62"/>
      <c r="AD145" s="62"/>
      <c r="AE145" s="62"/>
      <c r="AF145" s="62"/>
      <c r="AG145" s="62"/>
      <c r="AH145" s="62"/>
      <c r="AI145" s="62"/>
    </row>
    <row r="146" ht="14.25" customHeight="1">
      <c r="Z146" s="62"/>
      <c r="AA146" s="62"/>
      <c r="AB146" s="62"/>
      <c r="AC146" s="62"/>
      <c r="AD146" s="62"/>
      <c r="AE146" s="62"/>
      <c r="AF146" s="62"/>
      <c r="AG146" s="62"/>
      <c r="AH146" s="62"/>
      <c r="AI146" s="62"/>
    </row>
    <row r="147" ht="14.25" customHeight="1">
      <c r="Z147" s="62"/>
      <c r="AA147" s="62"/>
      <c r="AB147" s="62"/>
      <c r="AC147" s="62"/>
      <c r="AD147" s="62"/>
      <c r="AE147" s="62"/>
      <c r="AF147" s="62"/>
      <c r="AG147" s="62"/>
      <c r="AH147" s="62"/>
      <c r="AI147" s="62"/>
    </row>
    <row r="148" ht="14.25" customHeight="1">
      <c r="Z148" s="62"/>
      <c r="AA148" s="62"/>
      <c r="AB148" s="62"/>
      <c r="AC148" s="62"/>
      <c r="AD148" s="62"/>
      <c r="AE148" s="62"/>
      <c r="AF148" s="62"/>
      <c r="AG148" s="62"/>
      <c r="AH148" s="62"/>
      <c r="AI148" s="62"/>
    </row>
    <row r="149" ht="14.25" customHeight="1">
      <c r="Z149" s="62"/>
      <c r="AA149" s="62"/>
      <c r="AB149" s="62"/>
      <c r="AC149" s="62"/>
      <c r="AD149" s="62"/>
      <c r="AE149" s="62"/>
      <c r="AF149" s="62"/>
      <c r="AG149" s="62"/>
      <c r="AH149" s="62"/>
      <c r="AI149" s="62"/>
    </row>
    <row r="150" ht="14.25" customHeight="1">
      <c r="Z150" s="62"/>
      <c r="AA150" s="62"/>
      <c r="AB150" s="62"/>
      <c r="AC150" s="62"/>
      <c r="AD150" s="62"/>
      <c r="AE150" s="62"/>
      <c r="AF150" s="62"/>
      <c r="AG150" s="62"/>
      <c r="AH150" s="62"/>
      <c r="AI150" s="62"/>
    </row>
    <row r="151" ht="14.25" customHeight="1">
      <c r="Z151" s="62"/>
      <c r="AA151" s="62"/>
      <c r="AB151" s="62"/>
      <c r="AC151" s="62"/>
      <c r="AD151" s="62"/>
      <c r="AE151" s="62"/>
      <c r="AF151" s="62"/>
      <c r="AG151" s="62"/>
      <c r="AH151" s="62"/>
      <c r="AI151" s="62"/>
    </row>
    <row r="152" ht="14.25" customHeight="1">
      <c r="Z152" s="62"/>
      <c r="AA152" s="62"/>
      <c r="AB152" s="62"/>
      <c r="AC152" s="62"/>
      <c r="AD152" s="62"/>
      <c r="AE152" s="62"/>
      <c r="AF152" s="62"/>
      <c r="AG152" s="62"/>
      <c r="AH152" s="62"/>
      <c r="AI152" s="62"/>
    </row>
    <row r="153" ht="14.25" customHeight="1">
      <c r="Z153" s="62"/>
      <c r="AA153" s="62"/>
      <c r="AB153" s="62"/>
      <c r="AC153" s="62"/>
      <c r="AD153" s="62"/>
      <c r="AE153" s="62"/>
      <c r="AF153" s="62"/>
      <c r="AG153" s="62"/>
      <c r="AH153" s="62"/>
      <c r="AI153" s="62"/>
    </row>
    <row r="154" ht="14.25" customHeight="1">
      <c r="Z154" s="62"/>
      <c r="AA154" s="62"/>
      <c r="AB154" s="62"/>
      <c r="AC154" s="62"/>
      <c r="AD154" s="62"/>
      <c r="AE154" s="62"/>
      <c r="AF154" s="62"/>
      <c r="AG154" s="62"/>
      <c r="AH154" s="62"/>
      <c r="AI154" s="62"/>
    </row>
    <row r="155" ht="14.25" customHeight="1">
      <c r="Z155" s="62"/>
      <c r="AA155" s="62"/>
      <c r="AB155" s="62"/>
      <c r="AC155" s="62"/>
      <c r="AD155" s="62"/>
      <c r="AE155" s="62"/>
      <c r="AF155" s="62"/>
      <c r="AG155" s="62"/>
      <c r="AH155" s="62"/>
      <c r="AI155" s="62"/>
    </row>
    <row r="156" ht="14.25" customHeight="1">
      <c r="Z156" s="62"/>
      <c r="AA156" s="62"/>
      <c r="AB156" s="62"/>
      <c r="AC156" s="62"/>
      <c r="AD156" s="62"/>
      <c r="AE156" s="62"/>
      <c r="AF156" s="62"/>
      <c r="AG156" s="62"/>
      <c r="AH156" s="62"/>
      <c r="AI156" s="62"/>
    </row>
    <row r="157" ht="14.25" customHeight="1">
      <c r="Z157" s="62"/>
      <c r="AA157" s="62"/>
      <c r="AB157" s="62"/>
      <c r="AC157" s="62"/>
      <c r="AD157" s="62"/>
      <c r="AE157" s="62"/>
      <c r="AF157" s="62"/>
      <c r="AG157" s="62"/>
      <c r="AH157" s="62"/>
      <c r="AI157" s="62"/>
    </row>
    <row r="158" ht="14.25" customHeight="1">
      <c r="Z158" s="62"/>
      <c r="AA158" s="62"/>
      <c r="AB158" s="62"/>
      <c r="AC158" s="62"/>
      <c r="AD158" s="62"/>
      <c r="AE158" s="62"/>
      <c r="AF158" s="62"/>
      <c r="AG158" s="62"/>
      <c r="AH158" s="62"/>
      <c r="AI158" s="62"/>
    </row>
    <row r="159" ht="14.25" customHeight="1">
      <c r="Z159" s="62"/>
      <c r="AA159" s="62"/>
      <c r="AB159" s="62"/>
      <c r="AC159" s="62"/>
      <c r="AD159" s="62"/>
      <c r="AE159" s="62"/>
      <c r="AF159" s="62"/>
      <c r="AG159" s="62"/>
      <c r="AH159" s="62"/>
      <c r="AI159" s="62"/>
    </row>
    <row r="160" ht="14.25" customHeight="1">
      <c r="Z160" s="62"/>
      <c r="AA160" s="62"/>
      <c r="AB160" s="62"/>
      <c r="AC160" s="62"/>
      <c r="AD160" s="62"/>
      <c r="AE160" s="62"/>
      <c r="AF160" s="62"/>
      <c r="AG160" s="62"/>
      <c r="AH160" s="62"/>
      <c r="AI160" s="62"/>
    </row>
    <row r="161" ht="14.25" customHeight="1">
      <c r="Z161" s="62"/>
      <c r="AA161" s="62"/>
      <c r="AB161" s="62"/>
      <c r="AC161" s="62"/>
      <c r="AD161" s="62"/>
      <c r="AE161" s="62"/>
      <c r="AF161" s="62"/>
      <c r="AG161" s="62"/>
      <c r="AH161" s="62"/>
      <c r="AI161" s="62"/>
    </row>
    <row r="162" ht="14.25" customHeight="1">
      <c r="Z162" s="62"/>
      <c r="AA162" s="62"/>
      <c r="AB162" s="62"/>
      <c r="AC162" s="62"/>
      <c r="AD162" s="62"/>
      <c r="AE162" s="62"/>
      <c r="AF162" s="62"/>
      <c r="AG162" s="62"/>
      <c r="AH162" s="62"/>
      <c r="AI162" s="62"/>
    </row>
    <row r="163" ht="14.25" customHeight="1">
      <c r="Z163" s="62"/>
      <c r="AA163" s="62"/>
      <c r="AB163" s="62"/>
      <c r="AC163" s="62"/>
      <c r="AD163" s="62"/>
      <c r="AE163" s="62"/>
      <c r="AF163" s="62"/>
      <c r="AG163" s="62"/>
      <c r="AH163" s="62"/>
      <c r="AI163" s="62"/>
    </row>
    <row r="164" ht="14.25" customHeight="1">
      <c r="Z164" s="62"/>
      <c r="AA164" s="62"/>
      <c r="AB164" s="62"/>
      <c r="AC164" s="62"/>
      <c r="AD164" s="62"/>
      <c r="AE164" s="62"/>
      <c r="AF164" s="62"/>
      <c r="AG164" s="62"/>
      <c r="AH164" s="62"/>
      <c r="AI164" s="62"/>
    </row>
    <row r="165" ht="14.25" customHeight="1">
      <c r="Z165" s="62"/>
      <c r="AA165" s="62"/>
      <c r="AB165" s="62"/>
      <c r="AC165" s="62"/>
      <c r="AD165" s="62"/>
      <c r="AE165" s="62"/>
      <c r="AF165" s="62"/>
      <c r="AG165" s="62"/>
      <c r="AH165" s="62"/>
      <c r="AI165" s="62"/>
    </row>
    <row r="166" ht="14.25" customHeight="1">
      <c r="Z166" s="62"/>
      <c r="AA166" s="62"/>
      <c r="AB166" s="62"/>
      <c r="AC166" s="62"/>
      <c r="AD166" s="62"/>
      <c r="AE166" s="62"/>
      <c r="AF166" s="62"/>
      <c r="AG166" s="62"/>
      <c r="AH166" s="62"/>
      <c r="AI166" s="62"/>
    </row>
    <row r="167" ht="14.25" customHeight="1">
      <c r="Z167" s="62"/>
      <c r="AA167" s="62"/>
      <c r="AB167" s="62"/>
      <c r="AC167" s="62"/>
      <c r="AD167" s="62"/>
      <c r="AE167" s="62"/>
      <c r="AF167" s="62"/>
      <c r="AG167" s="62"/>
      <c r="AH167" s="62"/>
      <c r="AI167" s="62"/>
    </row>
    <row r="168" ht="14.25" customHeight="1">
      <c r="Z168" s="62"/>
      <c r="AA168" s="62"/>
      <c r="AB168" s="62"/>
      <c r="AC168" s="62"/>
      <c r="AD168" s="62"/>
      <c r="AE168" s="62"/>
      <c r="AF168" s="62"/>
      <c r="AG168" s="62"/>
      <c r="AH168" s="62"/>
      <c r="AI168" s="62"/>
    </row>
    <row r="169" ht="14.25" customHeight="1">
      <c r="Z169" s="62"/>
      <c r="AA169" s="62"/>
      <c r="AB169" s="62"/>
      <c r="AC169" s="62"/>
      <c r="AD169" s="62"/>
      <c r="AE169" s="62"/>
      <c r="AF169" s="62"/>
      <c r="AG169" s="62"/>
      <c r="AH169" s="62"/>
      <c r="AI169" s="62"/>
    </row>
    <row r="170" ht="14.25" customHeight="1">
      <c r="Z170" s="62"/>
      <c r="AA170" s="62"/>
      <c r="AB170" s="62"/>
      <c r="AC170" s="62"/>
      <c r="AD170" s="62"/>
      <c r="AE170" s="62"/>
      <c r="AF170" s="62"/>
      <c r="AG170" s="62"/>
      <c r="AH170" s="62"/>
      <c r="AI170" s="62"/>
    </row>
    <row r="171" ht="14.25" customHeight="1">
      <c r="Z171" s="62"/>
      <c r="AA171" s="62"/>
      <c r="AB171" s="62"/>
      <c r="AC171" s="62"/>
      <c r="AD171" s="62"/>
      <c r="AE171" s="62"/>
      <c r="AF171" s="62"/>
      <c r="AG171" s="62"/>
      <c r="AH171" s="62"/>
      <c r="AI171" s="62"/>
    </row>
    <row r="172" ht="14.25" customHeight="1">
      <c r="Z172" s="62"/>
      <c r="AA172" s="62"/>
      <c r="AB172" s="62"/>
      <c r="AC172" s="62"/>
      <c r="AD172" s="62"/>
      <c r="AE172" s="62"/>
      <c r="AF172" s="62"/>
      <c r="AG172" s="62"/>
      <c r="AH172" s="62"/>
      <c r="AI172" s="62"/>
    </row>
    <row r="173" ht="14.25" customHeight="1">
      <c r="Z173" s="62"/>
      <c r="AA173" s="62"/>
      <c r="AB173" s="62"/>
      <c r="AC173" s="62"/>
      <c r="AD173" s="62"/>
      <c r="AE173" s="62"/>
      <c r="AF173" s="62"/>
      <c r="AG173" s="62"/>
      <c r="AH173" s="62"/>
      <c r="AI173" s="62"/>
    </row>
    <row r="174" ht="14.25" customHeight="1">
      <c r="Z174" s="62"/>
      <c r="AA174" s="62"/>
      <c r="AB174" s="62"/>
      <c r="AC174" s="62"/>
      <c r="AD174" s="62"/>
      <c r="AE174" s="62"/>
      <c r="AF174" s="62"/>
      <c r="AG174" s="62"/>
      <c r="AH174" s="62"/>
      <c r="AI174" s="62"/>
    </row>
    <row r="175" ht="14.25" customHeight="1">
      <c r="Z175" s="62"/>
      <c r="AA175" s="62"/>
      <c r="AB175" s="62"/>
      <c r="AC175" s="62"/>
      <c r="AD175" s="62"/>
      <c r="AE175" s="62"/>
      <c r="AF175" s="62"/>
      <c r="AG175" s="62"/>
      <c r="AH175" s="62"/>
      <c r="AI175" s="62"/>
    </row>
    <row r="176" ht="14.25" customHeight="1">
      <c r="Z176" s="62"/>
      <c r="AA176" s="62"/>
      <c r="AB176" s="62"/>
      <c r="AC176" s="62"/>
      <c r="AD176" s="62"/>
      <c r="AE176" s="62"/>
      <c r="AF176" s="62"/>
      <c r="AG176" s="62"/>
      <c r="AH176" s="62"/>
      <c r="AI176" s="62"/>
    </row>
    <row r="177" ht="14.25" customHeight="1">
      <c r="Z177" s="62"/>
      <c r="AA177" s="62"/>
      <c r="AB177" s="62"/>
      <c r="AC177" s="62"/>
      <c r="AD177" s="62"/>
      <c r="AE177" s="62"/>
      <c r="AF177" s="62"/>
      <c r="AG177" s="62"/>
      <c r="AH177" s="62"/>
      <c r="AI177" s="62"/>
    </row>
    <row r="178" ht="14.25" customHeight="1">
      <c r="Z178" s="62"/>
      <c r="AA178" s="62"/>
      <c r="AB178" s="62"/>
      <c r="AC178" s="62"/>
      <c r="AD178" s="62"/>
      <c r="AE178" s="62"/>
      <c r="AF178" s="62"/>
      <c r="AG178" s="62"/>
      <c r="AH178" s="62"/>
      <c r="AI178" s="62"/>
    </row>
    <row r="179" ht="14.25" customHeight="1">
      <c r="Z179" s="62"/>
      <c r="AA179" s="62"/>
      <c r="AB179" s="62"/>
      <c r="AC179" s="62"/>
      <c r="AD179" s="62"/>
      <c r="AE179" s="62"/>
      <c r="AF179" s="62"/>
      <c r="AG179" s="62"/>
      <c r="AH179" s="62"/>
      <c r="AI179" s="62"/>
    </row>
    <row r="180" ht="14.25" customHeight="1">
      <c r="Z180" s="62"/>
      <c r="AA180" s="62"/>
      <c r="AB180" s="62"/>
      <c r="AC180" s="62"/>
      <c r="AD180" s="62"/>
      <c r="AE180" s="62"/>
      <c r="AF180" s="62"/>
      <c r="AG180" s="62"/>
      <c r="AH180" s="62"/>
      <c r="AI180" s="62"/>
    </row>
    <row r="181" ht="14.25" customHeight="1">
      <c r="Z181" s="62"/>
      <c r="AA181" s="62"/>
      <c r="AB181" s="62"/>
      <c r="AC181" s="62"/>
      <c r="AD181" s="62"/>
      <c r="AE181" s="62"/>
      <c r="AF181" s="62"/>
      <c r="AG181" s="62"/>
      <c r="AH181" s="62"/>
      <c r="AI181" s="62"/>
    </row>
    <row r="182" ht="14.25" customHeight="1">
      <c r="Z182" s="62"/>
      <c r="AA182" s="62"/>
      <c r="AB182" s="62"/>
      <c r="AC182" s="62"/>
      <c r="AD182" s="62"/>
      <c r="AE182" s="62"/>
      <c r="AF182" s="62"/>
      <c r="AG182" s="62"/>
      <c r="AH182" s="62"/>
      <c r="AI182" s="62"/>
    </row>
    <row r="183" ht="14.25" customHeight="1">
      <c r="Z183" s="62"/>
      <c r="AA183" s="62"/>
      <c r="AB183" s="62"/>
      <c r="AC183" s="62"/>
      <c r="AD183" s="62"/>
      <c r="AE183" s="62"/>
      <c r="AF183" s="62"/>
      <c r="AG183" s="62"/>
      <c r="AH183" s="62"/>
      <c r="AI183" s="62"/>
    </row>
    <row r="184" ht="14.25" customHeight="1">
      <c r="Z184" s="62"/>
      <c r="AA184" s="62"/>
      <c r="AB184" s="62"/>
      <c r="AC184" s="62"/>
      <c r="AD184" s="62"/>
      <c r="AE184" s="62"/>
      <c r="AF184" s="62"/>
      <c r="AG184" s="62"/>
      <c r="AH184" s="62"/>
      <c r="AI184" s="62"/>
    </row>
    <row r="185" ht="14.25" customHeight="1">
      <c r="Z185" s="62"/>
      <c r="AA185" s="62"/>
      <c r="AB185" s="62"/>
      <c r="AC185" s="62"/>
      <c r="AD185" s="62"/>
      <c r="AE185" s="62"/>
      <c r="AF185" s="62"/>
      <c r="AG185" s="62"/>
      <c r="AH185" s="62"/>
      <c r="AI185" s="62"/>
    </row>
    <row r="186" ht="14.25" customHeight="1">
      <c r="Z186" s="62"/>
      <c r="AA186" s="62"/>
      <c r="AB186" s="62"/>
      <c r="AC186" s="62"/>
      <c r="AD186" s="62"/>
      <c r="AE186" s="62"/>
      <c r="AF186" s="62"/>
      <c r="AG186" s="62"/>
      <c r="AH186" s="62"/>
      <c r="AI186" s="62"/>
    </row>
    <row r="187" ht="14.25" customHeight="1">
      <c r="Z187" s="62"/>
      <c r="AA187" s="62"/>
      <c r="AB187" s="62"/>
      <c r="AC187" s="62"/>
      <c r="AD187" s="62"/>
      <c r="AE187" s="62"/>
      <c r="AF187" s="62"/>
      <c r="AG187" s="62"/>
      <c r="AH187" s="62"/>
      <c r="AI187" s="62"/>
    </row>
    <row r="188" ht="14.25" customHeight="1">
      <c r="Z188" s="62"/>
      <c r="AA188" s="62"/>
      <c r="AB188" s="62"/>
      <c r="AC188" s="62"/>
      <c r="AD188" s="62"/>
      <c r="AE188" s="62"/>
      <c r="AF188" s="62"/>
      <c r="AG188" s="62"/>
      <c r="AH188" s="62"/>
      <c r="AI188" s="62"/>
    </row>
    <row r="189" ht="14.25" customHeight="1">
      <c r="Z189" s="62"/>
      <c r="AA189" s="62"/>
      <c r="AB189" s="62"/>
      <c r="AC189" s="62"/>
      <c r="AD189" s="62"/>
      <c r="AE189" s="62"/>
      <c r="AF189" s="62"/>
      <c r="AG189" s="62"/>
      <c r="AH189" s="62"/>
      <c r="AI189" s="62"/>
    </row>
    <row r="190" ht="14.25" customHeight="1">
      <c r="Z190" s="62"/>
      <c r="AA190" s="62"/>
      <c r="AB190" s="62"/>
      <c r="AC190" s="62"/>
      <c r="AD190" s="62"/>
      <c r="AE190" s="62"/>
      <c r="AF190" s="62"/>
      <c r="AG190" s="62"/>
      <c r="AH190" s="62"/>
      <c r="AI190" s="62"/>
    </row>
    <row r="191" ht="14.25" customHeight="1">
      <c r="Z191" s="62"/>
      <c r="AA191" s="62"/>
      <c r="AB191" s="62"/>
      <c r="AC191" s="62"/>
      <c r="AD191" s="62"/>
      <c r="AE191" s="62"/>
      <c r="AF191" s="62"/>
      <c r="AG191" s="62"/>
      <c r="AH191" s="62"/>
      <c r="AI191" s="62"/>
    </row>
    <row r="192" ht="14.25" customHeight="1">
      <c r="Z192" s="62"/>
      <c r="AA192" s="62"/>
      <c r="AB192" s="62"/>
      <c r="AC192" s="62"/>
      <c r="AD192" s="62"/>
      <c r="AE192" s="62"/>
      <c r="AF192" s="62"/>
      <c r="AG192" s="62"/>
      <c r="AH192" s="62"/>
      <c r="AI192" s="62"/>
    </row>
    <row r="193" ht="14.25" customHeight="1">
      <c r="Z193" s="62"/>
      <c r="AA193" s="62"/>
      <c r="AB193" s="62"/>
      <c r="AC193" s="62"/>
      <c r="AD193" s="62"/>
      <c r="AE193" s="62"/>
      <c r="AF193" s="62"/>
      <c r="AG193" s="62"/>
      <c r="AH193" s="62"/>
      <c r="AI193" s="62"/>
    </row>
    <row r="194" ht="14.25" customHeight="1">
      <c r="Z194" s="62"/>
      <c r="AA194" s="62"/>
      <c r="AB194" s="62"/>
      <c r="AC194" s="62"/>
      <c r="AD194" s="62"/>
      <c r="AE194" s="62"/>
      <c r="AF194" s="62"/>
      <c r="AG194" s="62"/>
      <c r="AH194" s="62"/>
      <c r="AI194" s="62"/>
    </row>
    <row r="195" ht="14.25" customHeight="1">
      <c r="Z195" s="62"/>
      <c r="AA195" s="62"/>
      <c r="AB195" s="62"/>
      <c r="AC195" s="62"/>
      <c r="AD195" s="62"/>
      <c r="AE195" s="62"/>
      <c r="AF195" s="62"/>
      <c r="AG195" s="62"/>
      <c r="AH195" s="62"/>
      <c r="AI195" s="62"/>
    </row>
    <row r="196" ht="14.25" customHeight="1">
      <c r="Z196" s="62"/>
      <c r="AA196" s="62"/>
      <c r="AB196" s="62"/>
      <c r="AC196" s="62"/>
      <c r="AD196" s="62"/>
      <c r="AE196" s="62"/>
      <c r="AF196" s="62"/>
      <c r="AG196" s="62"/>
      <c r="AH196" s="62"/>
      <c r="AI196" s="62"/>
    </row>
    <row r="197" ht="14.25" customHeight="1">
      <c r="Z197" s="62"/>
      <c r="AA197" s="62"/>
      <c r="AB197" s="62"/>
      <c r="AC197" s="62"/>
      <c r="AD197" s="62"/>
      <c r="AE197" s="62"/>
      <c r="AF197" s="62"/>
      <c r="AG197" s="62"/>
      <c r="AH197" s="62"/>
      <c r="AI197" s="62"/>
    </row>
    <row r="198" ht="14.25" customHeight="1">
      <c r="Z198" s="62"/>
      <c r="AA198" s="62"/>
      <c r="AB198" s="62"/>
      <c r="AC198" s="62"/>
      <c r="AD198" s="62"/>
      <c r="AE198" s="62"/>
      <c r="AF198" s="62"/>
      <c r="AG198" s="62"/>
      <c r="AH198" s="62"/>
      <c r="AI198" s="62"/>
    </row>
    <row r="199" ht="14.25" customHeight="1">
      <c r="Z199" s="62"/>
      <c r="AA199" s="62"/>
      <c r="AB199" s="62"/>
      <c r="AC199" s="62"/>
      <c r="AD199" s="62"/>
      <c r="AE199" s="62"/>
      <c r="AF199" s="62"/>
      <c r="AG199" s="62"/>
      <c r="AH199" s="62"/>
      <c r="AI199" s="62"/>
    </row>
    <row r="200" ht="14.25" customHeight="1">
      <c r="Z200" s="62"/>
      <c r="AA200" s="62"/>
      <c r="AB200" s="62"/>
      <c r="AC200" s="62"/>
      <c r="AD200" s="62"/>
      <c r="AE200" s="62"/>
      <c r="AF200" s="62"/>
      <c r="AG200" s="62"/>
      <c r="AH200" s="62"/>
      <c r="AI200" s="62"/>
    </row>
    <row r="201" ht="14.25" customHeight="1">
      <c r="Z201" s="62"/>
      <c r="AA201" s="62"/>
      <c r="AB201" s="62"/>
      <c r="AC201" s="62"/>
      <c r="AD201" s="62"/>
      <c r="AE201" s="62"/>
      <c r="AF201" s="62"/>
      <c r="AG201" s="62"/>
      <c r="AH201" s="62"/>
      <c r="AI201" s="62"/>
    </row>
    <row r="202" ht="14.25" customHeight="1">
      <c r="Z202" s="62"/>
      <c r="AA202" s="62"/>
      <c r="AB202" s="62"/>
      <c r="AC202" s="62"/>
      <c r="AD202" s="62"/>
      <c r="AE202" s="62"/>
      <c r="AF202" s="62"/>
      <c r="AG202" s="62"/>
      <c r="AH202" s="62"/>
      <c r="AI202" s="62"/>
    </row>
    <row r="203" ht="14.25" customHeight="1">
      <c r="Z203" s="62"/>
      <c r="AA203" s="62"/>
      <c r="AB203" s="62"/>
      <c r="AC203" s="62"/>
      <c r="AD203" s="62"/>
      <c r="AE203" s="62"/>
      <c r="AF203" s="62"/>
      <c r="AG203" s="62"/>
      <c r="AH203" s="62"/>
      <c r="AI203" s="62"/>
    </row>
    <row r="204" ht="14.25" customHeight="1">
      <c r="Z204" s="62"/>
      <c r="AA204" s="62"/>
      <c r="AB204" s="62"/>
      <c r="AC204" s="62"/>
      <c r="AD204" s="62"/>
      <c r="AE204" s="62"/>
      <c r="AF204" s="62"/>
      <c r="AG204" s="62"/>
      <c r="AH204" s="62"/>
      <c r="AI204" s="62"/>
    </row>
    <row r="205" ht="14.25" customHeight="1">
      <c r="Z205" s="62"/>
      <c r="AA205" s="62"/>
      <c r="AB205" s="62"/>
      <c r="AC205" s="62"/>
      <c r="AD205" s="62"/>
      <c r="AE205" s="62"/>
      <c r="AF205" s="62"/>
      <c r="AG205" s="62"/>
      <c r="AH205" s="62"/>
      <c r="AI205" s="62"/>
    </row>
    <row r="206" ht="14.25" customHeight="1">
      <c r="Z206" s="62"/>
      <c r="AA206" s="62"/>
      <c r="AB206" s="62"/>
      <c r="AC206" s="62"/>
      <c r="AD206" s="62"/>
      <c r="AE206" s="62"/>
      <c r="AF206" s="62"/>
      <c r="AG206" s="62"/>
      <c r="AH206" s="62"/>
      <c r="AI206" s="62"/>
    </row>
    <row r="207" ht="14.25" customHeight="1">
      <c r="Z207" s="62"/>
      <c r="AA207" s="62"/>
      <c r="AB207" s="62"/>
      <c r="AC207" s="62"/>
      <c r="AD207" s="62"/>
      <c r="AE207" s="62"/>
      <c r="AF207" s="62"/>
      <c r="AG207" s="62"/>
      <c r="AH207" s="62"/>
      <c r="AI207" s="62"/>
    </row>
    <row r="208" ht="14.25" customHeight="1">
      <c r="Z208" s="62"/>
      <c r="AA208" s="62"/>
      <c r="AB208" s="62"/>
      <c r="AC208" s="62"/>
      <c r="AD208" s="62"/>
      <c r="AE208" s="62"/>
      <c r="AF208" s="62"/>
      <c r="AG208" s="62"/>
      <c r="AH208" s="62"/>
      <c r="AI208" s="62"/>
    </row>
    <row r="209" ht="14.25" customHeight="1">
      <c r="Z209" s="62"/>
      <c r="AA209" s="62"/>
      <c r="AB209" s="62"/>
      <c r="AC209" s="62"/>
      <c r="AD209" s="62"/>
      <c r="AE209" s="62"/>
      <c r="AF209" s="62"/>
      <c r="AG209" s="62"/>
      <c r="AH209" s="62"/>
      <c r="AI209" s="62"/>
    </row>
    <row r="210" ht="14.25" customHeight="1">
      <c r="Z210" s="62"/>
      <c r="AA210" s="62"/>
      <c r="AB210" s="62"/>
      <c r="AC210" s="62"/>
      <c r="AD210" s="62"/>
      <c r="AE210" s="62"/>
      <c r="AF210" s="62"/>
      <c r="AG210" s="62"/>
      <c r="AH210" s="62"/>
      <c r="AI210" s="62"/>
    </row>
    <row r="211" ht="14.25" customHeight="1">
      <c r="Z211" s="62"/>
      <c r="AA211" s="62"/>
      <c r="AB211" s="62"/>
      <c r="AC211" s="62"/>
      <c r="AD211" s="62"/>
      <c r="AE211" s="62"/>
      <c r="AF211" s="62"/>
      <c r="AG211" s="62"/>
      <c r="AH211" s="62"/>
      <c r="AI211" s="62"/>
    </row>
    <row r="212" ht="14.25" customHeight="1">
      <c r="Z212" s="62"/>
      <c r="AA212" s="62"/>
      <c r="AB212" s="62"/>
      <c r="AC212" s="62"/>
      <c r="AD212" s="62"/>
      <c r="AE212" s="62"/>
      <c r="AF212" s="62"/>
      <c r="AG212" s="62"/>
      <c r="AH212" s="62"/>
      <c r="AI212" s="62"/>
    </row>
    <row r="213" ht="14.25" customHeight="1">
      <c r="Z213" s="62"/>
      <c r="AA213" s="62"/>
      <c r="AB213" s="62"/>
      <c r="AC213" s="62"/>
      <c r="AD213" s="62"/>
      <c r="AE213" s="62"/>
      <c r="AF213" s="62"/>
      <c r="AG213" s="62"/>
      <c r="AH213" s="62"/>
      <c r="AI213" s="62"/>
    </row>
    <row r="214" ht="14.25" customHeight="1">
      <c r="Z214" s="62"/>
      <c r="AA214" s="62"/>
      <c r="AB214" s="62"/>
      <c r="AC214" s="62"/>
      <c r="AD214" s="62"/>
      <c r="AE214" s="62"/>
      <c r="AF214" s="62"/>
      <c r="AG214" s="62"/>
      <c r="AH214" s="62"/>
      <c r="AI214" s="62"/>
    </row>
    <row r="215" ht="14.25" customHeight="1">
      <c r="Z215" s="62"/>
      <c r="AA215" s="62"/>
      <c r="AB215" s="62"/>
      <c r="AC215" s="62"/>
      <c r="AD215" s="62"/>
      <c r="AE215" s="62"/>
      <c r="AF215" s="62"/>
      <c r="AG215" s="62"/>
      <c r="AH215" s="62"/>
      <c r="AI215" s="62"/>
    </row>
    <row r="216" ht="14.25" customHeight="1">
      <c r="Z216" s="62"/>
      <c r="AA216" s="62"/>
      <c r="AB216" s="62"/>
      <c r="AC216" s="62"/>
      <c r="AD216" s="62"/>
      <c r="AE216" s="62"/>
      <c r="AF216" s="62"/>
      <c r="AG216" s="62"/>
      <c r="AH216" s="62"/>
      <c r="AI216" s="62"/>
    </row>
    <row r="217" ht="14.25" customHeight="1">
      <c r="Z217" s="62"/>
      <c r="AA217" s="62"/>
      <c r="AB217" s="62"/>
      <c r="AC217" s="62"/>
      <c r="AD217" s="62"/>
      <c r="AE217" s="62"/>
      <c r="AF217" s="62"/>
      <c r="AG217" s="62"/>
      <c r="AH217" s="62"/>
      <c r="AI217" s="62"/>
    </row>
    <row r="218" ht="14.25" customHeight="1">
      <c r="Z218" s="62"/>
      <c r="AA218" s="62"/>
      <c r="AB218" s="62"/>
      <c r="AC218" s="62"/>
      <c r="AD218" s="62"/>
      <c r="AE218" s="62"/>
      <c r="AF218" s="62"/>
      <c r="AG218" s="62"/>
      <c r="AH218" s="62"/>
      <c r="AI218" s="62"/>
    </row>
    <row r="219" ht="14.25" customHeight="1">
      <c r="Z219" s="62"/>
      <c r="AA219" s="62"/>
      <c r="AB219" s="62"/>
      <c r="AC219" s="62"/>
      <c r="AD219" s="62"/>
      <c r="AE219" s="62"/>
      <c r="AF219" s="62"/>
      <c r="AG219" s="62"/>
      <c r="AH219" s="62"/>
      <c r="AI219" s="62"/>
    </row>
    <row r="220" ht="14.25" customHeight="1">
      <c r="Z220" s="62"/>
      <c r="AA220" s="62"/>
      <c r="AB220" s="62"/>
      <c r="AC220" s="62"/>
      <c r="AD220" s="62"/>
      <c r="AE220" s="62"/>
      <c r="AF220" s="62"/>
      <c r="AG220" s="62"/>
      <c r="AH220" s="62"/>
      <c r="AI220" s="62"/>
    </row>
    <row r="221" ht="14.25" customHeight="1">
      <c r="Z221" s="62"/>
      <c r="AA221" s="62"/>
      <c r="AB221" s="62"/>
      <c r="AC221" s="62"/>
      <c r="AD221" s="62"/>
      <c r="AE221" s="62"/>
      <c r="AF221" s="62"/>
      <c r="AG221" s="62"/>
      <c r="AH221" s="62"/>
      <c r="AI221" s="62"/>
    </row>
    <row r="222" ht="14.25" customHeight="1">
      <c r="Z222" s="62"/>
      <c r="AA222" s="62"/>
      <c r="AB222" s="62"/>
      <c r="AC222" s="62"/>
      <c r="AD222" s="62"/>
      <c r="AE222" s="62"/>
      <c r="AF222" s="62"/>
      <c r="AG222" s="62"/>
      <c r="AH222" s="62"/>
      <c r="AI222" s="62"/>
    </row>
    <row r="223" ht="14.25" customHeight="1">
      <c r="Z223" s="62"/>
      <c r="AA223" s="62"/>
      <c r="AB223" s="62"/>
      <c r="AC223" s="62"/>
      <c r="AD223" s="62"/>
      <c r="AE223" s="62"/>
      <c r="AF223" s="62"/>
      <c r="AG223" s="62"/>
      <c r="AH223" s="62"/>
      <c r="AI223" s="62"/>
    </row>
    <row r="224" ht="14.25" customHeight="1">
      <c r="Z224" s="62"/>
      <c r="AA224" s="62"/>
      <c r="AB224" s="62"/>
      <c r="AC224" s="62"/>
      <c r="AD224" s="62"/>
      <c r="AE224" s="62"/>
      <c r="AF224" s="62"/>
      <c r="AG224" s="62"/>
      <c r="AH224" s="62"/>
      <c r="AI224" s="62"/>
    </row>
    <row r="225" ht="14.25" customHeight="1">
      <c r="Z225" s="62"/>
      <c r="AA225" s="62"/>
      <c r="AB225" s="62"/>
      <c r="AC225" s="62"/>
      <c r="AD225" s="62"/>
      <c r="AE225" s="62"/>
      <c r="AF225" s="62"/>
      <c r="AG225" s="62"/>
      <c r="AH225" s="62"/>
      <c r="AI225" s="62"/>
    </row>
    <row r="226" ht="14.25" customHeight="1">
      <c r="Z226" s="62"/>
      <c r="AA226" s="62"/>
      <c r="AB226" s="62"/>
      <c r="AC226" s="62"/>
      <c r="AD226" s="62"/>
      <c r="AE226" s="62"/>
      <c r="AF226" s="62"/>
      <c r="AG226" s="62"/>
      <c r="AH226" s="62"/>
      <c r="AI226" s="62"/>
    </row>
    <row r="227" ht="14.25" customHeight="1">
      <c r="Z227" s="62"/>
      <c r="AA227" s="62"/>
      <c r="AB227" s="62"/>
      <c r="AC227" s="62"/>
      <c r="AD227" s="62"/>
      <c r="AE227" s="62"/>
      <c r="AF227" s="62"/>
      <c r="AG227" s="62"/>
      <c r="AH227" s="62"/>
      <c r="AI227" s="62"/>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5:G24"/>
    <mergeCell ref="H5:H24"/>
    <mergeCell ref="H27:H45"/>
    <mergeCell ref="J5:J24"/>
    <mergeCell ref="K5:K24"/>
    <mergeCell ref="L1:Q1"/>
    <mergeCell ref="L2:Q2"/>
    <mergeCell ref="A5:A10"/>
    <mergeCell ref="B5:B24"/>
    <mergeCell ref="C5:C24"/>
    <mergeCell ref="D5:D24"/>
    <mergeCell ref="E5:E24"/>
    <mergeCell ref="L5:L24"/>
  </mergeCells>
  <dataValidations>
    <dataValidation type="list" allowBlank="1" showErrorMessage="1" sqref="Z5:AH28">
      <formula1>"Ada,Belum Ada,Proses,Belum mengurus"</formula1>
    </dataValidation>
    <dataValidation type="list" allowBlank="1" showErrorMessage="1" sqref="H5 H26:H27">
      <formula1>"Sudah Operasional,Belum operasional,Tahap persiapan"</formula1>
    </dataValidation>
  </dataValidations>
  <printOptions/>
  <pageMargins bottom="0.75" footer="0.0" header="0.0" left="0.7" right="0.7" top="0.75"/>
  <pageSetup paperSize="9"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5.71"/>
    <col customWidth="1" min="3" max="3" width="21.86"/>
    <col customWidth="1" min="4" max="4" width="11.86"/>
    <col customWidth="1" min="5" max="5" width="19.29"/>
    <col customWidth="1" min="6" max="7" width="15.86"/>
    <col customWidth="1" min="8" max="11" width="21.14"/>
    <col customWidth="1" min="12" max="18" width="27.0"/>
    <col customWidth="1" min="19" max="24" width="26.43"/>
    <col customWidth="1" min="25" max="25" width="18.43"/>
    <col customWidth="1" min="26" max="35" width="8.71"/>
  </cols>
  <sheetData>
    <row r="1" ht="14.25" customHeight="1">
      <c r="E1" s="2"/>
      <c r="L1" s="63" t="s">
        <v>1</v>
      </c>
      <c r="Z1" s="62"/>
      <c r="AA1" s="62"/>
      <c r="AB1" s="62"/>
      <c r="AC1" s="62"/>
      <c r="AD1" s="62"/>
      <c r="AE1" s="62"/>
      <c r="AF1" s="62"/>
      <c r="AG1" s="62"/>
      <c r="AH1" s="62"/>
      <c r="AI1" s="62"/>
    </row>
    <row r="2" ht="14.25" customHeight="1">
      <c r="E2" s="2"/>
      <c r="L2" s="137" t="s">
        <v>2</v>
      </c>
      <c r="Z2" s="62"/>
      <c r="AA2" s="62"/>
      <c r="AB2" s="62"/>
      <c r="AC2" s="62"/>
      <c r="AD2" s="62"/>
      <c r="AE2" s="62"/>
      <c r="AF2" s="62"/>
      <c r="AG2" s="62"/>
      <c r="AH2" s="62"/>
      <c r="AI2" s="62"/>
    </row>
    <row r="3" ht="14.25" customHeight="1">
      <c r="E3" s="2"/>
      <c r="Z3" s="62"/>
      <c r="AA3" s="62"/>
      <c r="AB3" s="62"/>
      <c r="AC3" s="62"/>
      <c r="AD3" s="62"/>
      <c r="AE3" s="62"/>
      <c r="AF3" s="62"/>
      <c r="AG3" s="62"/>
      <c r="AH3" s="62"/>
      <c r="AI3" s="62"/>
    </row>
    <row r="4" ht="40.5" customHeight="1">
      <c r="A4" s="65" t="s">
        <v>3</v>
      </c>
      <c r="B4" s="65" t="s">
        <v>4</v>
      </c>
      <c r="C4" s="65" t="s">
        <v>5</v>
      </c>
      <c r="D4" s="65" t="s">
        <v>6</v>
      </c>
      <c r="E4" s="110" t="s">
        <v>7</v>
      </c>
      <c r="F4" s="65" t="s">
        <v>8</v>
      </c>
      <c r="G4" s="65" t="s">
        <v>9</v>
      </c>
      <c r="H4" s="65" t="s">
        <v>1084</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165.0" customHeight="1">
      <c r="A5" s="67">
        <v>1.0</v>
      </c>
      <c r="B5" s="67" t="s">
        <v>1331</v>
      </c>
      <c r="C5" s="67" t="s">
        <v>1332</v>
      </c>
      <c r="D5" s="68" t="s">
        <v>1333</v>
      </c>
      <c r="E5" s="67" t="s">
        <v>1334</v>
      </c>
      <c r="F5" s="67" t="s">
        <v>1335</v>
      </c>
      <c r="G5" s="67" t="s">
        <v>43</v>
      </c>
      <c r="H5" s="67">
        <v>2026.0</v>
      </c>
      <c r="I5" s="67" t="s">
        <v>44</v>
      </c>
      <c r="J5" s="67" t="s">
        <v>1336</v>
      </c>
      <c r="K5" s="67" t="s">
        <v>1337</v>
      </c>
      <c r="L5" s="67">
        <v>2571.0</v>
      </c>
      <c r="M5" s="67" t="s">
        <v>1338</v>
      </c>
      <c r="N5" s="67" t="s">
        <v>1339</v>
      </c>
      <c r="O5" s="67">
        <v>0.0</v>
      </c>
      <c r="P5" s="67">
        <v>0.0</v>
      </c>
      <c r="Q5" s="67" t="s">
        <v>1340</v>
      </c>
      <c r="R5" s="67" t="s">
        <v>1341</v>
      </c>
      <c r="S5" s="67" t="s">
        <v>1342</v>
      </c>
      <c r="T5" s="67" t="s">
        <v>1343</v>
      </c>
      <c r="U5" s="67" t="s">
        <v>1344</v>
      </c>
      <c r="V5" s="67" t="s">
        <v>1345</v>
      </c>
      <c r="W5" s="67">
        <v>0.0</v>
      </c>
      <c r="X5" s="67">
        <v>0.0</v>
      </c>
      <c r="Y5" s="68"/>
      <c r="Z5" s="54" t="s">
        <v>54</v>
      </c>
      <c r="AA5" s="130" t="s">
        <v>54</v>
      </c>
      <c r="AB5" s="130" t="s">
        <v>54</v>
      </c>
      <c r="AC5" s="130" t="s">
        <v>54</v>
      </c>
      <c r="AD5" s="130" t="s">
        <v>54</v>
      </c>
      <c r="AE5" s="130" t="s">
        <v>54</v>
      </c>
      <c r="AF5" s="130" t="s">
        <v>54</v>
      </c>
      <c r="AG5" s="130"/>
      <c r="AH5" s="130" t="s">
        <v>190</v>
      </c>
      <c r="AI5" s="130">
        <v>47.0</v>
      </c>
    </row>
    <row r="6" ht="14.25" customHeight="1">
      <c r="A6" s="67"/>
      <c r="B6" s="67"/>
      <c r="C6" s="67"/>
      <c r="D6" s="67"/>
      <c r="E6" s="71"/>
      <c r="F6" s="67"/>
      <c r="G6" s="67"/>
      <c r="H6" s="67"/>
      <c r="I6" s="67"/>
      <c r="J6" s="67"/>
      <c r="K6" s="84"/>
      <c r="L6" s="67" t="s">
        <v>79</v>
      </c>
      <c r="M6" s="67">
        <v>101.0</v>
      </c>
      <c r="N6" s="67">
        <v>22.0</v>
      </c>
      <c r="O6" s="67"/>
      <c r="P6" s="67"/>
      <c r="Q6" s="67">
        <v>1105.0</v>
      </c>
      <c r="R6" s="67">
        <v>445.0</v>
      </c>
      <c r="S6" s="67">
        <v>237.0</v>
      </c>
      <c r="T6" s="67">
        <v>78.0</v>
      </c>
      <c r="U6" s="67">
        <v>118.0</v>
      </c>
      <c r="V6" s="67">
        <v>465.0</v>
      </c>
      <c r="W6" s="67"/>
      <c r="X6" s="67"/>
      <c r="Y6" s="67"/>
      <c r="Z6" s="131"/>
      <c r="AA6" s="131"/>
      <c r="AB6" s="131"/>
      <c r="AC6" s="131"/>
      <c r="AD6" s="131"/>
      <c r="AE6" s="131"/>
      <c r="AF6" s="131"/>
      <c r="AG6" s="131"/>
      <c r="AH6" s="131"/>
      <c r="AI6" s="131"/>
    </row>
    <row r="7" ht="14.25" customHeight="1">
      <c r="A7" s="68">
        <v>2.0</v>
      </c>
      <c r="B7" s="68" t="s">
        <v>1346</v>
      </c>
      <c r="C7" s="67" t="s">
        <v>1347</v>
      </c>
      <c r="D7" s="68" t="s">
        <v>1348</v>
      </c>
      <c r="E7" s="67" t="s">
        <v>487</v>
      </c>
      <c r="F7" s="68"/>
      <c r="G7" s="67" t="s">
        <v>142</v>
      </c>
      <c r="H7" s="68"/>
      <c r="I7" s="68" t="s">
        <v>72</v>
      </c>
      <c r="J7" s="68" t="s">
        <v>1349</v>
      </c>
      <c r="K7" s="68"/>
      <c r="L7" s="68"/>
      <c r="M7" s="68"/>
      <c r="N7" s="68"/>
      <c r="O7" s="68"/>
      <c r="P7" s="68"/>
      <c r="Q7" s="68"/>
      <c r="R7" s="68"/>
      <c r="S7" s="68"/>
      <c r="T7" s="68"/>
      <c r="U7" s="68"/>
      <c r="V7" s="68"/>
      <c r="W7" s="68"/>
      <c r="X7" s="68"/>
      <c r="Y7" s="68"/>
      <c r="Z7" s="130"/>
      <c r="AA7" s="130"/>
      <c r="AB7" s="130"/>
      <c r="AC7" s="130"/>
      <c r="AD7" s="130"/>
      <c r="AE7" s="130"/>
      <c r="AF7" s="130"/>
      <c r="AG7" s="130"/>
      <c r="AH7" s="130"/>
      <c r="AI7" s="130"/>
    </row>
    <row r="8" ht="14.25" customHeight="1">
      <c r="A8" s="68"/>
      <c r="B8" s="68"/>
      <c r="C8" s="67"/>
      <c r="D8" s="68"/>
      <c r="E8" s="67"/>
      <c r="F8" s="68"/>
      <c r="G8" s="68"/>
      <c r="H8" s="68"/>
      <c r="I8" s="68"/>
      <c r="J8" s="68"/>
      <c r="K8" s="68"/>
      <c r="L8" s="68"/>
      <c r="M8" s="68"/>
      <c r="N8" s="68"/>
      <c r="O8" s="68"/>
      <c r="P8" s="68"/>
      <c r="Q8" s="68"/>
      <c r="R8" s="68"/>
      <c r="S8" s="68"/>
      <c r="T8" s="68"/>
      <c r="U8" s="68"/>
      <c r="V8" s="68"/>
      <c r="W8" s="68"/>
      <c r="X8" s="68"/>
      <c r="Y8" s="68"/>
      <c r="Z8" s="131"/>
      <c r="AA8" s="131"/>
      <c r="AB8" s="131"/>
      <c r="AC8" s="131"/>
      <c r="AD8" s="131"/>
      <c r="AE8" s="131"/>
      <c r="AF8" s="131"/>
      <c r="AG8" s="131"/>
      <c r="AH8" s="131"/>
      <c r="AI8" s="131"/>
    </row>
    <row r="9" ht="113.25" customHeight="1">
      <c r="A9" s="68">
        <v>3.0</v>
      </c>
      <c r="B9" s="68" t="s">
        <v>1346</v>
      </c>
      <c r="C9" s="67" t="s">
        <v>1350</v>
      </c>
      <c r="D9" s="68" t="s">
        <v>1351</v>
      </c>
      <c r="E9" s="67" t="s">
        <v>1352</v>
      </c>
      <c r="F9" s="68" t="s">
        <v>1353</v>
      </c>
      <c r="G9" s="67" t="s">
        <v>43</v>
      </c>
      <c r="H9" s="68">
        <v>2026.0</v>
      </c>
      <c r="I9" s="68" t="s">
        <v>44</v>
      </c>
      <c r="J9" s="68" t="s">
        <v>1354</v>
      </c>
      <c r="K9" s="80" t="s">
        <v>1355</v>
      </c>
      <c r="L9" s="68">
        <v>1172.0</v>
      </c>
      <c r="M9" s="68" t="s">
        <v>1356</v>
      </c>
      <c r="N9" s="68" t="s">
        <v>1357</v>
      </c>
      <c r="O9" s="68">
        <v>0.0</v>
      </c>
      <c r="P9" s="68">
        <v>0.0</v>
      </c>
      <c r="Q9" s="68" t="s">
        <v>1358</v>
      </c>
      <c r="R9" s="68" t="s">
        <v>1359</v>
      </c>
      <c r="S9" s="68"/>
      <c r="T9" s="68" t="s">
        <v>1360</v>
      </c>
      <c r="U9" s="68" t="s">
        <v>1361</v>
      </c>
      <c r="V9" s="68" t="s">
        <v>1362</v>
      </c>
      <c r="W9" s="68"/>
      <c r="X9" s="68"/>
      <c r="Y9" s="68"/>
      <c r="Z9" s="139" t="s">
        <v>145</v>
      </c>
      <c r="AA9" s="139" t="s">
        <v>145</v>
      </c>
      <c r="AB9" s="139" t="s">
        <v>146</v>
      </c>
      <c r="AC9" s="139" t="s">
        <v>146</v>
      </c>
      <c r="AD9" s="139" t="s">
        <v>146</v>
      </c>
      <c r="AE9" s="139" t="s">
        <v>146</v>
      </c>
      <c r="AF9" s="139" t="s">
        <v>146</v>
      </c>
      <c r="AG9" s="139" t="s">
        <v>145</v>
      </c>
      <c r="AH9" s="139" t="s">
        <v>146</v>
      </c>
      <c r="AI9" s="130">
        <v>31.0</v>
      </c>
    </row>
    <row r="10" ht="14.25" customHeight="1">
      <c r="A10" s="68"/>
      <c r="B10" s="68"/>
      <c r="C10" s="67"/>
      <c r="D10" s="68"/>
      <c r="E10" s="67"/>
      <c r="F10" s="68"/>
      <c r="G10" s="68"/>
      <c r="H10" s="68"/>
      <c r="I10" s="68"/>
      <c r="J10" s="68"/>
      <c r="K10" s="68"/>
      <c r="L10" s="68"/>
      <c r="M10" s="68"/>
      <c r="N10" s="68"/>
      <c r="O10" s="68"/>
      <c r="P10" s="68"/>
      <c r="Q10" s="68">
        <v>606.0</v>
      </c>
      <c r="R10" s="68">
        <v>130.0</v>
      </c>
      <c r="S10" s="68"/>
      <c r="T10" s="68">
        <v>38.0</v>
      </c>
      <c r="U10" s="68">
        <v>111.0</v>
      </c>
      <c r="V10" s="68">
        <v>195.0</v>
      </c>
      <c r="W10" s="68"/>
      <c r="X10" s="68"/>
      <c r="Y10" s="68"/>
      <c r="Z10" s="131"/>
      <c r="AA10" s="131"/>
      <c r="AB10" s="131"/>
      <c r="AC10" s="131"/>
      <c r="AD10" s="131"/>
      <c r="AE10" s="131"/>
      <c r="AF10" s="131"/>
      <c r="AG10" s="131"/>
      <c r="AH10" s="131"/>
      <c r="AI10" s="131"/>
    </row>
    <row r="11" ht="14.25" customHeight="1">
      <c r="A11" s="68"/>
      <c r="B11" s="68"/>
      <c r="C11" s="68"/>
      <c r="D11" s="68"/>
      <c r="E11" s="67"/>
      <c r="F11" s="68"/>
      <c r="G11" s="68"/>
      <c r="H11" s="68"/>
      <c r="I11" s="68"/>
      <c r="J11" s="68"/>
      <c r="K11" s="68"/>
      <c r="L11" s="68">
        <f>2571+1172</f>
        <v>3743</v>
      </c>
      <c r="M11" s="68"/>
      <c r="N11" s="68"/>
      <c r="O11" s="68"/>
      <c r="P11" s="68"/>
      <c r="Q11" s="68"/>
      <c r="R11" s="68"/>
      <c r="S11" s="68"/>
      <c r="T11" s="68"/>
      <c r="U11" s="68"/>
      <c r="V11" s="68"/>
      <c r="W11" s="68"/>
      <c r="X11" s="68"/>
      <c r="Y11" s="68"/>
      <c r="Z11" s="130"/>
      <c r="AA11" s="130"/>
      <c r="AB11" s="130"/>
      <c r="AC11" s="130"/>
      <c r="AD11" s="130"/>
      <c r="AE11" s="130"/>
      <c r="AF11" s="130"/>
      <c r="AG11" s="130"/>
      <c r="AH11" s="130"/>
      <c r="AI11" s="130"/>
    </row>
    <row r="12" ht="14.25" customHeight="1">
      <c r="A12" s="68"/>
      <c r="B12" s="68"/>
      <c r="C12" s="68"/>
      <c r="D12" s="68"/>
      <c r="E12" s="67"/>
      <c r="F12" s="68"/>
      <c r="G12" s="68"/>
      <c r="H12" s="68"/>
      <c r="I12" s="68"/>
      <c r="J12" s="68"/>
      <c r="K12" s="68"/>
      <c r="L12" s="68"/>
      <c r="M12" s="68"/>
      <c r="N12" s="68"/>
      <c r="O12" s="68"/>
      <c r="P12" s="68"/>
      <c r="Q12" s="68"/>
      <c r="R12" s="68"/>
      <c r="S12" s="68"/>
      <c r="T12" s="68"/>
      <c r="U12" s="68"/>
      <c r="V12" s="68"/>
      <c r="W12" s="68"/>
      <c r="X12" s="68"/>
      <c r="Y12" s="68"/>
      <c r="Z12" s="131"/>
      <c r="AA12" s="131"/>
      <c r="AB12" s="131"/>
      <c r="AC12" s="131"/>
      <c r="AD12" s="131"/>
      <c r="AE12" s="131"/>
      <c r="AF12" s="131"/>
      <c r="AG12" s="131"/>
      <c r="AH12" s="131"/>
      <c r="AI12" s="131"/>
    </row>
    <row r="13" ht="14.25" customHeight="1">
      <c r="A13" s="68"/>
      <c r="B13" s="68"/>
      <c r="C13" s="68"/>
      <c r="D13" s="68"/>
      <c r="E13" s="67"/>
      <c r="F13" s="68"/>
      <c r="G13" s="68"/>
      <c r="H13" s="68"/>
      <c r="I13" s="68"/>
      <c r="J13" s="68"/>
      <c r="K13" s="68"/>
      <c r="L13" s="68"/>
      <c r="M13" s="68"/>
      <c r="N13" s="68"/>
      <c r="O13" s="68"/>
      <c r="P13" s="68"/>
      <c r="Q13" s="68"/>
      <c r="R13" s="68"/>
      <c r="S13" s="68"/>
      <c r="T13" s="68"/>
      <c r="U13" s="68"/>
      <c r="V13" s="68"/>
      <c r="W13" s="68"/>
      <c r="X13" s="68"/>
      <c r="Y13" s="68"/>
      <c r="Z13" s="130"/>
      <c r="AA13" s="130"/>
      <c r="AB13" s="130"/>
      <c r="AC13" s="130"/>
      <c r="AD13" s="130"/>
      <c r="AE13" s="130"/>
      <c r="AF13" s="130"/>
      <c r="AG13" s="130"/>
      <c r="AH13" s="130"/>
      <c r="AI13" s="130"/>
    </row>
    <row r="14" ht="14.25" customHeight="1">
      <c r="A14" s="68"/>
      <c r="B14" s="68"/>
      <c r="C14" s="68"/>
      <c r="D14" s="68"/>
      <c r="E14" s="67"/>
      <c r="F14" s="68"/>
      <c r="G14" s="68"/>
      <c r="H14" s="68"/>
      <c r="I14" s="68"/>
      <c r="J14" s="68"/>
      <c r="K14" s="68"/>
      <c r="L14" s="68"/>
      <c r="M14" s="68"/>
      <c r="N14" s="68"/>
      <c r="O14" s="68"/>
      <c r="P14" s="68"/>
      <c r="Q14" s="68"/>
      <c r="R14" s="68"/>
      <c r="S14" s="68"/>
      <c r="T14" s="68"/>
      <c r="U14" s="68"/>
      <c r="V14" s="68"/>
      <c r="W14" s="68"/>
      <c r="X14" s="68"/>
      <c r="Y14" s="68"/>
      <c r="Z14" s="131"/>
      <c r="AA14" s="131"/>
      <c r="AB14" s="131"/>
      <c r="AC14" s="131"/>
      <c r="AD14" s="131"/>
      <c r="AE14" s="131"/>
      <c r="AF14" s="131"/>
      <c r="AG14" s="131"/>
      <c r="AH14" s="131"/>
      <c r="AI14" s="131"/>
    </row>
    <row r="15" ht="14.25" customHeight="1">
      <c r="E15" s="2"/>
      <c r="Z15" s="25"/>
      <c r="AA15" s="25"/>
      <c r="AB15" s="25"/>
      <c r="AC15" s="25"/>
      <c r="AD15" s="25"/>
      <c r="AE15" s="25"/>
      <c r="AF15" s="25"/>
      <c r="AG15" s="25"/>
      <c r="AH15" s="25"/>
      <c r="AI15" s="25"/>
    </row>
    <row r="16" ht="14.25" customHeight="1">
      <c r="E16" s="2"/>
      <c r="Z16" s="26"/>
      <c r="AA16" s="26"/>
      <c r="AB16" s="26"/>
      <c r="AC16" s="26"/>
      <c r="AD16" s="26"/>
      <c r="AE16" s="26"/>
      <c r="AF16" s="26"/>
      <c r="AG16" s="26"/>
      <c r="AH16" s="26"/>
      <c r="AI16" s="26"/>
    </row>
    <row r="17" ht="14.25" customHeight="1">
      <c r="E17" s="2"/>
      <c r="Z17" s="25"/>
      <c r="AA17" s="25"/>
      <c r="AB17" s="25"/>
      <c r="AC17" s="25"/>
      <c r="AD17" s="25"/>
      <c r="AE17" s="25"/>
      <c r="AF17" s="25"/>
      <c r="AG17" s="25"/>
      <c r="AH17" s="25"/>
      <c r="AI17" s="25"/>
    </row>
    <row r="18" ht="14.25" customHeight="1">
      <c r="C18" s="62" t="s">
        <v>216</v>
      </c>
      <c r="D18" s="62">
        <v>2.0</v>
      </c>
      <c r="E18" s="2"/>
      <c r="Z18" s="26"/>
      <c r="AA18" s="26"/>
      <c r="AB18" s="26"/>
      <c r="AC18" s="26"/>
      <c r="AD18" s="26"/>
      <c r="AE18" s="26"/>
      <c r="AF18" s="26"/>
      <c r="AG18" s="26"/>
      <c r="AH18" s="26"/>
      <c r="AI18" s="26"/>
    </row>
    <row r="19" ht="14.25" customHeight="1">
      <c r="C19" s="62" t="s">
        <v>217</v>
      </c>
      <c r="D19" s="62">
        <v>1.0</v>
      </c>
      <c r="E19" s="2"/>
      <c r="Z19" s="25"/>
      <c r="AA19" s="25"/>
      <c r="AB19" s="25"/>
      <c r="AC19" s="25"/>
      <c r="AD19" s="25"/>
      <c r="AE19" s="25"/>
      <c r="AF19" s="25"/>
      <c r="AG19" s="25"/>
      <c r="AH19" s="25"/>
      <c r="AI19" s="25"/>
    </row>
    <row r="20" ht="14.25" customHeight="1">
      <c r="E20" s="2"/>
      <c r="Z20" s="26"/>
      <c r="AA20" s="26"/>
      <c r="AB20" s="26"/>
      <c r="AC20" s="26"/>
      <c r="AD20" s="26"/>
      <c r="AE20" s="26"/>
      <c r="AF20" s="26"/>
      <c r="AG20" s="26"/>
      <c r="AH20" s="26"/>
      <c r="AI20" s="26"/>
    </row>
    <row r="21" ht="14.25" customHeight="1">
      <c r="E21" s="2"/>
      <c r="Z21" s="25"/>
      <c r="AA21" s="25"/>
      <c r="AB21" s="25"/>
      <c r="AC21" s="25"/>
      <c r="AD21" s="25"/>
      <c r="AE21" s="25"/>
      <c r="AF21" s="25"/>
      <c r="AG21" s="25"/>
      <c r="AH21" s="25"/>
      <c r="AI21" s="25"/>
    </row>
    <row r="22" ht="14.25" customHeight="1">
      <c r="E22" s="2"/>
      <c r="Z22" s="26"/>
      <c r="AA22" s="26"/>
      <c r="AB22" s="26"/>
      <c r="AC22" s="26"/>
      <c r="AD22" s="26"/>
      <c r="AE22" s="26"/>
      <c r="AF22" s="26"/>
      <c r="AG22" s="26"/>
      <c r="AH22" s="26"/>
      <c r="AI22" s="26"/>
    </row>
    <row r="23" ht="14.25" customHeight="1">
      <c r="E23" s="2"/>
      <c r="Z23" s="25"/>
      <c r="AA23" s="25"/>
      <c r="AB23" s="25"/>
      <c r="AC23" s="25"/>
      <c r="AD23" s="25"/>
      <c r="AE23" s="25"/>
      <c r="AF23" s="25"/>
      <c r="AG23" s="25"/>
      <c r="AH23" s="25"/>
      <c r="AI23" s="25"/>
    </row>
    <row r="24" ht="14.25" customHeight="1">
      <c r="E24" s="2"/>
      <c r="Z24" s="62"/>
      <c r="AA24" s="62"/>
      <c r="AB24" s="62"/>
      <c r="AC24" s="62"/>
      <c r="AD24" s="62"/>
      <c r="AE24" s="62"/>
      <c r="AF24" s="62"/>
      <c r="AG24" s="62"/>
      <c r="AH24" s="62"/>
      <c r="AI24" s="62"/>
    </row>
    <row r="25" ht="14.25" customHeight="1">
      <c r="E25" s="2"/>
      <c r="Z25" s="62"/>
      <c r="AA25" s="62"/>
      <c r="AB25" s="62"/>
      <c r="AC25" s="62"/>
      <c r="AD25" s="62"/>
      <c r="AE25" s="62"/>
      <c r="AF25" s="62"/>
      <c r="AG25" s="62"/>
      <c r="AH25" s="62"/>
      <c r="AI25" s="62"/>
    </row>
    <row r="26" ht="14.25" customHeight="1">
      <c r="E26" s="2"/>
      <c r="Z26" s="62"/>
      <c r="AA26" s="62"/>
      <c r="AB26" s="62"/>
      <c r="AC26" s="62"/>
      <c r="AD26" s="62"/>
      <c r="AE26" s="62"/>
      <c r="AF26" s="62"/>
      <c r="AG26" s="62"/>
      <c r="AH26" s="62"/>
      <c r="AI26" s="62"/>
    </row>
    <row r="27" ht="14.25" customHeight="1">
      <c r="E27" s="2"/>
      <c r="Z27" s="62"/>
      <c r="AA27" s="62"/>
      <c r="AB27" s="62"/>
      <c r="AC27" s="62"/>
      <c r="AD27" s="62"/>
      <c r="AE27" s="62"/>
      <c r="AF27" s="62"/>
      <c r="AG27" s="62"/>
      <c r="AH27" s="62"/>
      <c r="AI27" s="62"/>
    </row>
    <row r="28" ht="14.25" customHeight="1">
      <c r="E28" s="2"/>
      <c r="Z28" s="62"/>
      <c r="AA28" s="62"/>
      <c r="AB28" s="62"/>
      <c r="AC28" s="62"/>
      <c r="AD28" s="62"/>
      <c r="AE28" s="62"/>
      <c r="AF28" s="62"/>
      <c r="AG28" s="62"/>
      <c r="AH28" s="62"/>
      <c r="AI28" s="62"/>
    </row>
    <row r="29" ht="14.25" customHeight="1">
      <c r="E29" s="2"/>
      <c r="Z29" s="62"/>
      <c r="AA29" s="62"/>
      <c r="AB29" s="62"/>
      <c r="AC29" s="62"/>
      <c r="AD29" s="62"/>
      <c r="AE29" s="62"/>
      <c r="AF29" s="62"/>
      <c r="AG29" s="62"/>
      <c r="AH29" s="62"/>
      <c r="AI29" s="62"/>
    </row>
    <row r="30" ht="14.25" customHeight="1">
      <c r="E30" s="2"/>
      <c r="Z30" s="62"/>
      <c r="AA30" s="62"/>
      <c r="AB30" s="62"/>
      <c r="AC30" s="62"/>
      <c r="AD30" s="62"/>
      <c r="AE30" s="62"/>
      <c r="AF30" s="62"/>
      <c r="AG30" s="62"/>
      <c r="AH30" s="62"/>
      <c r="AI30" s="62"/>
    </row>
    <row r="31" ht="14.25" customHeight="1">
      <c r="E31" s="2"/>
      <c r="Z31" s="62"/>
      <c r="AA31" s="62"/>
      <c r="AB31" s="62"/>
      <c r="AC31" s="62"/>
      <c r="AD31" s="62"/>
      <c r="AE31" s="62"/>
      <c r="AF31" s="62"/>
      <c r="AG31" s="62"/>
      <c r="AH31" s="62"/>
      <c r="AI31" s="62"/>
    </row>
    <row r="32" ht="14.25" customHeight="1">
      <c r="E32" s="2"/>
      <c r="Z32" s="62"/>
      <c r="AA32" s="62"/>
      <c r="AB32" s="62"/>
      <c r="AC32" s="62"/>
      <c r="AD32" s="62"/>
      <c r="AE32" s="62"/>
      <c r="AF32" s="62"/>
      <c r="AG32" s="62"/>
      <c r="AH32" s="62"/>
      <c r="AI32" s="62"/>
    </row>
    <row r="33" ht="14.25" customHeight="1">
      <c r="E33" s="2"/>
      <c r="Z33" s="62"/>
      <c r="AA33" s="62"/>
      <c r="AB33" s="62"/>
      <c r="AC33" s="62"/>
      <c r="AD33" s="62"/>
      <c r="AE33" s="62"/>
      <c r="AF33" s="62"/>
      <c r="AG33" s="62"/>
      <c r="AH33" s="62"/>
      <c r="AI33" s="62"/>
    </row>
    <row r="34" ht="14.25" customHeight="1">
      <c r="E34" s="2"/>
      <c r="Z34" s="62"/>
      <c r="AA34" s="62"/>
      <c r="AB34" s="62"/>
      <c r="AC34" s="62"/>
      <c r="AD34" s="62"/>
      <c r="AE34" s="62"/>
      <c r="AF34" s="62"/>
      <c r="AG34" s="62"/>
      <c r="AH34" s="62"/>
      <c r="AI34" s="62"/>
    </row>
    <row r="35" ht="14.25" customHeight="1">
      <c r="E35" s="2"/>
      <c r="Z35" s="62"/>
      <c r="AA35" s="62"/>
      <c r="AB35" s="62"/>
      <c r="AC35" s="62"/>
      <c r="AD35" s="62"/>
      <c r="AE35" s="62"/>
      <c r="AF35" s="62"/>
      <c r="AG35" s="62"/>
      <c r="AH35" s="62"/>
      <c r="AI35" s="62"/>
    </row>
    <row r="36" ht="14.25" customHeight="1">
      <c r="E36" s="2"/>
      <c r="Z36" s="62"/>
      <c r="AA36" s="62"/>
      <c r="AB36" s="62"/>
      <c r="AC36" s="62"/>
      <c r="AD36" s="62"/>
      <c r="AE36" s="62"/>
      <c r="AF36" s="62"/>
      <c r="AG36" s="62"/>
      <c r="AH36" s="62"/>
      <c r="AI36" s="62"/>
    </row>
    <row r="37" ht="14.25" customHeight="1">
      <c r="E37" s="2"/>
      <c r="Z37" s="62"/>
      <c r="AA37" s="62"/>
      <c r="AB37" s="62"/>
      <c r="AC37" s="62"/>
      <c r="AD37" s="62"/>
      <c r="AE37" s="62"/>
      <c r="AF37" s="62"/>
      <c r="AG37" s="62"/>
      <c r="AH37" s="62"/>
      <c r="AI37" s="62"/>
    </row>
    <row r="38" ht="14.25" customHeight="1">
      <c r="E38" s="2"/>
      <c r="Z38" s="62"/>
      <c r="AA38" s="62"/>
      <c r="AB38" s="62"/>
      <c r="AC38" s="62"/>
      <c r="AD38" s="62"/>
      <c r="AE38" s="62"/>
      <c r="AF38" s="62"/>
      <c r="AG38" s="62"/>
      <c r="AH38" s="62"/>
      <c r="AI38" s="62"/>
    </row>
    <row r="39" ht="14.25" customHeight="1">
      <c r="E39" s="2"/>
      <c r="Z39" s="62"/>
      <c r="AA39" s="62"/>
      <c r="AB39" s="62"/>
      <c r="AC39" s="62"/>
      <c r="AD39" s="62"/>
      <c r="AE39" s="62"/>
      <c r="AF39" s="62"/>
      <c r="AG39" s="62"/>
      <c r="AH39" s="62"/>
      <c r="AI39" s="62"/>
    </row>
    <row r="40" ht="14.25" customHeight="1">
      <c r="E40" s="2"/>
      <c r="Z40" s="62"/>
      <c r="AA40" s="62"/>
      <c r="AB40" s="62"/>
      <c r="AC40" s="62"/>
      <c r="AD40" s="62"/>
      <c r="AE40" s="62"/>
      <c r="AF40" s="62"/>
      <c r="AG40" s="62"/>
      <c r="AH40" s="62"/>
      <c r="AI40" s="62"/>
    </row>
    <row r="41" ht="14.25" customHeight="1">
      <c r="E41" s="2"/>
      <c r="Z41" s="62"/>
      <c r="AA41" s="62"/>
      <c r="AB41" s="62"/>
      <c r="AC41" s="62"/>
      <c r="AD41" s="62"/>
      <c r="AE41" s="62"/>
      <c r="AF41" s="62"/>
      <c r="AG41" s="62"/>
      <c r="AH41" s="62"/>
      <c r="AI41" s="62"/>
    </row>
    <row r="42" ht="14.25" customHeight="1">
      <c r="E42" s="2"/>
      <c r="Z42" s="62"/>
      <c r="AA42" s="62"/>
      <c r="AB42" s="62"/>
      <c r="AC42" s="62"/>
      <c r="AD42" s="62"/>
      <c r="AE42" s="62"/>
      <c r="AF42" s="62"/>
      <c r="AG42" s="62"/>
      <c r="AH42" s="62"/>
      <c r="AI42" s="62"/>
    </row>
    <row r="43" ht="14.25" customHeight="1">
      <c r="E43" s="2"/>
      <c r="Z43" s="62"/>
      <c r="AA43" s="62"/>
      <c r="AB43" s="62"/>
      <c r="AC43" s="62"/>
      <c r="AD43" s="62"/>
      <c r="AE43" s="62"/>
      <c r="AF43" s="62"/>
      <c r="AG43" s="62"/>
      <c r="AH43" s="62"/>
      <c r="AI43" s="62"/>
    </row>
    <row r="44" ht="14.25" customHeight="1">
      <c r="E44" s="2"/>
      <c r="Z44" s="62"/>
      <c r="AA44" s="62"/>
      <c r="AB44" s="62"/>
      <c r="AC44" s="62"/>
      <c r="AD44" s="62"/>
      <c r="AE44" s="62"/>
      <c r="AF44" s="62"/>
      <c r="AG44" s="62"/>
      <c r="AH44" s="62"/>
      <c r="AI44" s="62"/>
    </row>
    <row r="45" ht="14.25" customHeight="1">
      <c r="E45" s="2"/>
      <c r="Z45" s="62"/>
      <c r="AA45" s="62"/>
      <c r="AB45" s="62"/>
      <c r="AC45" s="62"/>
      <c r="AD45" s="62"/>
      <c r="AE45" s="62"/>
      <c r="AF45" s="62"/>
      <c r="AG45" s="62"/>
      <c r="AH45" s="62"/>
      <c r="AI45" s="62"/>
    </row>
    <row r="46" ht="14.25" customHeight="1">
      <c r="E46" s="2"/>
      <c r="Z46" s="62"/>
      <c r="AA46" s="62"/>
      <c r="AB46" s="62"/>
      <c r="AC46" s="62"/>
      <c r="AD46" s="62"/>
      <c r="AE46" s="62"/>
      <c r="AF46" s="62"/>
      <c r="AG46" s="62"/>
      <c r="AH46" s="62"/>
      <c r="AI46" s="62"/>
    </row>
    <row r="47" ht="14.25" customHeight="1">
      <c r="E47" s="2"/>
      <c r="Z47" s="62"/>
      <c r="AA47" s="62"/>
      <c r="AB47" s="62"/>
      <c r="AC47" s="62"/>
      <c r="AD47" s="62"/>
      <c r="AE47" s="62"/>
      <c r="AF47" s="62"/>
      <c r="AG47" s="62"/>
      <c r="AH47" s="62"/>
      <c r="AI47" s="62"/>
    </row>
    <row r="48" ht="14.25" customHeight="1">
      <c r="E48" s="2"/>
      <c r="Z48" s="62"/>
      <c r="AA48" s="62"/>
      <c r="AB48" s="62"/>
      <c r="AC48" s="62"/>
      <c r="AD48" s="62"/>
      <c r="AE48" s="62"/>
      <c r="AF48" s="62"/>
      <c r="AG48" s="62"/>
      <c r="AH48" s="62"/>
      <c r="AI48" s="62"/>
    </row>
    <row r="49" ht="14.25" customHeight="1">
      <c r="E49" s="2"/>
      <c r="Z49" s="62"/>
      <c r="AA49" s="62"/>
      <c r="AB49" s="62"/>
      <c r="AC49" s="62"/>
      <c r="AD49" s="62"/>
      <c r="AE49" s="62"/>
      <c r="AF49" s="62"/>
      <c r="AG49" s="62"/>
      <c r="AH49" s="62"/>
      <c r="AI49" s="62"/>
    </row>
    <row r="50" ht="14.25" customHeight="1">
      <c r="E50" s="2"/>
      <c r="Z50" s="62"/>
      <c r="AA50" s="62"/>
      <c r="AB50" s="62"/>
      <c r="AC50" s="62"/>
      <c r="AD50" s="62"/>
      <c r="AE50" s="62"/>
      <c r="AF50" s="62"/>
      <c r="AG50" s="62"/>
      <c r="AH50" s="62"/>
      <c r="AI50" s="62"/>
    </row>
    <row r="51" ht="14.25" customHeight="1">
      <c r="E51" s="2"/>
      <c r="Z51" s="62"/>
      <c r="AA51" s="62"/>
      <c r="AB51" s="62"/>
      <c r="AC51" s="62"/>
      <c r="AD51" s="62"/>
      <c r="AE51" s="62"/>
      <c r="AF51" s="62"/>
      <c r="AG51" s="62"/>
      <c r="AH51" s="62"/>
      <c r="AI51" s="62"/>
    </row>
    <row r="52" ht="14.25" customHeight="1">
      <c r="E52" s="2"/>
      <c r="Z52" s="62"/>
      <c r="AA52" s="62"/>
      <c r="AB52" s="62"/>
      <c r="AC52" s="62"/>
      <c r="AD52" s="62"/>
      <c r="AE52" s="62"/>
      <c r="AF52" s="62"/>
      <c r="AG52" s="62"/>
      <c r="AH52" s="62"/>
      <c r="AI52" s="62"/>
    </row>
    <row r="53" ht="14.25" customHeight="1">
      <c r="E53" s="2"/>
      <c r="Z53" s="62"/>
      <c r="AA53" s="62"/>
      <c r="AB53" s="62"/>
      <c r="AC53" s="62"/>
      <c r="AD53" s="62"/>
      <c r="AE53" s="62"/>
      <c r="AF53" s="62"/>
      <c r="AG53" s="62"/>
      <c r="AH53" s="62"/>
      <c r="AI53" s="62"/>
    </row>
    <row r="54" ht="14.25" customHeight="1">
      <c r="E54" s="2"/>
      <c r="Z54" s="62"/>
      <c r="AA54" s="62"/>
      <c r="AB54" s="62"/>
      <c r="AC54" s="62"/>
      <c r="AD54" s="62"/>
      <c r="AE54" s="62"/>
      <c r="AF54" s="62"/>
      <c r="AG54" s="62"/>
      <c r="AH54" s="62"/>
      <c r="AI54" s="62"/>
    </row>
    <row r="55" ht="14.25" customHeight="1">
      <c r="E55" s="2"/>
      <c r="Z55" s="62"/>
      <c r="AA55" s="62"/>
      <c r="AB55" s="62"/>
      <c r="AC55" s="62"/>
      <c r="AD55" s="62"/>
      <c r="AE55" s="62"/>
      <c r="AF55" s="62"/>
      <c r="AG55" s="62"/>
      <c r="AH55" s="62"/>
      <c r="AI55" s="62"/>
    </row>
    <row r="56" ht="14.25" customHeight="1">
      <c r="E56" s="2"/>
      <c r="Z56" s="62"/>
      <c r="AA56" s="62"/>
      <c r="AB56" s="62"/>
      <c r="AC56" s="62"/>
      <c r="AD56" s="62"/>
      <c r="AE56" s="62"/>
      <c r="AF56" s="62"/>
      <c r="AG56" s="62"/>
      <c r="AH56" s="62"/>
      <c r="AI56" s="62"/>
    </row>
    <row r="57" ht="14.25" customHeight="1">
      <c r="E57" s="2"/>
      <c r="Z57" s="62"/>
      <c r="AA57" s="62"/>
      <c r="AB57" s="62"/>
      <c r="AC57" s="62"/>
      <c r="AD57" s="62"/>
      <c r="AE57" s="62"/>
      <c r="AF57" s="62"/>
      <c r="AG57" s="62"/>
      <c r="AH57" s="62"/>
      <c r="AI57" s="62"/>
    </row>
    <row r="58" ht="14.25" customHeight="1">
      <c r="E58" s="2"/>
      <c r="Z58" s="62"/>
      <c r="AA58" s="62"/>
      <c r="AB58" s="62"/>
      <c r="AC58" s="62"/>
      <c r="AD58" s="62"/>
      <c r="AE58" s="62"/>
      <c r="AF58" s="62"/>
      <c r="AG58" s="62"/>
      <c r="AH58" s="62"/>
      <c r="AI58" s="62"/>
    </row>
    <row r="59" ht="14.25" customHeight="1">
      <c r="E59" s="2"/>
      <c r="Z59" s="62"/>
      <c r="AA59" s="62"/>
      <c r="AB59" s="62"/>
      <c r="AC59" s="62"/>
      <c r="AD59" s="62"/>
      <c r="AE59" s="62"/>
      <c r="AF59" s="62"/>
      <c r="AG59" s="62"/>
      <c r="AH59" s="62"/>
      <c r="AI59" s="62"/>
    </row>
    <row r="60" ht="14.25" customHeight="1">
      <c r="E60" s="2"/>
      <c r="Z60" s="62"/>
      <c r="AA60" s="62"/>
      <c r="AB60" s="62"/>
      <c r="AC60" s="62"/>
      <c r="AD60" s="62"/>
      <c r="AE60" s="62"/>
      <c r="AF60" s="62"/>
      <c r="AG60" s="62"/>
      <c r="AH60" s="62"/>
      <c r="AI60" s="62"/>
    </row>
    <row r="61" ht="14.25" customHeight="1">
      <c r="E61" s="2"/>
      <c r="Z61" s="62"/>
      <c r="AA61" s="62"/>
      <c r="AB61" s="62"/>
      <c r="AC61" s="62"/>
      <c r="AD61" s="62"/>
      <c r="AE61" s="62"/>
      <c r="AF61" s="62"/>
      <c r="AG61" s="62"/>
      <c r="AH61" s="62"/>
      <c r="AI61" s="62"/>
    </row>
    <row r="62" ht="14.25" customHeight="1">
      <c r="E62" s="2"/>
      <c r="Z62" s="62"/>
      <c r="AA62" s="62"/>
      <c r="AB62" s="62"/>
      <c r="AC62" s="62"/>
      <c r="AD62" s="62"/>
      <c r="AE62" s="62"/>
      <c r="AF62" s="62"/>
      <c r="AG62" s="62"/>
      <c r="AH62" s="62"/>
      <c r="AI62" s="62"/>
    </row>
    <row r="63" ht="14.25" customHeight="1">
      <c r="E63" s="2"/>
      <c r="Z63" s="62"/>
      <c r="AA63" s="62"/>
      <c r="AB63" s="62"/>
      <c r="AC63" s="62"/>
      <c r="AD63" s="62"/>
      <c r="AE63" s="62"/>
      <c r="AF63" s="62"/>
      <c r="AG63" s="62"/>
      <c r="AH63" s="62"/>
      <c r="AI63" s="62"/>
    </row>
    <row r="64" ht="14.25" customHeight="1">
      <c r="E64" s="2"/>
      <c r="Z64" s="62"/>
      <c r="AA64" s="62"/>
      <c r="AB64" s="62"/>
      <c r="AC64" s="62"/>
      <c r="AD64" s="62"/>
      <c r="AE64" s="62"/>
      <c r="AF64" s="62"/>
      <c r="AG64" s="62"/>
      <c r="AH64" s="62"/>
      <c r="AI64" s="62"/>
    </row>
    <row r="65" ht="14.25" customHeight="1">
      <c r="E65" s="2"/>
      <c r="Z65" s="62"/>
      <c r="AA65" s="62"/>
      <c r="AB65" s="62"/>
      <c r="AC65" s="62"/>
      <c r="AD65" s="62"/>
      <c r="AE65" s="62"/>
      <c r="AF65" s="62"/>
      <c r="AG65" s="62"/>
      <c r="AH65" s="62"/>
      <c r="AI65" s="62"/>
    </row>
    <row r="66" ht="14.25" customHeight="1">
      <c r="E66" s="2"/>
      <c r="Z66" s="62"/>
      <c r="AA66" s="62"/>
      <c r="AB66" s="62"/>
      <c r="AC66" s="62"/>
      <c r="AD66" s="62"/>
      <c r="AE66" s="62"/>
      <c r="AF66" s="62"/>
      <c r="AG66" s="62"/>
      <c r="AH66" s="62"/>
      <c r="AI66" s="62"/>
    </row>
    <row r="67" ht="14.25" customHeight="1">
      <c r="E67" s="2"/>
      <c r="Z67" s="62"/>
      <c r="AA67" s="62"/>
      <c r="AB67" s="62"/>
      <c r="AC67" s="62"/>
      <c r="AD67" s="62"/>
      <c r="AE67" s="62"/>
      <c r="AF67" s="62"/>
      <c r="AG67" s="62"/>
      <c r="AH67" s="62"/>
      <c r="AI67" s="62"/>
    </row>
    <row r="68" ht="14.25" customHeight="1">
      <c r="E68" s="2"/>
      <c r="Z68" s="62"/>
      <c r="AA68" s="62"/>
      <c r="AB68" s="62"/>
      <c r="AC68" s="62"/>
      <c r="AD68" s="62"/>
      <c r="AE68" s="62"/>
      <c r="AF68" s="62"/>
      <c r="AG68" s="62"/>
      <c r="AH68" s="62"/>
      <c r="AI68" s="62"/>
    </row>
    <row r="69" ht="14.25" customHeight="1">
      <c r="E69" s="2"/>
      <c r="Z69" s="62"/>
      <c r="AA69" s="62"/>
      <c r="AB69" s="62"/>
      <c r="AC69" s="62"/>
      <c r="AD69" s="62"/>
      <c r="AE69" s="62"/>
      <c r="AF69" s="62"/>
      <c r="AG69" s="62"/>
      <c r="AH69" s="62"/>
      <c r="AI69" s="62"/>
    </row>
    <row r="70" ht="14.25" customHeight="1">
      <c r="E70" s="2"/>
      <c r="Z70" s="62"/>
      <c r="AA70" s="62"/>
      <c r="AB70" s="62"/>
      <c r="AC70" s="62"/>
      <c r="AD70" s="62"/>
      <c r="AE70" s="62"/>
      <c r="AF70" s="62"/>
      <c r="AG70" s="62"/>
      <c r="AH70" s="62"/>
      <c r="AI70" s="62"/>
    </row>
    <row r="71" ht="14.25" customHeight="1">
      <c r="E71" s="2"/>
      <c r="Z71" s="62"/>
      <c r="AA71" s="62"/>
      <c r="AB71" s="62"/>
      <c r="AC71" s="62"/>
      <c r="AD71" s="62"/>
      <c r="AE71" s="62"/>
      <c r="AF71" s="62"/>
      <c r="AG71" s="62"/>
      <c r="AH71" s="62"/>
      <c r="AI71" s="62"/>
    </row>
    <row r="72" ht="14.25" customHeight="1">
      <c r="E72" s="2"/>
      <c r="Z72" s="62"/>
      <c r="AA72" s="62"/>
      <c r="AB72" s="62"/>
      <c r="AC72" s="62"/>
      <c r="AD72" s="62"/>
      <c r="AE72" s="62"/>
      <c r="AF72" s="62"/>
      <c r="AG72" s="62"/>
      <c r="AH72" s="62"/>
      <c r="AI72" s="62"/>
    </row>
    <row r="73" ht="14.25" customHeight="1">
      <c r="E73" s="2"/>
      <c r="Z73" s="62"/>
      <c r="AA73" s="62"/>
      <c r="AB73" s="62"/>
      <c r="AC73" s="62"/>
      <c r="AD73" s="62"/>
      <c r="AE73" s="62"/>
      <c r="AF73" s="62"/>
      <c r="AG73" s="62"/>
      <c r="AH73" s="62"/>
      <c r="AI73" s="62"/>
    </row>
    <row r="74" ht="14.25" customHeight="1">
      <c r="E74" s="2"/>
      <c r="Z74" s="62"/>
      <c r="AA74" s="62"/>
      <c r="AB74" s="62"/>
      <c r="AC74" s="62"/>
      <c r="AD74" s="62"/>
      <c r="AE74" s="62"/>
      <c r="AF74" s="62"/>
      <c r="AG74" s="62"/>
      <c r="AH74" s="62"/>
      <c r="AI74" s="62"/>
    </row>
    <row r="75" ht="14.25" customHeight="1">
      <c r="E75" s="2"/>
      <c r="Z75" s="62"/>
      <c r="AA75" s="62"/>
      <c r="AB75" s="62"/>
      <c r="AC75" s="62"/>
      <c r="AD75" s="62"/>
      <c r="AE75" s="62"/>
      <c r="AF75" s="62"/>
      <c r="AG75" s="62"/>
      <c r="AH75" s="62"/>
      <c r="AI75" s="62"/>
    </row>
    <row r="76" ht="14.25" customHeight="1">
      <c r="E76" s="2"/>
      <c r="Z76" s="62"/>
      <c r="AA76" s="62"/>
      <c r="AB76" s="62"/>
      <c r="AC76" s="62"/>
      <c r="AD76" s="62"/>
      <c r="AE76" s="62"/>
      <c r="AF76" s="62"/>
      <c r="AG76" s="62"/>
      <c r="AH76" s="62"/>
      <c r="AI76" s="62"/>
    </row>
    <row r="77" ht="14.25" customHeight="1">
      <c r="E77" s="2"/>
      <c r="Z77" s="62"/>
      <c r="AA77" s="62"/>
      <c r="AB77" s="62"/>
      <c r="AC77" s="62"/>
      <c r="AD77" s="62"/>
      <c r="AE77" s="62"/>
      <c r="AF77" s="62"/>
      <c r="AG77" s="62"/>
      <c r="AH77" s="62"/>
      <c r="AI77" s="62"/>
    </row>
    <row r="78" ht="14.25" customHeight="1">
      <c r="E78" s="2"/>
      <c r="Z78" s="62"/>
      <c r="AA78" s="62"/>
      <c r="AB78" s="62"/>
      <c r="AC78" s="62"/>
      <c r="AD78" s="62"/>
      <c r="AE78" s="62"/>
      <c r="AF78" s="62"/>
      <c r="AG78" s="62"/>
      <c r="AH78" s="62"/>
      <c r="AI78" s="62"/>
    </row>
    <row r="79" ht="14.25" customHeight="1">
      <c r="E79" s="2"/>
      <c r="Z79" s="62"/>
      <c r="AA79" s="62"/>
      <c r="AB79" s="62"/>
      <c r="AC79" s="62"/>
      <c r="AD79" s="62"/>
      <c r="AE79" s="62"/>
      <c r="AF79" s="62"/>
      <c r="AG79" s="62"/>
      <c r="AH79" s="62"/>
      <c r="AI79" s="62"/>
    </row>
    <row r="80" ht="14.25" customHeight="1">
      <c r="E80" s="2"/>
      <c r="Z80" s="62"/>
      <c r="AA80" s="62"/>
      <c r="AB80" s="62"/>
      <c r="AC80" s="62"/>
      <c r="AD80" s="62"/>
      <c r="AE80" s="62"/>
      <c r="AF80" s="62"/>
      <c r="AG80" s="62"/>
      <c r="AH80" s="62"/>
      <c r="AI80" s="62"/>
    </row>
    <row r="81" ht="14.25" customHeight="1">
      <c r="E81" s="2"/>
      <c r="Z81" s="62"/>
      <c r="AA81" s="62"/>
      <c r="AB81" s="62"/>
      <c r="AC81" s="62"/>
      <c r="AD81" s="62"/>
      <c r="AE81" s="62"/>
      <c r="AF81" s="62"/>
      <c r="AG81" s="62"/>
      <c r="AH81" s="62"/>
      <c r="AI81" s="62"/>
    </row>
    <row r="82" ht="14.25" customHeight="1">
      <c r="E82" s="2"/>
      <c r="Z82" s="62"/>
      <c r="AA82" s="62"/>
      <c r="AB82" s="62"/>
      <c r="AC82" s="62"/>
      <c r="AD82" s="62"/>
      <c r="AE82" s="62"/>
      <c r="AF82" s="62"/>
      <c r="AG82" s="62"/>
      <c r="AH82" s="62"/>
      <c r="AI82" s="62"/>
    </row>
    <row r="83" ht="14.25" customHeight="1">
      <c r="E83" s="2"/>
      <c r="Z83" s="62"/>
      <c r="AA83" s="62"/>
      <c r="AB83" s="62"/>
      <c r="AC83" s="62"/>
      <c r="AD83" s="62"/>
      <c r="AE83" s="62"/>
      <c r="AF83" s="62"/>
      <c r="AG83" s="62"/>
      <c r="AH83" s="62"/>
      <c r="AI83" s="62"/>
    </row>
    <row r="84" ht="14.25" customHeight="1">
      <c r="E84" s="2"/>
      <c r="Z84" s="62"/>
      <c r="AA84" s="62"/>
      <c r="AB84" s="62"/>
      <c r="AC84" s="62"/>
      <c r="AD84" s="62"/>
      <c r="AE84" s="62"/>
      <c r="AF84" s="62"/>
      <c r="AG84" s="62"/>
      <c r="AH84" s="62"/>
      <c r="AI84" s="62"/>
    </row>
    <row r="85" ht="14.25" customHeight="1">
      <c r="E85" s="2"/>
      <c r="Z85" s="62"/>
      <c r="AA85" s="62"/>
      <c r="AB85" s="62"/>
      <c r="AC85" s="62"/>
      <c r="AD85" s="62"/>
      <c r="AE85" s="62"/>
      <c r="AF85" s="62"/>
      <c r="AG85" s="62"/>
      <c r="AH85" s="62"/>
      <c r="AI85" s="62"/>
    </row>
    <row r="86" ht="14.25" customHeight="1">
      <c r="E86" s="2"/>
      <c r="Z86" s="62"/>
      <c r="AA86" s="62"/>
      <c r="AB86" s="62"/>
      <c r="AC86" s="62"/>
      <c r="AD86" s="62"/>
      <c r="AE86" s="62"/>
      <c r="AF86" s="62"/>
      <c r="AG86" s="62"/>
      <c r="AH86" s="62"/>
      <c r="AI86" s="62"/>
    </row>
    <row r="87" ht="14.25" customHeight="1">
      <c r="E87" s="2"/>
      <c r="Z87" s="62"/>
      <c r="AA87" s="62"/>
      <c r="AB87" s="62"/>
      <c r="AC87" s="62"/>
      <c r="AD87" s="62"/>
      <c r="AE87" s="62"/>
      <c r="AF87" s="62"/>
      <c r="AG87" s="62"/>
      <c r="AH87" s="62"/>
      <c r="AI87" s="62"/>
    </row>
    <row r="88" ht="14.25" customHeight="1">
      <c r="E88" s="2"/>
      <c r="Z88" s="62"/>
      <c r="AA88" s="62"/>
      <c r="AB88" s="62"/>
      <c r="AC88" s="62"/>
      <c r="AD88" s="62"/>
      <c r="AE88" s="62"/>
      <c r="AF88" s="62"/>
      <c r="AG88" s="62"/>
      <c r="AH88" s="62"/>
      <c r="AI88" s="62"/>
    </row>
    <row r="89" ht="14.25" customHeight="1">
      <c r="E89" s="2"/>
      <c r="Z89" s="62"/>
      <c r="AA89" s="62"/>
      <c r="AB89" s="62"/>
      <c r="AC89" s="62"/>
      <c r="AD89" s="62"/>
      <c r="AE89" s="62"/>
      <c r="AF89" s="62"/>
      <c r="AG89" s="62"/>
      <c r="AH89" s="62"/>
      <c r="AI89" s="62"/>
    </row>
    <row r="90" ht="14.25" customHeight="1">
      <c r="E90" s="2"/>
      <c r="Z90" s="62"/>
      <c r="AA90" s="62"/>
      <c r="AB90" s="62"/>
      <c r="AC90" s="62"/>
      <c r="AD90" s="62"/>
      <c r="AE90" s="62"/>
      <c r="AF90" s="62"/>
      <c r="AG90" s="62"/>
      <c r="AH90" s="62"/>
      <c r="AI90" s="62"/>
    </row>
    <row r="91" ht="14.25" customHeight="1">
      <c r="E91" s="2"/>
      <c r="Z91" s="62"/>
      <c r="AA91" s="62"/>
      <c r="AB91" s="62"/>
      <c r="AC91" s="62"/>
      <c r="AD91" s="62"/>
      <c r="AE91" s="62"/>
      <c r="AF91" s="62"/>
      <c r="AG91" s="62"/>
      <c r="AH91" s="62"/>
      <c r="AI91" s="62"/>
    </row>
    <row r="92" ht="14.25" customHeight="1">
      <c r="E92" s="2"/>
      <c r="Z92" s="62"/>
      <c r="AA92" s="62"/>
      <c r="AB92" s="62"/>
      <c r="AC92" s="62"/>
      <c r="AD92" s="62"/>
      <c r="AE92" s="62"/>
      <c r="AF92" s="62"/>
      <c r="AG92" s="62"/>
      <c r="AH92" s="62"/>
      <c r="AI92" s="62"/>
    </row>
    <row r="93" ht="14.25" customHeight="1">
      <c r="E93" s="2"/>
      <c r="Z93" s="62"/>
      <c r="AA93" s="62"/>
      <c r="AB93" s="62"/>
      <c r="AC93" s="62"/>
      <c r="AD93" s="62"/>
      <c r="AE93" s="62"/>
      <c r="AF93" s="62"/>
      <c r="AG93" s="62"/>
      <c r="AH93" s="62"/>
      <c r="AI93" s="62"/>
    </row>
    <row r="94" ht="14.25" customHeight="1">
      <c r="E94" s="2"/>
      <c r="Z94" s="62"/>
      <c r="AA94" s="62"/>
      <c r="AB94" s="62"/>
      <c r="AC94" s="62"/>
      <c r="AD94" s="62"/>
      <c r="AE94" s="62"/>
      <c r="AF94" s="62"/>
      <c r="AG94" s="62"/>
      <c r="AH94" s="62"/>
      <c r="AI94" s="62"/>
    </row>
    <row r="95" ht="14.25" customHeight="1">
      <c r="E95" s="2"/>
      <c r="Z95" s="62"/>
      <c r="AA95" s="62"/>
      <c r="AB95" s="62"/>
      <c r="AC95" s="62"/>
      <c r="AD95" s="62"/>
      <c r="AE95" s="62"/>
      <c r="AF95" s="62"/>
      <c r="AG95" s="62"/>
      <c r="AH95" s="62"/>
      <c r="AI95" s="62"/>
    </row>
    <row r="96" ht="14.25" customHeight="1">
      <c r="E96" s="2"/>
      <c r="Z96" s="62"/>
      <c r="AA96" s="62"/>
      <c r="AB96" s="62"/>
      <c r="AC96" s="62"/>
      <c r="AD96" s="62"/>
      <c r="AE96" s="62"/>
      <c r="AF96" s="62"/>
      <c r="AG96" s="62"/>
      <c r="AH96" s="62"/>
      <c r="AI96" s="62"/>
    </row>
    <row r="97" ht="14.25" customHeight="1">
      <c r="E97" s="2"/>
      <c r="Z97" s="62"/>
      <c r="AA97" s="62"/>
      <c r="AB97" s="62"/>
      <c r="AC97" s="62"/>
      <c r="AD97" s="62"/>
      <c r="AE97" s="62"/>
      <c r="AF97" s="62"/>
      <c r="AG97" s="62"/>
      <c r="AH97" s="62"/>
      <c r="AI97" s="62"/>
    </row>
    <row r="98" ht="14.25" customHeight="1">
      <c r="E98" s="2"/>
      <c r="Z98" s="62"/>
      <c r="AA98" s="62"/>
      <c r="AB98" s="62"/>
      <c r="AC98" s="62"/>
      <c r="AD98" s="62"/>
      <c r="AE98" s="62"/>
      <c r="AF98" s="62"/>
      <c r="AG98" s="62"/>
      <c r="AH98" s="62"/>
      <c r="AI98" s="62"/>
    </row>
    <row r="99" ht="14.25" customHeight="1">
      <c r="E99" s="2"/>
      <c r="Z99" s="62"/>
      <c r="AA99" s="62"/>
      <c r="AB99" s="62"/>
      <c r="AC99" s="62"/>
      <c r="AD99" s="62"/>
      <c r="AE99" s="62"/>
      <c r="AF99" s="62"/>
      <c r="AG99" s="62"/>
      <c r="AH99" s="62"/>
      <c r="AI99" s="62"/>
    </row>
    <row r="100" ht="14.25" customHeight="1">
      <c r="E100" s="2"/>
      <c r="Z100" s="62"/>
      <c r="AA100" s="62"/>
      <c r="AB100" s="62"/>
      <c r="AC100" s="62"/>
      <c r="AD100" s="62"/>
      <c r="AE100" s="62"/>
      <c r="AF100" s="62"/>
      <c r="AG100" s="62"/>
      <c r="AH100" s="62"/>
      <c r="AI100" s="62"/>
    </row>
    <row r="101" ht="14.25" customHeight="1">
      <c r="E101" s="2"/>
      <c r="Z101" s="62"/>
      <c r="AA101" s="62"/>
      <c r="AB101" s="62"/>
      <c r="AC101" s="62"/>
      <c r="AD101" s="62"/>
      <c r="AE101" s="62"/>
      <c r="AF101" s="62"/>
      <c r="AG101" s="62"/>
      <c r="AH101" s="62"/>
      <c r="AI101" s="62"/>
    </row>
    <row r="102" ht="14.25" customHeight="1">
      <c r="E102" s="2"/>
      <c r="Z102" s="62"/>
      <c r="AA102" s="62"/>
      <c r="AB102" s="62"/>
      <c r="AC102" s="62"/>
      <c r="AD102" s="62"/>
      <c r="AE102" s="62"/>
      <c r="AF102" s="62"/>
      <c r="AG102" s="62"/>
      <c r="AH102" s="62"/>
      <c r="AI102" s="62"/>
    </row>
    <row r="103" ht="14.25" customHeight="1">
      <c r="E103" s="2"/>
      <c r="Z103" s="62"/>
      <c r="AA103" s="62"/>
      <c r="AB103" s="62"/>
      <c r="AC103" s="62"/>
      <c r="AD103" s="62"/>
      <c r="AE103" s="62"/>
      <c r="AF103" s="62"/>
      <c r="AG103" s="62"/>
      <c r="AH103" s="62"/>
      <c r="AI103" s="62"/>
    </row>
    <row r="104" ht="14.25" customHeight="1">
      <c r="E104" s="2"/>
      <c r="Z104" s="62"/>
      <c r="AA104" s="62"/>
      <c r="AB104" s="62"/>
      <c r="AC104" s="62"/>
      <c r="AD104" s="62"/>
      <c r="AE104" s="62"/>
      <c r="AF104" s="62"/>
      <c r="AG104" s="62"/>
      <c r="AH104" s="62"/>
      <c r="AI104" s="62"/>
    </row>
    <row r="105" ht="14.25" customHeight="1">
      <c r="E105" s="2"/>
      <c r="Z105" s="62"/>
      <c r="AA105" s="62"/>
      <c r="AB105" s="62"/>
      <c r="AC105" s="62"/>
      <c r="AD105" s="62"/>
      <c r="AE105" s="62"/>
      <c r="AF105" s="62"/>
      <c r="AG105" s="62"/>
      <c r="AH105" s="62"/>
      <c r="AI105" s="62"/>
    </row>
    <row r="106" ht="14.25" customHeight="1">
      <c r="E106" s="2"/>
      <c r="Z106" s="62"/>
      <c r="AA106" s="62"/>
      <c r="AB106" s="62"/>
      <c r="AC106" s="62"/>
      <c r="AD106" s="62"/>
      <c r="AE106" s="62"/>
      <c r="AF106" s="62"/>
      <c r="AG106" s="62"/>
      <c r="AH106" s="62"/>
      <c r="AI106" s="62"/>
    </row>
    <row r="107" ht="14.25" customHeight="1">
      <c r="E107" s="2"/>
      <c r="Z107" s="62"/>
      <c r="AA107" s="62"/>
      <c r="AB107" s="62"/>
      <c r="AC107" s="62"/>
      <c r="AD107" s="62"/>
      <c r="AE107" s="62"/>
      <c r="AF107" s="62"/>
      <c r="AG107" s="62"/>
      <c r="AH107" s="62"/>
      <c r="AI107" s="62"/>
    </row>
    <row r="108" ht="14.25" customHeight="1">
      <c r="E108" s="2"/>
      <c r="Z108" s="62"/>
      <c r="AA108" s="62"/>
      <c r="AB108" s="62"/>
      <c r="AC108" s="62"/>
      <c r="AD108" s="62"/>
      <c r="AE108" s="62"/>
      <c r="AF108" s="62"/>
      <c r="AG108" s="62"/>
      <c r="AH108" s="62"/>
      <c r="AI108" s="62"/>
    </row>
    <row r="109" ht="14.25" customHeight="1">
      <c r="E109" s="2"/>
      <c r="Z109" s="62"/>
      <c r="AA109" s="62"/>
      <c r="AB109" s="62"/>
      <c r="AC109" s="62"/>
      <c r="AD109" s="62"/>
      <c r="AE109" s="62"/>
      <c r="AF109" s="62"/>
      <c r="AG109" s="62"/>
      <c r="AH109" s="62"/>
      <c r="AI109" s="62"/>
    </row>
    <row r="110" ht="14.25" customHeight="1">
      <c r="E110" s="2"/>
      <c r="Z110" s="62"/>
      <c r="AA110" s="62"/>
      <c r="AB110" s="62"/>
      <c r="AC110" s="62"/>
      <c r="AD110" s="62"/>
      <c r="AE110" s="62"/>
      <c r="AF110" s="62"/>
      <c r="AG110" s="62"/>
      <c r="AH110" s="62"/>
      <c r="AI110" s="62"/>
    </row>
    <row r="111" ht="14.25" customHeight="1">
      <c r="E111" s="2"/>
      <c r="Z111" s="62"/>
      <c r="AA111" s="62"/>
      <c r="AB111" s="62"/>
      <c r="AC111" s="62"/>
      <c r="AD111" s="62"/>
      <c r="AE111" s="62"/>
      <c r="AF111" s="62"/>
      <c r="AG111" s="62"/>
      <c r="AH111" s="62"/>
      <c r="AI111" s="62"/>
    </row>
    <row r="112" ht="14.25" customHeight="1">
      <c r="E112" s="2"/>
      <c r="Z112" s="62"/>
      <c r="AA112" s="62"/>
      <c r="AB112" s="62"/>
      <c r="AC112" s="62"/>
      <c r="AD112" s="62"/>
      <c r="AE112" s="62"/>
      <c r="AF112" s="62"/>
      <c r="AG112" s="62"/>
      <c r="AH112" s="62"/>
      <c r="AI112" s="62"/>
    </row>
    <row r="113" ht="14.25" customHeight="1">
      <c r="E113" s="2"/>
      <c r="Z113" s="62"/>
      <c r="AA113" s="62"/>
      <c r="AB113" s="62"/>
      <c r="AC113" s="62"/>
      <c r="AD113" s="62"/>
      <c r="AE113" s="62"/>
      <c r="AF113" s="62"/>
      <c r="AG113" s="62"/>
      <c r="AH113" s="62"/>
      <c r="AI113" s="62"/>
    </row>
    <row r="114" ht="14.25" customHeight="1">
      <c r="E114" s="2"/>
      <c r="Z114" s="62"/>
      <c r="AA114" s="62"/>
      <c r="AB114" s="62"/>
      <c r="AC114" s="62"/>
      <c r="AD114" s="62"/>
      <c r="AE114" s="62"/>
      <c r="AF114" s="62"/>
      <c r="AG114" s="62"/>
      <c r="AH114" s="62"/>
      <c r="AI114" s="62"/>
    </row>
    <row r="115" ht="14.25" customHeight="1">
      <c r="E115" s="2"/>
      <c r="Z115" s="62"/>
      <c r="AA115" s="62"/>
      <c r="AB115" s="62"/>
      <c r="AC115" s="62"/>
      <c r="AD115" s="62"/>
      <c r="AE115" s="62"/>
      <c r="AF115" s="62"/>
      <c r="AG115" s="62"/>
      <c r="AH115" s="62"/>
      <c r="AI115" s="62"/>
    </row>
    <row r="116" ht="14.25" customHeight="1">
      <c r="E116" s="2"/>
      <c r="Z116" s="62"/>
      <c r="AA116" s="62"/>
      <c r="AB116" s="62"/>
      <c r="AC116" s="62"/>
      <c r="AD116" s="62"/>
      <c r="AE116" s="62"/>
      <c r="AF116" s="62"/>
      <c r="AG116" s="62"/>
      <c r="AH116" s="62"/>
      <c r="AI116" s="62"/>
    </row>
    <row r="117" ht="14.25" customHeight="1">
      <c r="E117" s="2"/>
      <c r="Z117" s="62"/>
      <c r="AA117" s="62"/>
      <c r="AB117" s="62"/>
      <c r="AC117" s="62"/>
      <c r="AD117" s="62"/>
      <c r="AE117" s="62"/>
      <c r="AF117" s="62"/>
      <c r="AG117" s="62"/>
      <c r="AH117" s="62"/>
      <c r="AI117" s="62"/>
    </row>
    <row r="118" ht="14.25" customHeight="1">
      <c r="E118" s="2"/>
      <c r="Z118" s="62"/>
      <c r="AA118" s="62"/>
      <c r="AB118" s="62"/>
      <c r="AC118" s="62"/>
      <c r="AD118" s="62"/>
      <c r="AE118" s="62"/>
      <c r="AF118" s="62"/>
      <c r="AG118" s="62"/>
      <c r="AH118" s="62"/>
      <c r="AI118" s="62"/>
    </row>
    <row r="119" ht="14.25" customHeight="1">
      <c r="E119" s="2"/>
      <c r="Z119" s="62"/>
      <c r="AA119" s="62"/>
      <c r="AB119" s="62"/>
      <c r="AC119" s="62"/>
      <c r="AD119" s="62"/>
      <c r="AE119" s="62"/>
      <c r="AF119" s="62"/>
      <c r="AG119" s="62"/>
      <c r="AH119" s="62"/>
      <c r="AI119" s="62"/>
    </row>
    <row r="120" ht="14.25" customHeight="1">
      <c r="E120" s="2"/>
      <c r="Z120" s="62"/>
      <c r="AA120" s="62"/>
      <c r="AB120" s="62"/>
      <c r="AC120" s="62"/>
      <c r="AD120" s="62"/>
      <c r="AE120" s="62"/>
      <c r="AF120" s="62"/>
      <c r="AG120" s="62"/>
      <c r="AH120" s="62"/>
      <c r="AI120" s="62"/>
    </row>
    <row r="121" ht="14.25" customHeight="1">
      <c r="E121" s="2"/>
      <c r="Z121" s="62"/>
      <c r="AA121" s="62"/>
      <c r="AB121" s="62"/>
      <c r="AC121" s="62"/>
      <c r="AD121" s="62"/>
      <c r="AE121" s="62"/>
      <c r="AF121" s="62"/>
      <c r="AG121" s="62"/>
      <c r="AH121" s="62"/>
      <c r="AI121" s="62"/>
    </row>
    <row r="122" ht="14.25" customHeight="1">
      <c r="E122" s="2"/>
      <c r="Z122" s="62"/>
      <c r="AA122" s="62"/>
      <c r="AB122" s="62"/>
      <c r="AC122" s="62"/>
      <c r="AD122" s="62"/>
      <c r="AE122" s="62"/>
      <c r="AF122" s="62"/>
      <c r="AG122" s="62"/>
      <c r="AH122" s="62"/>
      <c r="AI122" s="62"/>
    </row>
    <row r="123" ht="14.25" customHeight="1">
      <c r="E123" s="2"/>
      <c r="Z123" s="62"/>
      <c r="AA123" s="62"/>
      <c r="AB123" s="62"/>
      <c r="AC123" s="62"/>
      <c r="AD123" s="62"/>
      <c r="AE123" s="62"/>
      <c r="AF123" s="62"/>
      <c r="AG123" s="62"/>
      <c r="AH123" s="62"/>
      <c r="AI123" s="62"/>
    </row>
    <row r="124" ht="14.25" customHeight="1">
      <c r="E124" s="2"/>
      <c r="Z124" s="62"/>
      <c r="AA124" s="62"/>
      <c r="AB124" s="62"/>
      <c r="AC124" s="62"/>
      <c r="AD124" s="62"/>
      <c r="AE124" s="62"/>
      <c r="AF124" s="62"/>
      <c r="AG124" s="62"/>
      <c r="AH124" s="62"/>
      <c r="AI124" s="62"/>
    </row>
    <row r="125" ht="14.25" customHeight="1">
      <c r="E125" s="2"/>
      <c r="Z125" s="62"/>
      <c r="AA125" s="62"/>
      <c r="AB125" s="62"/>
      <c r="AC125" s="62"/>
      <c r="AD125" s="62"/>
      <c r="AE125" s="62"/>
      <c r="AF125" s="62"/>
      <c r="AG125" s="62"/>
      <c r="AH125" s="62"/>
      <c r="AI125" s="62"/>
    </row>
    <row r="126" ht="14.25" customHeight="1">
      <c r="E126" s="2"/>
      <c r="Z126" s="62"/>
      <c r="AA126" s="62"/>
      <c r="AB126" s="62"/>
      <c r="AC126" s="62"/>
      <c r="AD126" s="62"/>
      <c r="AE126" s="62"/>
      <c r="AF126" s="62"/>
      <c r="AG126" s="62"/>
      <c r="AH126" s="62"/>
      <c r="AI126" s="62"/>
    </row>
    <row r="127" ht="14.25" customHeight="1">
      <c r="E127" s="2"/>
      <c r="Z127" s="62"/>
      <c r="AA127" s="62"/>
      <c r="AB127" s="62"/>
      <c r="AC127" s="62"/>
      <c r="AD127" s="62"/>
      <c r="AE127" s="62"/>
      <c r="AF127" s="62"/>
      <c r="AG127" s="62"/>
      <c r="AH127" s="62"/>
      <c r="AI127" s="62"/>
    </row>
    <row r="128" ht="14.25" customHeight="1">
      <c r="E128" s="2"/>
      <c r="Z128" s="62"/>
      <c r="AA128" s="62"/>
      <c r="AB128" s="62"/>
      <c r="AC128" s="62"/>
      <c r="AD128" s="62"/>
      <c r="AE128" s="62"/>
      <c r="AF128" s="62"/>
      <c r="AG128" s="62"/>
      <c r="AH128" s="62"/>
      <c r="AI128" s="62"/>
    </row>
    <row r="129" ht="14.25" customHeight="1">
      <c r="E129" s="2"/>
      <c r="Z129" s="62"/>
      <c r="AA129" s="62"/>
      <c r="AB129" s="62"/>
      <c r="AC129" s="62"/>
      <c r="AD129" s="62"/>
      <c r="AE129" s="62"/>
      <c r="AF129" s="62"/>
      <c r="AG129" s="62"/>
      <c r="AH129" s="62"/>
      <c r="AI129" s="62"/>
    </row>
    <row r="130" ht="14.25" customHeight="1">
      <c r="E130" s="2"/>
      <c r="Z130" s="62"/>
      <c r="AA130" s="62"/>
      <c r="AB130" s="62"/>
      <c r="AC130" s="62"/>
      <c r="AD130" s="62"/>
      <c r="AE130" s="62"/>
      <c r="AF130" s="62"/>
      <c r="AG130" s="62"/>
      <c r="AH130" s="62"/>
      <c r="AI130" s="62"/>
    </row>
    <row r="131" ht="14.25" customHeight="1">
      <c r="E131" s="2"/>
      <c r="Z131" s="62"/>
      <c r="AA131" s="62"/>
      <c r="AB131" s="62"/>
      <c r="AC131" s="62"/>
      <c r="AD131" s="62"/>
      <c r="AE131" s="62"/>
      <c r="AF131" s="62"/>
      <c r="AG131" s="62"/>
      <c r="AH131" s="62"/>
      <c r="AI131" s="62"/>
    </row>
    <row r="132" ht="14.25" customHeight="1">
      <c r="E132" s="2"/>
      <c r="Z132" s="62"/>
      <c r="AA132" s="62"/>
      <c r="AB132" s="62"/>
      <c r="AC132" s="62"/>
      <c r="AD132" s="62"/>
      <c r="AE132" s="62"/>
      <c r="AF132" s="62"/>
      <c r="AG132" s="62"/>
      <c r="AH132" s="62"/>
      <c r="AI132" s="62"/>
    </row>
    <row r="133" ht="14.25" customHeight="1">
      <c r="E133" s="2"/>
      <c r="Z133" s="62"/>
      <c r="AA133" s="62"/>
      <c r="AB133" s="62"/>
      <c r="AC133" s="62"/>
      <c r="AD133" s="62"/>
      <c r="AE133" s="62"/>
      <c r="AF133" s="62"/>
      <c r="AG133" s="62"/>
      <c r="AH133" s="62"/>
      <c r="AI133" s="62"/>
    </row>
    <row r="134" ht="14.25" customHeight="1">
      <c r="E134" s="2"/>
      <c r="Z134" s="62"/>
      <c r="AA134" s="62"/>
      <c r="AB134" s="62"/>
      <c r="AC134" s="62"/>
      <c r="AD134" s="62"/>
      <c r="AE134" s="62"/>
      <c r="AF134" s="62"/>
      <c r="AG134" s="62"/>
      <c r="AH134" s="62"/>
      <c r="AI134" s="62"/>
    </row>
    <row r="135" ht="14.25" customHeight="1">
      <c r="E135" s="2"/>
      <c r="Z135" s="62"/>
      <c r="AA135" s="62"/>
      <c r="AB135" s="62"/>
      <c r="AC135" s="62"/>
      <c r="AD135" s="62"/>
      <c r="AE135" s="62"/>
      <c r="AF135" s="62"/>
      <c r="AG135" s="62"/>
      <c r="AH135" s="62"/>
      <c r="AI135" s="62"/>
    </row>
    <row r="136" ht="14.25" customHeight="1">
      <c r="E136" s="2"/>
      <c r="Z136" s="62"/>
      <c r="AA136" s="62"/>
      <c r="AB136" s="62"/>
      <c r="AC136" s="62"/>
      <c r="AD136" s="62"/>
      <c r="AE136" s="62"/>
      <c r="AF136" s="62"/>
      <c r="AG136" s="62"/>
      <c r="AH136" s="62"/>
      <c r="AI136" s="62"/>
    </row>
    <row r="137" ht="14.25" customHeight="1">
      <c r="E137" s="2"/>
      <c r="Z137" s="62"/>
      <c r="AA137" s="62"/>
      <c r="AB137" s="62"/>
      <c r="AC137" s="62"/>
      <c r="AD137" s="62"/>
      <c r="AE137" s="62"/>
      <c r="AF137" s="62"/>
      <c r="AG137" s="62"/>
      <c r="AH137" s="62"/>
      <c r="AI137" s="62"/>
    </row>
    <row r="138" ht="14.25" customHeight="1">
      <c r="E138" s="2"/>
      <c r="Z138" s="62"/>
      <c r="AA138" s="62"/>
      <c r="AB138" s="62"/>
      <c r="AC138" s="62"/>
      <c r="AD138" s="62"/>
      <c r="AE138" s="62"/>
      <c r="AF138" s="62"/>
      <c r="AG138" s="62"/>
      <c r="AH138" s="62"/>
      <c r="AI138" s="62"/>
    </row>
    <row r="139" ht="14.25" customHeight="1">
      <c r="E139" s="2"/>
      <c r="Z139" s="62"/>
      <c r="AA139" s="62"/>
      <c r="AB139" s="62"/>
      <c r="AC139" s="62"/>
      <c r="AD139" s="62"/>
      <c r="AE139" s="62"/>
      <c r="AF139" s="62"/>
      <c r="AG139" s="62"/>
      <c r="AH139" s="62"/>
      <c r="AI139" s="62"/>
    </row>
    <row r="140" ht="14.25" customHeight="1">
      <c r="E140" s="2"/>
      <c r="Z140" s="62"/>
      <c r="AA140" s="62"/>
      <c r="AB140" s="62"/>
      <c r="AC140" s="62"/>
      <c r="AD140" s="62"/>
      <c r="AE140" s="62"/>
      <c r="AF140" s="62"/>
      <c r="AG140" s="62"/>
      <c r="AH140" s="62"/>
      <c r="AI140" s="62"/>
    </row>
    <row r="141" ht="14.25" customHeight="1">
      <c r="E141" s="2"/>
      <c r="Z141" s="62"/>
      <c r="AA141" s="62"/>
      <c r="AB141" s="62"/>
      <c r="AC141" s="62"/>
      <c r="AD141" s="62"/>
      <c r="AE141" s="62"/>
      <c r="AF141" s="62"/>
      <c r="AG141" s="62"/>
      <c r="AH141" s="62"/>
      <c r="AI141" s="62"/>
    </row>
    <row r="142" ht="14.25" customHeight="1">
      <c r="E142" s="2"/>
      <c r="Z142" s="62"/>
      <c r="AA142" s="62"/>
      <c r="AB142" s="62"/>
      <c r="AC142" s="62"/>
      <c r="AD142" s="62"/>
      <c r="AE142" s="62"/>
      <c r="AF142" s="62"/>
      <c r="AG142" s="62"/>
      <c r="AH142" s="62"/>
      <c r="AI142" s="62"/>
    </row>
    <row r="143" ht="14.25" customHeight="1">
      <c r="E143" s="2"/>
      <c r="Z143" s="62"/>
      <c r="AA143" s="62"/>
      <c r="AB143" s="62"/>
      <c r="AC143" s="62"/>
      <c r="AD143" s="62"/>
      <c r="AE143" s="62"/>
      <c r="AF143" s="62"/>
      <c r="AG143" s="62"/>
      <c r="AH143" s="62"/>
      <c r="AI143" s="62"/>
    </row>
    <row r="144" ht="14.25" customHeight="1">
      <c r="E144" s="2"/>
      <c r="Z144" s="62"/>
      <c r="AA144" s="62"/>
      <c r="AB144" s="62"/>
      <c r="AC144" s="62"/>
      <c r="AD144" s="62"/>
      <c r="AE144" s="62"/>
      <c r="AF144" s="62"/>
      <c r="AG144" s="62"/>
      <c r="AH144" s="62"/>
      <c r="AI144" s="62"/>
    </row>
    <row r="145" ht="14.25" customHeight="1">
      <c r="E145" s="2"/>
      <c r="Z145" s="62"/>
      <c r="AA145" s="62"/>
      <c r="AB145" s="62"/>
      <c r="AC145" s="62"/>
      <c r="AD145" s="62"/>
      <c r="AE145" s="62"/>
      <c r="AF145" s="62"/>
      <c r="AG145" s="62"/>
      <c r="AH145" s="62"/>
      <c r="AI145" s="62"/>
    </row>
    <row r="146" ht="14.25" customHeight="1">
      <c r="E146" s="2"/>
      <c r="Z146" s="62"/>
      <c r="AA146" s="62"/>
      <c r="AB146" s="62"/>
      <c r="AC146" s="62"/>
      <c r="AD146" s="62"/>
      <c r="AE146" s="62"/>
      <c r="AF146" s="62"/>
      <c r="AG146" s="62"/>
      <c r="AH146" s="62"/>
      <c r="AI146" s="62"/>
    </row>
    <row r="147" ht="14.25" customHeight="1">
      <c r="E147" s="2"/>
      <c r="Z147" s="62"/>
      <c r="AA147" s="62"/>
      <c r="AB147" s="62"/>
      <c r="AC147" s="62"/>
      <c r="AD147" s="62"/>
      <c r="AE147" s="62"/>
      <c r="AF147" s="62"/>
      <c r="AG147" s="62"/>
      <c r="AH147" s="62"/>
      <c r="AI147" s="62"/>
    </row>
    <row r="148" ht="14.25" customHeight="1">
      <c r="E148" s="2"/>
      <c r="Z148" s="62"/>
      <c r="AA148" s="62"/>
      <c r="AB148" s="62"/>
      <c r="AC148" s="62"/>
      <c r="AD148" s="62"/>
      <c r="AE148" s="62"/>
      <c r="AF148" s="62"/>
      <c r="AG148" s="62"/>
      <c r="AH148" s="62"/>
      <c r="AI148" s="62"/>
    </row>
    <row r="149" ht="14.25" customHeight="1">
      <c r="E149" s="2"/>
      <c r="Z149" s="62"/>
      <c r="AA149" s="62"/>
      <c r="AB149" s="62"/>
      <c r="AC149" s="62"/>
      <c r="AD149" s="62"/>
      <c r="AE149" s="62"/>
      <c r="AF149" s="62"/>
      <c r="AG149" s="62"/>
      <c r="AH149" s="62"/>
      <c r="AI149" s="62"/>
    </row>
    <row r="150" ht="14.25" customHeight="1">
      <c r="E150" s="2"/>
      <c r="Z150" s="62"/>
      <c r="AA150" s="62"/>
      <c r="AB150" s="62"/>
      <c r="AC150" s="62"/>
      <c r="AD150" s="62"/>
      <c r="AE150" s="62"/>
      <c r="AF150" s="62"/>
      <c r="AG150" s="62"/>
      <c r="AH150" s="62"/>
      <c r="AI150" s="62"/>
    </row>
    <row r="151" ht="14.25" customHeight="1">
      <c r="E151" s="2"/>
      <c r="Z151" s="62"/>
      <c r="AA151" s="62"/>
      <c r="AB151" s="62"/>
      <c r="AC151" s="62"/>
      <c r="AD151" s="62"/>
      <c r="AE151" s="62"/>
      <c r="AF151" s="62"/>
      <c r="AG151" s="62"/>
      <c r="AH151" s="62"/>
      <c r="AI151" s="62"/>
    </row>
    <row r="152" ht="14.25" customHeight="1">
      <c r="E152" s="2"/>
      <c r="Z152" s="62"/>
      <c r="AA152" s="62"/>
      <c r="AB152" s="62"/>
      <c r="AC152" s="62"/>
      <c r="AD152" s="62"/>
      <c r="AE152" s="62"/>
      <c r="AF152" s="62"/>
      <c r="AG152" s="62"/>
      <c r="AH152" s="62"/>
      <c r="AI152" s="62"/>
    </row>
    <row r="153" ht="14.25" customHeight="1">
      <c r="E153" s="2"/>
      <c r="Z153" s="62"/>
      <c r="AA153" s="62"/>
      <c r="AB153" s="62"/>
      <c r="AC153" s="62"/>
      <c r="AD153" s="62"/>
      <c r="AE153" s="62"/>
      <c r="AF153" s="62"/>
      <c r="AG153" s="62"/>
      <c r="AH153" s="62"/>
      <c r="AI153" s="62"/>
    </row>
    <row r="154" ht="14.25" customHeight="1">
      <c r="E154" s="2"/>
      <c r="Z154" s="62"/>
      <c r="AA154" s="62"/>
      <c r="AB154" s="62"/>
      <c r="AC154" s="62"/>
      <c r="AD154" s="62"/>
      <c r="AE154" s="62"/>
      <c r="AF154" s="62"/>
      <c r="AG154" s="62"/>
      <c r="AH154" s="62"/>
      <c r="AI154" s="62"/>
    </row>
    <row r="155" ht="14.25" customHeight="1">
      <c r="E155" s="2"/>
      <c r="Z155" s="62"/>
      <c r="AA155" s="62"/>
      <c r="AB155" s="62"/>
      <c r="AC155" s="62"/>
      <c r="AD155" s="62"/>
      <c r="AE155" s="62"/>
      <c r="AF155" s="62"/>
      <c r="AG155" s="62"/>
      <c r="AH155" s="62"/>
      <c r="AI155" s="62"/>
    </row>
    <row r="156" ht="14.25" customHeight="1">
      <c r="E156" s="2"/>
      <c r="Z156" s="62"/>
      <c r="AA156" s="62"/>
      <c r="AB156" s="62"/>
      <c r="AC156" s="62"/>
      <c r="AD156" s="62"/>
      <c r="AE156" s="62"/>
      <c r="AF156" s="62"/>
      <c r="AG156" s="62"/>
      <c r="AH156" s="62"/>
      <c r="AI156" s="62"/>
    </row>
    <row r="157" ht="14.25" customHeight="1">
      <c r="E157" s="2"/>
      <c r="Z157" s="62"/>
      <c r="AA157" s="62"/>
      <c r="AB157" s="62"/>
      <c r="AC157" s="62"/>
      <c r="AD157" s="62"/>
      <c r="AE157" s="62"/>
      <c r="AF157" s="62"/>
      <c r="AG157" s="62"/>
      <c r="AH157" s="62"/>
      <c r="AI157" s="62"/>
    </row>
    <row r="158" ht="14.25" customHeight="1">
      <c r="E158" s="2"/>
      <c r="Z158" s="62"/>
      <c r="AA158" s="62"/>
      <c r="AB158" s="62"/>
      <c r="AC158" s="62"/>
      <c r="AD158" s="62"/>
      <c r="AE158" s="62"/>
      <c r="AF158" s="62"/>
      <c r="AG158" s="62"/>
      <c r="AH158" s="62"/>
      <c r="AI158" s="62"/>
    </row>
    <row r="159" ht="14.25" customHeight="1">
      <c r="E159" s="2"/>
      <c r="Z159" s="62"/>
      <c r="AA159" s="62"/>
      <c r="AB159" s="62"/>
      <c r="AC159" s="62"/>
      <c r="AD159" s="62"/>
      <c r="AE159" s="62"/>
      <c r="AF159" s="62"/>
      <c r="AG159" s="62"/>
      <c r="AH159" s="62"/>
      <c r="AI159" s="62"/>
    </row>
    <row r="160" ht="14.25" customHeight="1">
      <c r="E160" s="2"/>
      <c r="Z160" s="62"/>
      <c r="AA160" s="62"/>
      <c r="AB160" s="62"/>
      <c r="AC160" s="62"/>
      <c r="AD160" s="62"/>
      <c r="AE160" s="62"/>
      <c r="AF160" s="62"/>
      <c r="AG160" s="62"/>
      <c r="AH160" s="62"/>
      <c r="AI160" s="62"/>
    </row>
    <row r="161" ht="14.25" customHeight="1">
      <c r="E161" s="2"/>
      <c r="Z161" s="62"/>
      <c r="AA161" s="62"/>
      <c r="AB161" s="62"/>
      <c r="AC161" s="62"/>
      <c r="AD161" s="62"/>
      <c r="AE161" s="62"/>
      <c r="AF161" s="62"/>
      <c r="AG161" s="62"/>
      <c r="AH161" s="62"/>
      <c r="AI161" s="62"/>
    </row>
    <row r="162" ht="14.25" customHeight="1">
      <c r="E162" s="2"/>
      <c r="Z162" s="62"/>
      <c r="AA162" s="62"/>
      <c r="AB162" s="62"/>
      <c r="AC162" s="62"/>
      <c r="AD162" s="62"/>
      <c r="AE162" s="62"/>
      <c r="AF162" s="62"/>
      <c r="AG162" s="62"/>
      <c r="AH162" s="62"/>
      <c r="AI162" s="62"/>
    </row>
    <row r="163" ht="14.25" customHeight="1">
      <c r="E163" s="2"/>
      <c r="Z163" s="62"/>
      <c r="AA163" s="62"/>
      <c r="AB163" s="62"/>
      <c r="AC163" s="62"/>
      <c r="AD163" s="62"/>
      <c r="AE163" s="62"/>
      <c r="AF163" s="62"/>
      <c r="AG163" s="62"/>
      <c r="AH163" s="62"/>
      <c r="AI163" s="62"/>
    </row>
    <row r="164" ht="14.25" customHeight="1">
      <c r="E164" s="2"/>
      <c r="Z164" s="62"/>
      <c r="AA164" s="62"/>
      <c r="AB164" s="62"/>
      <c r="AC164" s="62"/>
      <c r="AD164" s="62"/>
      <c r="AE164" s="62"/>
      <c r="AF164" s="62"/>
      <c r="AG164" s="62"/>
      <c r="AH164" s="62"/>
      <c r="AI164" s="62"/>
    </row>
    <row r="165" ht="14.25" customHeight="1">
      <c r="E165" s="2"/>
      <c r="Z165" s="62"/>
      <c r="AA165" s="62"/>
      <c r="AB165" s="62"/>
      <c r="AC165" s="62"/>
      <c r="AD165" s="62"/>
      <c r="AE165" s="62"/>
      <c r="AF165" s="62"/>
      <c r="AG165" s="62"/>
      <c r="AH165" s="62"/>
      <c r="AI165" s="62"/>
    </row>
    <row r="166" ht="14.25" customHeight="1">
      <c r="E166" s="2"/>
      <c r="Z166" s="62"/>
      <c r="AA166" s="62"/>
      <c r="AB166" s="62"/>
      <c r="AC166" s="62"/>
      <c r="AD166" s="62"/>
      <c r="AE166" s="62"/>
      <c r="AF166" s="62"/>
      <c r="AG166" s="62"/>
      <c r="AH166" s="62"/>
      <c r="AI166" s="62"/>
    </row>
    <row r="167" ht="14.25" customHeight="1">
      <c r="E167" s="2"/>
      <c r="Z167" s="62"/>
      <c r="AA167" s="62"/>
      <c r="AB167" s="62"/>
      <c r="AC167" s="62"/>
      <c r="AD167" s="62"/>
      <c r="AE167" s="62"/>
      <c r="AF167" s="62"/>
      <c r="AG167" s="62"/>
      <c r="AH167" s="62"/>
      <c r="AI167" s="62"/>
    </row>
    <row r="168" ht="14.25" customHeight="1">
      <c r="E168" s="2"/>
      <c r="Z168" s="62"/>
      <c r="AA168" s="62"/>
      <c r="AB168" s="62"/>
      <c r="AC168" s="62"/>
      <c r="AD168" s="62"/>
      <c r="AE168" s="62"/>
      <c r="AF168" s="62"/>
      <c r="AG168" s="62"/>
      <c r="AH168" s="62"/>
      <c r="AI168" s="62"/>
    </row>
    <row r="169" ht="14.25" customHeight="1">
      <c r="E169" s="2"/>
      <c r="Z169" s="62"/>
      <c r="AA169" s="62"/>
      <c r="AB169" s="62"/>
      <c r="AC169" s="62"/>
      <c r="AD169" s="62"/>
      <c r="AE169" s="62"/>
      <c r="AF169" s="62"/>
      <c r="AG169" s="62"/>
      <c r="AH169" s="62"/>
      <c r="AI169" s="62"/>
    </row>
    <row r="170" ht="14.25" customHeight="1">
      <c r="E170" s="2"/>
      <c r="Z170" s="62"/>
      <c r="AA170" s="62"/>
      <c r="AB170" s="62"/>
      <c r="AC170" s="62"/>
      <c r="AD170" s="62"/>
      <c r="AE170" s="62"/>
      <c r="AF170" s="62"/>
      <c r="AG170" s="62"/>
      <c r="AH170" s="62"/>
      <c r="AI170" s="62"/>
    </row>
    <row r="171" ht="14.25" customHeight="1">
      <c r="E171" s="2"/>
      <c r="Z171" s="62"/>
      <c r="AA171" s="62"/>
      <c r="AB171" s="62"/>
      <c r="AC171" s="62"/>
      <c r="AD171" s="62"/>
      <c r="AE171" s="62"/>
      <c r="AF171" s="62"/>
      <c r="AG171" s="62"/>
      <c r="AH171" s="62"/>
      <c r="AI171" s="62"/>
    </row>
    <row r="172" ht="14.25" customHeight="1">
      <c r="E172" s="2"/>
      <c r="Z172" s="62"/>
      <c r="AA172" s="62"/>
      <c r="AB172" s="62"/>
      <c r="AC172" s="62"/>
      <c r="AD172" s="62"/>
      <c r="AE172" s="62"/>
      <c r="AF172" s="62"/>
      <c r="AG172" s="62"/>
      <c r="AH172" s="62"/>
      <c r="AI172" s="62"/>
    </row>
    <row r="173" ht="14.25" customHeight="1">
      <c r="E173" s="2"/>
      <c r="Z173" s="62"/>
      <c r="AA173" s="62"/>
      <c r="AB173" s="62"/>
      <c r="AC173" s="62"/>
      <c r="AD173" s="62"/>
      <c r="AE173" s="62"/>
      <c r="AF173" s="62"/>
      <c r="AG173" s="62"/>
      <c r="AH173" s="62"/>
      <c r="AI173" s="62"/>
    </row>
    <row r="174" ht="14.25" customHeight="1">
      <c r="E174" s="2"/>
      <c r="Z174" s="62"/>
      <c r="AA174" s="62"/>
      <c r="AB174" s="62"/>
      <c r="AC174" s="62"/>
      <c r="AD174" s="62"/>
      <c r="AE174" s="62"/>
      <c r="AF174" s="62"/>
      <c r="AG174" s="62"/>
      <c r="AH174" s="62"/>
      <c r="AI174" s="62"/>
    </row>
    <row r="175" ht="14.25" customHeight="1">
      <c r="E175" s="2"/>
      <c r="Z175" s="62"/>
      <c r="AA175" s="62"/>
      <c r="AB175" s="62"/>
      <c r="AC175" s="62"/>
      <c r="AD175" s="62"/>
      <c r="AE175" s="62"/>
      <c r="AF175" s="62"/>
      <c r="AG175" s="62"/>
      <c r="AH175" s="62"/>
      <c r="AI175" s="62"/>
    </row>
    <row r="176" ht="14.25" customHeight="1">
      <c r="E176" s="2"/>
      <c r="Z176" s="62"/>
      <c r="AA176" s="62"/>
      <c r="AB176" s="62"/>
      <c r="AC176" s="62"/>
      <c r="AD176" s="62"/>
      <c r="AE176" s="62"/>
      <c r="AF176" s="62"/>
      <c r="AG176" s="62"/>
      <c r="AH176" s="62"/>
      <c r="AI176" s="62"/>
    </row>
    <row r="177" ht="14.25" customHeight="1">
      <c r="E177" s="2"/>
      <c r="Z177" s="62"/>
      <c r="AA177" s="62"/>
      <c r="AB177" s="62"/>
      <c r="AC177" s="62"/>
      <c r="AD177" s="62"/>
      <c r="AE177" s="62"/>
      <c r="AF177" s="62"/>
      <c r="AG177" s="62"/>
      <c r="AH177" s="62"/>
      <c r="AI177" s="62"/>
    </row>
    <row r="178" ht="14.25" customHeight="1">
      <c r="E178" s="2"/>
      <c r="Z178" s="62"/>
      <c r="AA178" s="62"/>
      <c r="AB178" s="62"/>
      <c r="AC178" s="62"/>
      <c r="AD178" s="62"/>
      <c r="AE178" s="62"/>
      <c r="AF178" s="62"/>
      <c r="AG178" s="62"/>
      <c r="AH178" s="62"/>
      <c r="AI178" s="62"/>
    </row>
    <row r="179" ht="14.25" customHeight="1">
      <c r="E179" s="2"/>
      <c r="Z179" s="62"/>
      <c r="AA179" s="62"/>
      <c r="AB179" s="62"/>
      <c r="AC179" s="62"/>
      <c r="AD179" s="62"/>
      <c r="AE179" s="62"/>
      <c r="AF179" s="62"/>
      <c r="AG179" s="62"/>
      <c r="AH179" s="62"/>
      <c r="AI179" s="62"/>
    </row>
    <row r="180" ht="14.25" customHeight="1">
      <c r="E180" s="2"/>
      <c r="Z180" s="62"/>
      <c r="AA180" s="62"/>
      <c r="AB180" s="62"/>
      <c r="AC180" s="62"/>
      <c r="AD180" s="62"/>
      <c r="AE180" s="62"/>
      <c r="AF180" s="62"/>
      <c r="AG180" s="62"/>
      <c r="AH180" s="62"/>
      <c r="AI180" s="62"/>
    </row>
    <row r="181" ht="14.25" customHeight="1">
      <c r="E181" s="2"/>
      <c r="Z181" s="62"/>
      <c r="AA181" s="62"/>
      <c r="AB181" s="62"/>
      <c r="AC181" s="62"/>
      <c r="AD181" s="62"/>
      <c r="AE181" s="62"/>
      <c r="AF181" s="62"/>
      <c r="AG181" s="62"/>
      <c r="AH181" s="62"/>
      <c r="AI181" s="62"/>
    </row>
    <row r="182" ht="14.25" customHeight="1">
      <c r="E182" s="2"/>
      <c r="Z182" s="62"/>
      <c r="AA182" s="62"/>
      <c r="AB182" s="62"/>
      <c r="AC182" s="62"/>
      <c r="AD182" s="62"/>
      <c r="AE182" s="62"/>
      <c r="AF182" s="62"/>
      <c r="AG182" s="62"/>
      <c r="AH182" s="62"/>
      <c r="AI182" s="62"/>
    </row>
    <row r="183" ht="14.25" customHeight="1">
      <c r="E183" s="2"/>
      <c r="Z183" s="62"/>
      <c r="AA183" s="62"/>
      <c r="AB183" s="62"/>
      <c r="AC183" s="62"/>
      <c r="AD183" s="62"/>
      <c r="AE183" s="62"/>
      <c r="AF183" s="62"/>
      <c r="AG183" s="62"/>
      <c r="AH183" s="62"/>
      <c r="AI183" s="62"/>
    </row>
    <row r="184" ht="14.25" customHeight="1">
      <c r="E184" s="2"/>
      <c r="Z184" s="62"/>
      <c r="AA184" s="62"/>
      <c r="AB184" s="62"/>
      <c r="AC184" s="62"/>
      <c r="AD184" s="62"/>
      <c r="AE184" s="62"/>
      <c r="AF184" s="62"/>
      <c r="AG184" s="62"/>
      <c r="AH184" s="62"/>
      <c r="AI184" s="62"/>
    </row>
    <row r="185" ht="14.25" customHeight="1">
      <c r="E185" s="2"/>
      <c r="Z185" s="62"/>
      <c r="AA185" s="62"/>
      <c r="AB185" s="62"/>
      <c r="AC185" s="62"/>
      <c r="AD185" s="62"/>
      <c r="AE185" s="62"/>
      <c r="AF185" s="62"/>
      <c r="AG185" s="62"/>
      <c r="AH185" s="62"/>
      <c r="AI185" s="62"/>
    </row>
    <row r="186" ht="14.25" customHeight="1">
      <c r="E186" s="2"/>
      <c r="Z186" s="62"/>
      <c r="AA186" s="62"/>
      <c r="AB186" s="62"/>
      <c r="AC186" s="62"/>
      <c r="AD186" s="62"/>
      <c r="AE186" s="62"/>
      <c r="AF186" s="62"/>
      <c r="AG186" s="62"/>
      <c r="AH186" s="62"/>
      <c r="AI186" s="62"/>
    </row>
    <row r="187" ht="14.25" customHeight="1">
      <c r="E187" s="2"/>
      <c r="Z187" s="62"/>
      <c r="AA187" s="62"/>
      <c r="AB187" s="62"/>
      <c r="AC187" s="62"/>
      <c r="AD187" s="62"/>
      <c r="AE187" s="62"/>
      <c r="AF187" s="62"/>
      <c r="AG187" s="62"/>
      <c r="AH187" s="62"/>
      <c r="AI187" s="62"/>
    </row>
    <row r="188" ht="14.25" customHeight="1">
      <c r="E188" s="2"/>
      <c r="Z188" s="62"/>
      <c r="AA188" s="62"/>
      <c r="AB188" s="62"/>
      <c r="AC188" s="62"/>
      <c r="AD188" s="62"/>
      <c r="AE188" s="62"/>
      <c r="AF188" s="62"/>
      <c r="AG188" s="62"/>
      <c r="AH188" s="62"/>
      <c r="AI188" s="62"/>
    </row>
    <row r="189" ht="14.25" customHeight="1">
      <c r="E189" s="2"/>
      <c r="Z189" s="62"/>
      <c r="AA189" s="62"/>
      <c r="AB189" s="62"/>
      <c r="AC189" s="62"/>
      <c r="AD189" s="62"/>
      <c r="AE189" s="62"/>
      <c r="AF189" s="62"/>
      <c r="AG189" s="62"/>
      <c r="AH189" s="62"/>
      <c r="AI189" s="62"/>
    </row>
    <row r="190" ht="14.25" customHeight="1">
      <c r="E190" s="2"/>
      <c r="Z190" s="62"/>
      <c r="AA190" s="62"/>
      <c r="AB190" s="62"/>
      <c r="AC190" s="62"/>
      <c r="AD190" s="62"/>
      <c r="AE190" s="62"/>
      <c r="AF190" s="62"/>
      <c r="AG190" s="62"/>
      <c r="AH190" s="62"/>
      <c r="AI190" s="62"/>
    </row>
    <row r="191" ht="14.25" customHeight="1">
      <c r="E191" s="2"/>
      <c r="Z191" s="62"/>
      <c r="AA191" s="62"/>
      <c r="AB191" s="62"/>
      <c r="AC191" s="62"/>
      <c r="AD191" s="62"/>
      <c r="AE191" s="62"/>
      <c r="AF191" s="62"/>
      <c r="AG191" s="62"/>
      <c r="AH191" s="62"/>
      <c r="AI191" s="62"/>
    </row>
    <row r="192" ht="14.25" customHeight="1">
      <c r="E192" s="2"/>
      <c r="Z192" s="62"/>
      <c r="AA192" s="62"/>
      <c r="AB192" s="62"/>
      <c r="AC192" s="62"/>
      <c r="AD192" s="62"/>
      <c r="AE192" s="62"/>
      <c r="AF192" s="62"/>
      <c r="AG192" s="62"/>
      <c r="AH192" s="62"/>
      <c r="AI192" s="62"/>
    </row>
    <row r="193" ht="14.25" customHeight="1">
      <c r="E193" s="2"/>
      <c r="Z193" s="62"/>
      <c r="AA193" s="62"/>
      <c r="AB193" s="62"/>
      <c r="AC193" s="62"/>
      <c r="AD193" s="62"/>
      <c r="AE193" s="62"/>
      <c r="AF193" s="62"/>
      <c r="AG193" s="62"/>
      <c r="AH193" s="62"/>
      <c r="AI193" s="62"/>
    </row>
    <row r="194" ht="14.25" customHeight="1">
      <c r="E194" s="2"/>
      <c r="Z194" s="62"/>
      <c r="AA194" s="62"/>
      <c r="AB194" s="62"/>
      <c r="AC194" s="62"/>
      <c r="AD194" s="62"/>
      <c r="AE194" s="62"/>
      <c r="AF194" s="62"/>
      <c r="AG194" s="62"/>
      <c r="AH194" s="62"/>
      <c r="AI194" s="62"/>
    </row>
    <row r="195" ht="14.25" customHeight="1">
      <c r="E195" s="2"/>
      <c r="Z195" s="62"/>
      <c r="AA195" s="62"/>
      <c r="AB195" s="62"/>
      <c r="AC195" s="62"/>
      <c r="AD195" s="62"/>
      <c r="AE195" s="62"/>
      <c r="AF195" s="62"/>
      <c r="AG195" s="62"/>
      <c r="AH195" s="62"/>
      <c r="AI195" s="62"/>
    </row>
    <row r="196" ht="14.25" customHeight="1">
      <c r="E196" s="2"/>
      <c r="Z196" s="62"/>
      <c r="AA196" s="62"/>
      <c r="AB196" s="62"/>
      <c r="AC196" s="62"/>
      <c r="AD196" s="62"/>
      <c r="AE196" s="62"/>
      <c r="AF196" s="62"/>
      <c r="AG196" s="62"/>
      <c r="AH196" s="62"/>
      <c r="AI196" s="62"/>
    </row>
    <row r="197" ht="14.25" customHeight="1">
      <c r="E197" s="2"/>
      <c r="Z197" s="62"/>
      <c r="AA197" s="62"/>
      <c r="AB197" s="62"/>
      <c r="AC197" s="62"/>
      <c r="AD197" s="62"/>
      <c r="AE197" s="62"/>
      <c r="AF197" s="62"/>
      <c r="AG197" s="62"/>
      <c r="AH197" s="62"/>
      <c r="AI197" s="62"/>
    </row>
    <row r="198" ht="14.25" customHeight="1">
      <c r="E198" s="2"/>
      <c r="Z198" s="62"/>
      <c r="AA198" s="62"/>
      <c r="AB198" s="62"/>
      <c r="AC198" s="62"/>
      <c r="AD198" s="62"/>
      <c r="AE198" s="62"/>
      <c r="AF198" s="62"/>
      <c r="AG198" s="62"/>
      <c r="AH198" s="62"/>
      <c r="AI198" s="62"/>
    </row>
    <row r="199" ht="14.25" customHeight="1">
      <c r="E199" s="2"/>
      <c r="Z199" s="62"/>
      <c r="AA199" s="62"/>
      <c r="AB199" s="62"/>
      <c r="AC199" s="62"/>
      <c r="AD199" s="62"/>
      <c r="AE199" s="62"/>
      <c r="AF199" s="62"/>
      <c r="AG199" s="62"/>
      <c r="AH199" s="62"/>
      <c r="AI199" s="62"/>
    </row>
    <row r="200" ht="14.25" customHeight="1">
      <c r="E200" s="2"/>
      <c r="Z200" s="62"/>
      <c r="AA200" s="62"/>
      <c r="AB200" s="62"/>
      <c r="AC200" s="62"/>
      <c r="AD200" s="62"/>
      <c r="AE200" s="62"/>
      <c r="AF200" s="62"/>
      <c r="AG200" s="62"/>
      <c r="AH200" s="62"/>
      <c r="AI200" s="62"/>
    </row>
    <row r="201" ht="14.25" customHeight="1">
      <c r="E201" s="2"/>
      <c r="Z201" s="62"/>
      <c r="AA201" s="62"/>
      <c r="AB201" s="62"/>
      <c r="AC201" s="62"/>
      <c r="AD201" s="62"/>
      <c r="AE201" s="62"/>
      <c r="AF201" s="62"/>
      <c r="AG201" s="62"/>
      <c r="AH201" s="62"/>
      <c r="AI201" s="62"/>
    </row>
    <row r="202" ht="14.25" customHeight="1">
      <c r="E202" s="2"/>
      <c r="Z202" s="62"/>
      <c r="AA202" s="62"/>
      <c r="AB202" s="62"/>
      <c r="AC202" s="62"/>
      <c r="AD202" s="62"/>
      <c r="AE202" s="62"/>
      <c r="AF202" s="62"/>
      <c r="AG202" s="62"/>
      <c r="AH202" s="62"/>
      <c r="AI202" s="62"/>
    </row>
    <row r="203" ht="14.25" customHeight="1">
      <c r="E203" s="2"/>
      <c r="Z203" s="62"/>
      <c r="AA203" s="62"/>
      <c r="AB203" s="62"/>
      <c r="AC203" s="62"/>
      <c r="AD203" s="62"/>
      <c r="AE203" s="62"/>
      <c r="AF203" s="62"/>
      <c r="AG203" s="62"/>
      <c r="AH203" s="62"/>
      <c r="AI203" s="62"/>
    </row>
    <row r="204" ht="14.25" customHeight="1">
      <c r="E204" s="2"/>
      <c r="Z204" s="62"/>
      <c r="AA204" s="62"/>
      <c r="AB204" s="62"/>
      <c r="AC204" s="62"/>
      <c r="AD204" s="62"/>
      <c r="AE204" s="62"/>
      <c r="AF204" s="62"/>
      <c r="AG204" s="62"/>
      <c r="AH204" s="62"/>
      <c r="AI204" s="62"/>
    </row>
    <row r="205" ht="14.25" customHeight="1">
      <c r="E205" s="2"/>
      <c r="Z205" s="62"/>
      <c r="AA205" s="62"/>
      <c r="AB205" s="62"/>
      <c r="AC205" s="62"/>
      <c r="AD205" s="62"/>
      <c r="AE205" s="62"/>
      <c r="AF205" s="62"/>
      <c r="AG205" s="62"/>
      <c r="AH205" s="62"/>
      <c r="AI205" s="62"/>
    </row>
    <row r="206" ht="14.25" customHeight="1">
      <c r="E206" s="2"/>
      <c r="Z206" s="62"/>
      <c r="AA206" s="62"/>
      <c r="AB206" s="62"/>
      <c r="AC206" s="62"/>
      <c r="AD206" s="62"/>
      <c r="AE206" s="62"/>
      <c r="AF206" s="62"/>
      <c r="AG206" s="62"/>
      <c r="AH206" s="62"/>
      <c r="AI206" s="62"/>
    </row>
    <row r="207" ht="14.25" customHeight="1">
      <c r="E207" s="2"/>
      <c r="Z207" s="62"/>
      <c r="AA207" s="62"/>
      <c r="AB207" s="62"/>
      <c r="AC207" s="62"/>
      <c r="AD207" s="62"/>
      <c r="AE207" s="62"/>
      <c r="AF207" s="62"/>
      <c r="AG207" s="62"/>
      <c r="AH207" s="62"/>
      <c r="AI207" s="62"/>
    </row>
    <row r="208" ht="14.25" customHeight="1">
      <c r="E208" s="2"/>
      <c r="Z208" s="62"/>
      <c r="AA208" s="62"/>
      <c r="AB208" s="62"/>
      <c r="AC208" s="62"/>
      <c r="AD208" s="62"/>
      <c r="AE208" s="62"/>
      <c r="AF208" s="62"/>
      <c r="AG208" s="62"/>
      <c r="AH208" s="62"/>
      <c r="AI208" s="62"/>
    </row>
    <row r="209" ht="14.25" customHeight="1">
      <c r="E209" s="2"/>
      <c r="Z209" s="62"/>
      <c r="AA209" s="62"/>
      <c r="AB209" s="62"/>
      <c r="AC209" s="62"/>
      <c r="AD209" s="62"/>
      <c r="AE209" s="62"/>
      <c r="AF209" s="62"/>
      <c r="AG209" s="62"/>
      <c r="AH209" s="62"/>
      <c r="AI209" s="62"/>
    </row>
    <row r="210" ht="14.25" customHeight="1">
      <c r="E210" s="2"/>
      <c r="Z210" s="62"/>
      <c r="AA210" s="62"/>
      <c r="AB210" s="62"/>
      <c r="AC210" s="62"/>
      <c r="AD210" s="62"/>
      <c r="AE210" s="62"/>
      <c r="AF210" s="62"/>
      <c r="AG210" s="62"/>
      <c r="AH210" s="62"/>
      <c r="AI210" s="62"/>
    </row>
    <row r="211" ht="14.25" customHeight="1">
      <c r="E211" s="2"/>
      <c r="Z211" s="62"/>
      <c r="AA211" s="62"/>
      <c r="AB211" s="62"/>
      <c r="AC211" s="62"/>
      <c r="AD211" s="62"/>
      <c r="AE211" s="62"/>
      <c r="AF211" s="62"/>
      <c r="AG211" s="62"/>
      <c r="AH211" s="62"/>
      <c r="AI211" s="62"/>
    </row>
    <row r="212" ht="14.25" customHeight="1">
      <c r="E212" s="2"/>
      <c r="Z212" s="62"/>
      <c r="AA212" s="62"/>
      <c r="AB212" s="62"/>
      <c r="AC212" s="62"/>
      <c r="AD212" s="62"/>
      <c r="AE212" s="62"/>
      <c r="AF212" s="62"/>
      <c r="AG212" s="62"/>
      <c r="AH212" s="62"/>
      <c r="AI212" s="62"/>
    </row>
    <row r="213" ht="14.25" customHeight="1">
      <c r="E213" s="2"/>
      <c r="Z213" s="62"/>
      <c r="AA213" s="62"/>
      <c r="AB213" s="62"/>
      <c r="AC213" s="62"/>
      <c r="AD213" s="62"/>
      <c r="AE213" s="62"/>
      <c r="AF213" s="62"/>
      <c r="AG213" s="62"/>
      <c r="AH213" s="62"/>
      <c r="AI213" s="62"/>
    </row>
    <row r="214" ht="14.25" customHeight="1">
      <c r="E214" s="2"/>
      <c r="Z214" s="62"/>
      <c r="AA214" s="62"/>
      <c r="AB214" s="62"/>
      <c r="AC214" s="62"/>
      <c r="AD214" s="62"/>
      <c r="AE214" s="62"/>
      <c r="AF214" s="62"/>
      <c r="AG214" s="62"/>
      <c r="AH214" s="62"/>
      <c r="AI214" s="62"/>
    </row>
    <row r="215" ht="14.25" customHeight="1">
      <c r="E215" s="2"/>
      <c r="Z215" s="62"/>
      <c r="AA215" s="62"/>
      <c r="AB215" s="62"/>
      <c r="AC215" s="62"/>
      <c r="AD215" s="62"/>
      <c r="AE215" s="62"/>
      <c r="AF215" s="62"/>
      <c r="AG215" s="62"/>
      <c r="AH215" s="62"/>
      <c r="AI215" s="62"/>
    </row>
    <row r="216" ht="14.25" customHeight="1">
      <c r="E216" s="2"/>
      <c r="Z216" s="62"/>
      <c r="AA216" s="62"/>
      <c r="AB216" s="62"/>
      <c r="AC216" s="62"/>
      <c r="AD216" s="62"/>
      <c r="AE216" s="62"/>
      <c r="AF216" s="62"/>
      <c r="AG216" s="62"/>
      <c r="AH216" s="62"/>
      <c r="AI216" s="62"/>
    </row>
    <row r="217" ht="14.25" customHeight="1">
      <c r="E217" s="2"/>
      <c r="Z217" s="62"/>
      <c r="AA217" s="62"/>
      <c r="AB217" s="62"/>
      <c r="AC217" s="62"/>
      <c r="AD217" s="62"/>
      <c r="AE217" s="62"/>
      <c r="AF217" s="62"/>
      <c r="AG217" s="62"/>
      <c r="AH217" s="62"/>
      <c r="AI217" s="62"/>
    </row>
    <row r="218" ht="14.25" customHeight="1">
      <c r="E218" s="2"/>
      <c r="Z218" s="62"/>
      <c r="AA218" s="62"/>
      <c r="AB218" s="62"/>
      <c r="AC218" s="62"/>
      <c r="AD218" s="62"/>
      <c r="AE218" s="62"/>
      <c r="AF218" s="62"/>
      <c r="AG218" s="62"/>
      <c r="AH218" s="62"/>
      <c r="AI218" s="62"/>
    </row>
    <row r="219" ht="14.25" customHeight="1">
      <c r="E219" s="2"/>
      <c r="Z219" s="62"/>
      <c r="AA219" s="62"/>
      <c r="AB219" s="62"/>
      <c r="AC219" s="62"/>
      <c r="AD219" s="62"/>
      <c r="AE219" s="62"/>
      <c r="AF219" s="62"/>
      <c r="AG219" s="62"/>
      <c r="AH219" s="62"/>
      <c r="AI219" s="62"/>
    </row>
    <row r="220" ht="14.25" customHeight="1">
      <c r="E220" s="2"/>
      <c r="Z220" s="62"/>
      <c r="AA220" s="62"/>
      <c r="AB220" s="62"/>
      <c r="AC220" s="62"/>
      <c r="AD220" s="62"/>
      <c r="AE220" s="62"/>
      <c r="AF220" s="62"/>
      <c r="AG220" s="62"/>
      <c r="AH220" s="62"/>
      <c r="AI220" s="6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H13">
      <formula1>"Ada,Belum Ada,Proses,Belum mengurus"</formula1>
    </dataValidation>
    <dataValidation type="list" allowBlank="1" showErrorMessage="1" sqref="G5:G7 G9">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1.57"/>
    <col customWidth="1" min="3" max="3" width="29.86"/>
    <col customWidth="1" min="4" max="4" width="11.86"/>
    <col customWidth="1" min="5" max="5" width="32.71"/>
    <col customWidth="1" min="6" max="6" width="15.86"/>
    <col customWidth="1" min="7" max="7" width="22.57"/>
    <col customWidth="1" min="8" max="11" width="21.14"/>
    <col customWidth="1" min="12" max="12" width="27.0"/>
    <col customWidth="1" min="13" max="13" width="31.29"/>
    <col customWidth="1" min="14" max="14" width="27.0"/>
    <col customWidth="1" min="15" max="15" width="30.71"/>
    <col customWidth="1" min="16" max="18" width="27.0"/>
    <col customWidth="1" min="19" max="24" width="26.43"/>
    <col customWidth="1" min="25" max="25" width="18.43"/>
    <col customWidth="1" min="26" max="35" width="8.71"/>
  </cols>
  <sheetData>
    <row r="1" ht="14.25" customHeight="1">
      <c r="L1" s="63" t="s">
        <v>1</v>
      </c>
      <c r="Z1" s="62"/>
      <c r="AA1" s="62"/>
      <c r="AB1" s="62"/>
      <c r="AC1" s="62"/>
      <c r="AD1" s="62"/>
      <c r="AE1" s="62"/>
      <c r="AF1" s="62"/>
      <c r="AG1" s="62"/>
      <c r="AH1" s="62"/>
      <c r="AI1" s="62"/>
    </row>
    <row r="2" ht="14.25" customHeight="1">
      <c r="L2" s="64" t="s">
        <v>2</v>
      </c>
      <c r="Z2" s="62"/>
      <c r="AA2" s="62"/>
      <c r="AB2" s="62"/>
      <c r="AC2" s="62"/>
      <c r="AD2" s="62"/>
      <c r="AE2" s="62"/>
      <c r="AF2" s="62"/>
      <c r="AG2" s="62"/>
      <c r="AH2" s="62"/>
      <c r="AI2" s="62"/>
    </row>
    <row r="3" ht="14.25" customHeight="1">
      <c r="Z3" s="62"/>
      <c r="AA3" s="62"/>
      <c r="AB3" s="62"/>
      <c r="AC3" s="62"/>
      <c r="AD3" s="62"/>
      <c r="AE3" s="62"/>
      <c r="AF3" s="62"/>
      <c r="AG3" s="62"/>
      <c r="AH3" s="62"/>
      <c r="AI3" s="62"/>
    </row>
    <row r="4" ht="40.5" customHeight="1">
      <c r="A4" s="65" t="s">
        <v>3</v>
      </c>
      <c r="B4" s="65" t="s">
        <v>4</v>
      </c>
      <c r="C4" s="65" t="s">
        <v>5</v>
      </c>
      <c r="D4" s="65" t="s">
        <v>6</v>
      </c>
      <c r="E4" s="65" t="s">
        <v>7</v>
      </c>
      <c r="F4" s="65" t="s">
        <v>8</v>
      </c>
      <c r="G4" s="65" t="s">
        <v>9</v>
      </c>
      <c r="H4" s="65" t="s">
        <v>1084</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14.25" customHeight="1">
      <c r="A5" s="67">
        <v>1.0</v>
      </c>
      <c r="B5" s="67"/>
      <c r="C5" s="67" t="s">
        <v>1363</v>
      </c>
      <c r="D5" s="68" t="s">
        <v>1364</v>
      </c>
      <c r="E5" s="67" t="s">
        <v>1365</v>
      </c>
      <c r="F5" s="67" t="s">
        <v>1366</v>
      </c>
      <c r="G5" s="67" t="s">
        <v>43</v>
      </c>
      <c r="H5" s="67">
        <v>2025.0</v>
      </c>
      <c r="I5" s="67" t="s">
        <v>44</v>
      </c>
      <c r="J5" s="67" t="s">
        <v>1367</v>
      </c>
      <c r="K5" s="67" t="s">
        <v>1368</v>
      </c>
      <c r="L5" s="67">
        <v>2280.0</v>
      </c>
      <c r="M5" s="119" t="s">
        <v>1369</v>
      </c>
      <c r="N5" s="67" t="s">
        <v>1370</v>
      </c>
      <c r="O5" s="67" t="s">
        <v>1371</v>
      </c>
      <c r="P5" s="67"/>
      <c r="Q5" s="67" t="s">
        <v>1372</v>
      </c>
      <c r="R5" s="67" t="s">
        <v>1373</v>
      </c>
      <c r="S5" s="67" t="s">
        <v>1374</v>
      </c>
      <c r="T5" s="67" t="s">
        <v>1375</v>
      </c>
      <c r="U5" s="67" t="s">
        <v>1376</v>
      </c>
      <c r="V5" s="67" t="s">
        <v>1377</v>
      </c>
      <c r="W5" s="67"/>
      <c r="X5" s="67"/>
      <c r="Y5" s="68"/>
      <c r="Z5" s="54" t="s">
        <v>54</v>
      </c>
      <c r="AA5" s="130" t="s">
        <v>54</v>
      </c>
      <c r="AB5" s="130" t="s">
        <v>54</v>
      </c>
      <c r="AC5" s="130" t="s">
        <v>54</v>
      </c>
      <c r="AD5" s="130" t="s">
        <v>145</v>
      </c>
      <c r="AE5" s="139" t="s">
        <v>54</v>
      </c>
      <c r="AF5" s="139" t="s">
        <v>54</v>
      </c>
      <c r="AG5" s="130" t="s">
        <v>54</v>
      </c>
      <c r="AH5" s="130" t="s">
        <v>146</v>
      </c>
      <c r="AI5" s="130">
        <v>47.0</v>
      </c>
    </row>
    <row r="6" ht="335.25" customHeight="1">
      <c r="A6" s="67">
        <v>2.0</v>
      </c>
      <c r="B6" s="67" t="s">
        <v>1378</v>
      </c>
      <c r="C6" s="67" t="s">
        <v>1379</v>
      </c>
      <c r="D6" s="68" t="s">
        <v>1380</v>
      </c>
      <c r="E6" s="67" t="s">
        <v>1381</v>
      </c>
      <c r="F6" s="67" t="s">
        <v>1382</v>
      </c>
      <c r="G6" s="67" t="s">
        <v>43</v>
      </c>
      <c r="H6" s="67">
        <v>2025.0</v>
      </c>
      <c r="I6" s="67" t="s">
        <v>44</v>
      </c>
      <c r="J6" s="67" t="s">
        <v>1383</v>
      </c>
      <c r="K6" s="84">
        <v>8.2129659896E10</v>
      </c>
      <c r="L6" s="67">
        <v>3025.0</v>
      </c>
      <c r="M6" s="154" t="s">
        <v>1384</v>
      </c>
      <c r="N6" s="67" t="s">
        <v>53</v>
      </c>
      <c r="O6" s="67" t="s">
        <v>53</v>
      </c>
      <c r="P6" s="67" t="s">
        <v>53</v>
      </c>
      <c r="Q6" s="67" t="s">
        <v>1385</v>
      </c>
      <c r="R6" s="67" t="s">
        <v>1386</v>
      </c>
      <c r="S6" s="67" t="s">
        <v>1387</v>
      </c>
      <c r="T6" s="67" t="s">
        <v>1388</v>
      </c>
      <c r="U6" s="67" t="s">
        <v>1389</v>
      </c>
      <c r="V6" s="67" t="s">
        <v>1390</v>
      </c>
      <c r="W6" s="67" t="s">
        <v>1391</v>
      </c>
      <c r="X6" s="67" t="s">
        <v>53</v>
      </c>
      <c r="Y6" s="67"/>
      <c r="Z6" s="138" t="s">
        <v>54</v>
      </c>
      <c r="AA6" s="138" t="s">
        <v>54</v>
      </c>
      <c r="AB6" s="138" t="s">
        <v>54</v>
      </c>
      <c r="AC6" s="138" t="s">
        <v>54</v>
      </c>
      <c r="AD6" s="138" t="s">
        <v>54</v>
      </c>
      <c r="AE6" s="138" t="s">
        <v>54</v>
      </c>
      <c r="AF6" s="138" t="s">
        <v>54</v>
      </c>
      <c r="AG6" s="138" t="s">
        <v>54</v>
      </c>
      <c r="AH6" s="131"/>
      <c r="AI6" s="138">
        <v>49.0</v>
      </c>
    </row>
    <row r="7" ht="14.25" customHeight="1">
      <c r="A7" s="68">
        <v>3.0</v>
      </c>
      <c r="B7" s="94" t="s">
        <v>1392</v>
      </c>
      <c r="C7" s="94" t="s">
        <v>1393</v>
      </c>
      <c r="D7" s="68" t="s">
        <v>1394</v>
      </c>
      <c r="E7" s="68" t="s">
        <v>1395</v>
      </c>
      <c r="F7" s="68" t="s">
        <v>1396</v>
      </c>
      <c r="G7" s="67" t="s">
        <v>43</v>
      </c>
      <c r="H7" s="68"/>
      <c r="I7" s="68" t="s">
        <v>44</v>
      </c>
      <c r="J7" s="68" t="s">
        <v>1397</v>
      </c>
      <c r="K7" s="68" t="s">
        <v>1398</v>
      </c>
      <c r="L7" s="68">
        <v>3000.0</v>
      </c>
      <c r="M7" s="68" t="s">
        <v>1399</v>
      </c>
      <c r="N7" s="68" t="s">
        <v>53</v>
      </c>
      <c r="O7" s="68" t="s">
        <v>53</v>
      </c>
      <c r="P7" s="68" t="s">
        <v>53</v>
      </c>
      <c r="Q7" s="68" t="s">
        <v>1400</v>
      </c>
      <c r="R7" s="68" t="s">
        <v>1401</v>
      </c>
      <c r="S7" s="68" t="s">
        <v>53</v>
      </c>
      <c r="T7" s="68"/>
      <c r="U7" s="68" t="s">
        <v>1402</v>
      </c>
      <c r="V7" s="68" t="s">
        <v>1402</v>
      </c>
      <c r="W7" s="68" t="s">
        <v>53</v>
      </c>
      <c r="X7" s="68"/>
      <c r="Y7" s="68"/>
      <c r="Z7" s="130"/>
      <c r="AA7" s="130"/>
      <c r="AB7" s="130"/>
      <c r="AC7" s="130"/>
      <c r="AD7" s="130"/>
      <c r="AE7" s="130"/>
      <c r="AF7" s="130"/>
      <c r="AG7" s="130"/>
      <c r="AH7" s="130"/>
      <c r="AI7" s="130"/>
    </row>
    <row r="8" ht="144.75" customHeight="1">
      <c r="A8" s="68">
        <v>4.0</v>
      </c>
      <c r="B8" s="68" t="s">
        <v>1403</v>
      </c>
      <c r="C8" s="68" t="s">
        <v>1404</v>
      </c>
      <c r="D8" s="68" t="s">
        <v>1405</v>
      </c>
      <c r="E8" s="68" t="s">
        <v>1352</v>
      </c>
      <c r="F8" s="68" t="s">
        <v>1406</v>
      </c>
      <c r="G8" s="67" t="s">
        <v>43</v>
      </c>
      <c r="H8" s="68" t="s">
        <v>1407</v>
      </c>
      <c r="I8" s="68" t="s">
        <v>44</v>
      </c>
      <c r="J8" s="68" t="s">
        <v>1408</v>
      </c>
      <c r="K8" s="80" t="s">
        <v>1409</v>
      </c>
      <c r="L8" s="68">
        <v>2571.0</v>
      </c>
      <c r="M8" s="68" t="s">
        <v>1410</v>
      </c>
      <c r="N8" s="68" t="s">
        <v>1411</v>
      </c>
      <c r="O8" s="68" t="s">
        <v>1412</v>
      </c>
      <c r="P8" s="68" t="s">
        <v>1413</v>
      </c>
      <c r="Q8" s="68" t="s">
        <v>1414</v>
      </c>
      <c r="R8" s="68" t="s">
        <v>1415</v>
      </c>
      <c r="S8" s="68" t="s">
        <v>1416</v>
      </c>
      <c r="T8" s="68" t="s">
        <v>1417</v>
      </c>
      <c r="U8" s="68" t="s">
        <v>1418</v>
      </c>
      <c r="V8" s="68" t="s">
        <v>1419</v>
      </c>
      <c r="W8" s="68" t="s">
        <v>1420</v>
      </c>
      <c r="X8" s="68"/>
      <c r="Y8" s="68"/>
      <c r="Z8" s="131" t="s">
        <v>54</v>
      </c>
      <c r="AA8" s="131" t="s">
        <v>54</v>
      </c>
      <c r="AB8" s="131" t="s">
        <v>146</v>
      </c>
      <c r="AC8" s="131" t="s">
        <v>54</v>
      </c>
      <c r="AD8" s="131" t="s">
        <v>54</v>
      </c>
      <c r="AE8" s="131" t="s">
        <v>145</v>
      </c>
      <c r="AF8" s="131" t="s">
        <v>54</v>
      </c>
      <c r="AG8" s="131" t="s">
        <v>54</v>
      </c>
      <c r="AH8" s="131"/>
      <c r="AI8" s="131">
        <v>47.0</v>
      </c>
    </row>
    <row r="9" ht="14.25" customHeight="1">
      <c r="A9" s="68">
        <v>5.0</v>
      </c>
      <c r="B9" s="68" t="s">
        <v>1421</v>
      </c>
      <c r="C9" s="68" t="s">
        <v>1422</v>
      </c>
      <c r="D9" s="68" t="s">
        <v>1423</v>
      </c>
      <c r="E9" s="68" t="s">
        <v>1424</v>
      </c>
      <c r="F9" s="68" t="s">
        <v>1425</v>
      </c>
      <c r="G9" s="67" t="s">
        <v>43</v>
      </c>
      <c r="H9" s="68">
        <v>2026.0</v>
      </c>
      <c r="I9" s="68" t="s">
        <v>44</v>
      </c>
      <c r="J9" s="68" t="s">
        <v>1426</v>
      </c>
      <c r="K9" s="105" t="s">
        <v>1427</v>
      </c>
      <c r="L9" s="68">
        <v>2.388</v>
      </c>
      <c r="M9" s="68" t="s">
        <v>1428</v>
      </c>
      <c r="N9" s="68" t="s">
        <v>1429</v>
      </c>
      <c r="O9" s="68" t="s">
        <v>1430</v>
      </c>
      <c r="P9" s="68" t="s">
        <v>1431</v>
      </c>
      <c r="Q9" s="68" t="s">
        <v>1432</v>
      </c>
      <c r="R9" s="68" t="s">
        <v>1433</v>
      </c>
      <c r="S9" s="68" t="s">
        <v>1434</v>
      </c>
      <c r="T9" s="68" t="s">
        <v>1435</v>
      </c>
      <c r="U9" s="68" t="s">
        <v>1436</v>
      </c>
      <c r="V9" s="68" t="s">
        <v>1437</v>
      </c>
      <c r="W9" s="68">
        <v>0.0</v>
      </c>
      <c r="X9" s="68">
        <v>0.0</v>
      </c>
      <c r="Y9" s="68"/>
      <c r="Z9" s="130"/>
      <c r="AA9" s="130"/>
      <c r="AB9" s="130"/>
      <c r="AC9" s="130"/>
      <c r="AD9" s="130"/>
      <c r="AE9" s="130"/>
      <c r="AF9" s="130"/>
      <c r="AG9" s="130"/>
      <c r="AH9" s="130"/>
      <c r="AI9" s="130"/>
    </row>
    <row r="10" ht="14.25" customHeight="1">
      <c r="A10" s="68">
        <v>6.0</v>
      </c>
      <c r="B10" s="68" t="s">
        <v>1403</v>
      </c>
      <c r="C10" s="68" t="s">
        <v>1438</v>
      </c>
      <c r="D10" s="68" t="s">
        <v>1439</v>
      </c>
      <c r="E10" s="68" t="s">
        <v>1440</v>
      </c>
      <c r="F10" s="68" t="s">
        <v>1441</v>
      </c>
      <c r="G10" s="67" t="s">
        <v>43</v>
      </c>
      <c r="H10" s="155">
        <v>45898.0</v>
      </c>
      <c r="I10" s="68" t="s">
        <v>44</v>
      </c>
      <c r="J10" s="68" t="s">
        <v>1442</v>
      </c>
      <c r="K10" s="80" t="s">
        <v>1443</v>
      </c>
      <c r="L10" s="76">
        <v>2436.0</v>
      </c>
      <c r="M10" s="68">
        <v>0.0</v>
      </c>
      <c r="N10" s="76">
        <v>0.0</v>
      </c>
      <c r="O10" s="68">
        <v>0.0</v>
      </c>
      <c r="P10" s="76">
        <v>0.0</v>
      </c>
      <c r="Q10" s="76" t="s">
        <v>1444</v>
      </c>
      <c r="R10" s="76" t="s">
        <v>1445</v>
      </c>
      <c r="S10" s="76" t="s">
        <v>1446</v>
      </c>
      <c r="T10" s="76" t="s">
        <v>1447</v>
      </c>
      <c r="U10" s="76" t="s">
        <v>1448</v>
      </c>
      <c r="V10" s="76" t="s">
        <v>1449</v>
      </c>
      <c r="W10" s="76" t="s">
        <v>1450</v>
      </c>
      <c r="X10" s="68">
        <v>0.0</v>
      </c>
      <c r="Y10" s="68"/>
      <c r="Z10" s="131" t="s">
        <v>54</v>
      </c>
      <c r="AA10" s="131" t="s">
        <v>54</v>
      </c>
      <c r="AB10" s="131" t="s">
        <v>54</v>
      </c>
      <c r="AC10" s="131" t="s">
        <v>54</v>
      </c>
      <c r="AD10" s="138" t="s">
        <v>54</v>
      </c>
      <c r="AE10" s="138" t="s">
        <v>54</v>
      </c>
      <c r="AF10" s="131" t="s">
        <v>54</v>
      </c>
      <c r="AG10" s="131" t="s">
        <v>54</v>
      </c>
      <c r="AH10" s="138" t="s">
        <v>54</v>
      </c>
      <c r="AI10" s="131">
        <v>49.0</v>
      </c>
    </row>
    <row r="11" ht="14.25" customHeight="1">
      <c r="A11" s="68">
        <v>7.0</v>
      </c>
      <c r="B11" s="68" t="s">
        <v>1451</v>
      </c>
      <c r="C11" s="73" t="s">
        <v>1452</v>
      </c>
      <c r="D11" s="68"/>
      <c r="E11" s="68"/>
      <c r="F11" s="68" t="s">
        <v>1451</v>
      </c>
      <c r="G11" s="68" t="s">
        <v>43</v>
      </c>
      <c r="H11" s="68"/>
      <c r="I11" s="68" t="s">
        <v>1453</v>
      </c>
      <c r="J11" s="68" t="s">
        <v>1454</v>
      </c>
      <c r="K11" s="68"/>
      <c r="L11" s="68">
        <v>3009.0</v>
      </c>
      <c r="M11" s="68"/>
      <c r="N11" s="68"/>
      <c r="O11" s="68"/>
      <c r="P11" s="68" t="s">
        <v>1455</v>
      </c>
      <c r="Q11" s="68" t="s">
        <v>1456</v>
      </c>
      <c r="R11" s="68" t="s">
        <v>1457</v>
      </c>
      <c r="S11" s="68" t="s">
        <v>1458</v>
      </c>
      <c r="T11" s="68" t="s">
        <v>1459</v>
      </c>
      <c r="U11" s="68" t="s">
        <v>1459</v>
      </c>
      <c r="V11" s="68" t="s">
        <v>1459</v>
      </c>
      <c r="W11" s="68" t="s">
        <v>1460</v>
      </c>
      <c r="X11" s="68"/>
      <c r="Y11" s="68"/>
      <c r="Z11" s="130" t="s">
        <v>54</v>
      </c>
      <c r="AA11" s="130" t="s">
        <v>54</v>
      </c>
      <c r="AB11" s="130" t="s">
        <v>146</v>
      </c>
      <c r="AC11" s="130" t="s">
        <v>146</v>
      </c>
      <c r="AD11" s="130" t="s">
        <v>145</v>
      </c>
      <c r="AE11" s="130" t="s">
        <v>54</v>
      </c>
      <c r="AF11" s="130" t="s">
        <v>145</v>
      </c>
      <c r="AG11" s="130" t="s">
        <v>54</v>
      </c>
      <c r="AH11" s="130" t="s">
        <v>54</v>
      </c>
      <c r="AI11" s="130">
        <v>47.0</v>
      </c>
    </row>
    <row r="12" ht="14.25" customHeight="1">
      <c r="A12" s="68">
        <v>8.0</v>
      </c>
      <c r="B12" s="73" t="s">
        <v>1461</v>
      </c>
      <c r="C12" s="73" t="s">
        <v>1462</v>
      </c>
      <c r="D12" s="83"/>
      <c r="E12" s="83"/>
      <c r="F12" s="83"/>
      <c r="G12" s="83"/>
      <c r="H12" s="68"/>
      <c r="I12" s="68"/>
      <c r="J12" s="68"/>
      <c r="K12" s="68" t="s">
        <v>1463</v>
      </c>
      <c r="L12" s="68"/>
      <c r="M12" s="68"/>
      <c r="N12" s="68"/>
      <c r="O12" s="68"/>
      <c r="P12" s="68"/>
      <c r="Q12" s="68"/>
      <c r="R12" s="68"/>
      <c r="S12" s="68"/>
      <c r="T12" s="68" t="s">
        <v>1464</v>
      </c>
      <c r="U12" s="68"/>
      <c r="V12" s="68"/>
      <c r="W12" s="68"/>
      <c r="X12" s="68"/>
      <c r="Y12" s="68"/>
      <c r="Z12" s="131"/>
      <c r="AA12" s="131"/>
      <c r="AB12" s="131"/>
      <c r="AC12" s="131"/>
      <c r="AD12" s="131"/>
      <c r="AE12" s="131"/>
      <c r="AF12" s="131"/>
      <c r="AG12" s="131"/>
      <c r="AH12" s="131"/>
      <c r="AI12" s="131"/>
    </row>
    <row r="13" ht="14.25" customHeight="1">
      <c r="A13" s="68">
        <v>9.0</v>
      </c>
      <c r="B13" s="68" t="s">
        <v>1465</v>
      </c>
      <c r="C13" s="68" t="s">
        <v>1466</v>
      </c>
      <c r="D13" s="68"/>
      <c r="E13" s="68"/>
      <c r="F13" s="68"/>
      <c r="G13" s="68"/>
      <c r="H13" s="68"/>
      <c r="I13" s="68"/>
      <c r="J13" s="68"/>
      <c r="K13" s="68"/>
      <c r="L13" s="68"/>
      <c r="M13" s="68"/>
      <c r="N13" s="68"/>
      <c r="O13" s="68"/>
      <c r="P13" s="68"/>
      <c r="Q13" s="68"/>
      <c r="R13" s="68"/>
      <c r="S13" s="68"/>
      <c r="T13" s="68"/>
      <c r="U13" s="68"/>
      <c r="V13" s="68"/>
      <c r="W13" s="68"/>
      <c r="X13" s="68"/>
      <c r="Y13" s="68"/>
      <c r="Z13" s="130"/>
      <c r="AA13" s="130"/>
      <c r="AB13" s="130"/>
      <c r="AC13" s="130"/>
      <c r="AD13" s="130"/>
      <c r="AE13" s="130"/>
      <c r="AF13" s="130"/>
      <c r="AG13" s="130"/>
      <c r="AH13" s="130"/>
      <c r="AI13" s="130"/>
    </row>
    <row r="14" ht="14.25" customHeight="1">
      <c r="A14" s="68">
        <v>10.0</v>
      </c>
      <c r="B14" s="68" t="s">
        <v>1467</v>
      </c>
      <c r="C14" s="68" t="s">
        <v>1468</v>
      </c>
      <c r="D14" s="68"/>
      <c r="E14" s="68"/>
      <c r="F14" s="68"/>
      <c r="G14" s="68"/>
      <c r="H14" s="68"/>
      <c r="I14" s="68"/>
      <c r="J14" s="68"/>
      <c r="K14" s="68"/>
      <c r="L14" s="68"/>
      <c r="M14" s="68"/>
      <c r="N14" s="68"/>
      <c r="O14" s="68"/>
      <c r="P14" s="68"/>
      <c r="Q14" s="68"/>
      <c r="R14" s="68"/>
      <c r="S14" s="68"/>
      <c r="T14" s="68"/>
      <c r="U14" s="68"/>
      <c r="V14" s="68"/>
      <c r="W14" s="68"/>
      <c r="X14" s="68"/>
      <c r="Y14" s="68"/>
      <c r="Z14" s="131"/>
      <c r="AA14" s="131"/>
      <c r="AB14" s="131"/>
      <c r="AC14" s="131"/>
      <c r="AD14" s="131"/>
      <c r="AE14" s="131"/>
      <c r="AF14" s="131"/>
      <c r="AG14" s="131"/>
      <c r="AH14" s="131"/>
      <c r="AI14" s="131"/>
    </row>
    <row r="15" ht="14.25" customHeight="1">
      <c r="A15" s="68">
        <v>11.0</v>
      </c>
      <c r="B15" s="68" t="s">
        <v>1469</v>
      </c>
      <c r="C15" s="68" t="s">
        <v>1470</v>
      </c>
      <c r="D15" s="68" t="s">
        <v>1471</v>
      </c>
      <c r="E15" s="68" t="s">
        <v>1472</v>
      </c>
      <c r="F15" s="68" t="s">
        <v>1473</v>
      </c>
      <c r="G15" s="68" t="s">
        <v>43</v>
      </c>
      <c r="H15" s="68" t="s">
        <v>1474</v>
      </c>
      <c r="I15" s="68" t="s">
        <v>1475</v>
      </c>
      <c r="J15" s="68" t="s">
        <v>1476</v>
      </c>
      <c r="K15" s="68">
        <v>8.223198415E10</v>
      </c>
      <c r="L15" s="68">
        <v>2146.0</v>
      </c>
      <c r="M15" s="73" t="s">
        <v>1477</v>
      </c>
      <c r="N15" s="156" t="s">
        <v>1478</v>
      </c>
      <c r="O15" s="156" t="s">
        <v>1479</v>
      </c>
      <c r="P15" s="68" t="s">
        <v>1480</v>
      </c>
      <c r="Q15" s="68" t="s">
        <v>1481</v>
      </c>
      <c r="R15" s="68" t="s">
        <v>1482</v>
      </c>
      <c r="S15" s="68" t="s">
        <v>1483</v>
      </c>
      <c r="T15" s="68" t="s">
        <v>1484</v>
      </c>
      <c r="U15" s="68" t="s">
        <v>1485</v>
      </c>
      <c r="V15" s="68" t="s">
        <v>1486</v>
      </c>
      <c r="W15" s="68" t="s">
        <v>1487</v>
      </c>
      <c r="X15" s="68"/>
      <c r="Y15" s="68"/>
      <c r="Z15" s="131" t="s">
        <v>145</v>
      </c>
      <c r="AA15" s="131" t="s">
        <v>54</v>
      </c>
      <c r="AB15" s="131" t="s">
        <v>54</v>
      </c>
      <c r="AC15" s="131" t="s">
        <v>146</v>
      </c>
      <c r="AD15" s="131" t="s">
        <v>145</v>
      </c>
      <c r="AE15" s="131" t="s">
        <v>146</v>
      </c>
      <c r="AF15" s="131" t="s">
        <v>145</v>
      </c>
      <c r="AG15" s="131" t="s">
        <v>145</v>
      </c>
      <c r="AH15" s="131" t="s">
        <v>146</v>
      </c>
      <c r="AI15" s="131">
        <v>47.0</v>
      </c>
    </row>
    <row r="16" ht="14.25" customHeight="1">
      <c r="A16" s="68">
        <v>12.0</v>
      </c>
      <c r="B16" s="68" t="s">
        <v>1488</v>
      </c>
      <c r="C16" s="68" t="s">
        <v>1489</v>
      </c>
      <c r="D16" s="68"/>
      <c r="E16" s="68"/>
      <c r="F16" s="68"/>
      <c r="G16" s="68"/>
      <c r="H16" s="68"/>
      <c r="I16" s="68"/>
      <c r="J16" s="68"/>
      <c r="K16" s="68"/>
      <c r="L16" s="68"/>
      <c r="M16" s="83"/>
      <c r="N16" s="83"/>
      <c r="O16" s="68"/>
      <c r="P16" s="68"/>
      <c r="Q16" s="68"/>
      <c r="R16" s="68"/>
      <c r="S16" s="68"/>
      <c r="T16" s="68"/>
      <c r="U16" s="68"/>
      <c r="V16" s="68"/>
      <c r="W16" s="68"/>
      <c r="X16" s="68"/>
      <c r="Y16" s="68"/>
      <c r="Z16" s="131"/>
      <c r="AA16" s="131"/>
      <c r="AB16" s="131"/>
      <c r="AC16" s="131"/>
      <c r="AD16" s="131"/>
      <c r="AE16" s="131"/>
      <c r="AF16" s="131"/>
      <c r="AG16" s="131"/>
      <c r="AH16" s="131"/>
      <c r="AI16" s="131"/>
    </row>
    <row r="17" ht="14.25" customHeight="1">
      <c r="A17" s="68"/>
      <c r="B17" s="68"/>
      <c r="C17" s="68"/>
      <c r="D17" s="68"/>
      <c r="E17" s="68"/>
      <c r="F17" s="68"/>
      <c r="G17" s="68"/>
      <c r="H17" s="68"/>
      <c r="I17" s="68"/>
      <c r="J17" s="68"/>
      <c r="K17" s="68"/>
      <c r="L17" s="68"/>
      <c r="M17" s="83"/>
      <c r="N17" s="83"/>
      <c r="O17" s="68"/>
      <c r="P17" s="68"/>
      <c r="Q17" s="68"/>
      <c r="R17" s="68"/>
      <c r="S17" s="68"/>
      <c r="T17" s="68"/>
      <c r="U17" s="68"/>
      <c r="V17" s="68"/>
      <c r="W17" s="68"/>
      <c r="X17" s="68"/>
      <c r="Y17" s="68"/>
      <c r="Z17" s="131"/>
      <c r="AA17" s="131"/>
      <c r="AB17" s="131"/>
      <c r="AC17" s="131"/>
      <c r="AD17" s="131"/>
      <c r="AE17" s="131"/>
      <c r="AF17" s="131"/>
      <c r="AG17" s="131"/>
      <c r="AH17" s="131"/>
      <c r="AI17" s="131"/>
    </row>
    <row r="18" ht="14.25" customHeight="1">
      <c r="E18" s="62" t="s">
        <v>216</v>
      </c>
      <c r="F18" s="62">
        <v>9.0</v>
      </c>
      <c r="Z18" s="26"/>
      <c r="AA18" s="26"/>
      <c r="AB18" s="26"/>
      <c r="AC18" s="26"/>
      <c r="AD18" s="26"/>
      <c r="AE18" s="26"/>
      <c r="AF18" s="26"/>
      <c r="AG18" s="26"/>
      <c r="AH18" s="26"/>
      <c r="AI18" s="26"/>
    </row>
    <row r="19" ht="14.25" customHeight="1">
      <c r="E19" s="62" t="s">
        <v>217</v>
      </c>
      <c r="F19" s="62">
        <v>3.0</v>
      </c>
      <c r="Z19" s="25"/>
      <c r="AA19" s="25"/>
      <c r="AB19" s="25"/>
      <c r="AC19" s="25"/>
      <c r="AD19" s="25"/>
      <c r="AE19" s="25"/>
      <c r="AF19" s="25"/>
      <c r="AG19" s="25"/>
      <c r="AH19" s="25"/>
      <c r="AI19" s="25"/>
    </row>
    <row r="20" ht="14.25" customHeight="1">
      <c r="E20" s="62" t="s">
        <v>1490</v>
      </c>
      <c r="F20" s="62">
        <v>4.0</v>
      </c>
      <c r="Z20" s="26"/>
      <c r="AA20" s="26"/>
      <c r="AB20" s="26"/>
      <c r="AC20" s="26"/>
      <c r="AD20" s="26"/>
      <c r="AE20" s="26"/>
      <c r="AF20" s="26"/>
      <c r="AG20" s="26"/>
      <c r="AH20" s="26"/>
      <c r="AI20" s="26"/>
    </row>
    <row r="21" ht="14.25" customHeight="1">
      <c r="E21" s="62" t="s">
        <v>1491</v>
      </c>
      <c r="F21" s="62">
        <v>21.0</v>
      </c>
      <c r="Z21" s="25"/>
      <c r="AA21" s="25"/>
      <c r="AB21" s="25"/>
      <c r="AC21" s="25"/>
      <c r="AD21" s="25"/>
      <c r="AE21" s="25"/>
      <c r="AF21" s="25"/>
      <c r="AG21" s="25"/>
      <c r="AH21" s="25"/>
      <c r="AI21" s="25"/>
    </row>
    <row r="22" ht="14.25" customHeight="1">
      <c r="Z22" s="26"/>
      <c r="AA22" s="26"/>
      <c r="AB22" s="26"/>
      <c r="AC22" s="26"/>
      <c r="AD22" s="26"/>
      <c r="AE22" s="26"/>
      <c r="AF22" s="26"/>
      <c r="AG22" s="26"/>
      <c r="AH22" s="26"/>
      <c r="AI22" s="26"/>
    </row>
    <row r="23" ht="14.25" customHeight="1">
      <c r="Z23" s="25"/>
      <c r="AA23" s="25"/>
      <c r="AB23" s="25"/>
      <c r="AC23" s="25"/>
      <c r="AD23" s="25"/>
      <c r="AE23" s="25"/>
      <c r="AF23" s="25"/>
      <c r="AG23" s="25"/>
      <c r="AH23" s="25"/>
      <c r="AI23" s="25"/>
    </row>
    <row r="24" ht="14.25" customHeight="1">
      <c r="Z24" s="62"/>
      <c r="AA24" s="62"/>
      <c r="AB24" s="62"/>
      <c r="AC24" s="62"/>
      <c r="AD24" s="62"/>
      <c r="AE24" s="62"/>
      <c r="AF24" s="62"/>
      <c r="AG24" s="62"/>
      <c r="AH24" s="62"/>
      <c r="AI24" s="62"/>
    </row>
    <row r="25" ht="14.25" customHeight="1">
      <c r="Z25" s="62"/>
      <c r="AA25" s="62"/>
      <c r="AB25" s="62"/>
      <c r="AC25" s="62"/>
      <c r="AD25" s="62"/>
      <c r="AE25" s="62"/>
      <c r="AF25" s="62"/>
      <c r="AG25" s="62"/>
      <c r="AH25" s="62"/>
      <c r="AI25" s="62"/>
    </row>
    <row r="26" ht="14.25" customHeight="1">
      <c r="Z26" s="62"/>
      <c r="AA26" s="62"/>
      <c r="AB26" s="62"/>
      <c r="AC26" s="62"/>
      <c r="AD26" s="62"/>
      <c r="AE26" s="62"/>
      <c r="AF26" s="62"/>
      <c r="AG26" s="62"/>
      <c r="AH26" s="62"/>
      <c r="AI26" s="62"/>
    </row>
    <row r="27" ht="14.25" customHeight="1">
      <c r="Z27" s="62"/>
      <c r="AA27" s="62"/>
      <c r="AB27" s="62"/>
      <c r="AC27" s="62"/>
      <c r="AD27" s="62"/>
      <c r="AE27" s="62"/>
      <c r="AF27" s="62"/>
      <c r="AG27" s="62"/>
      <c r="AH27" s="62"/>
      <c r="AI27" s="62"/>
    </row>
    <row r="28" ht="14.25" customHeight="1">
      <c r="Z28" s="62"/>
      <c r="AA28" s="62"/>
      <c r="AB28" s="62"/>
      <c r="AC28" s="62"/>
      <c r="AD28" s="62"/>
      <c r="AE28" s="62"/>
      <c r="AF28" s="62"/>
      <c r="AG28" s="62"/>
      <c r="AH28" s="62"/>
      <c r="AI28" s="62"/>
    </row>
    <row r="29" ht="14.25" customHeight="1">
      <c r="Z29" s="62"/>
      <c r="AA29" s="62"/>
      <c r="AB29" s="62"/>
      <c r="AC29" s="62"/>
      <c r="AD29" s="62"/>
      <c r="AE29" s="62"/>
      <c r="AF29" s="62"/>
      <c r="AG29" s="62"/>
      <c r="AH29" s="62"/>
      <c r="AI29" s="62"/>
    </row>
    <row r="30" ht="14.25" customHeight="1">
      <c r="Z30" s="62"/>
      <c r="AA30" s="62"/>
      <c r="AB30" s="62"/>
      <c r="AC30" s="62"/>
      <c r="AD30" s="62"/>
      <c r="AE30" s="62"/>
      <c r="AF30" s="62"/>
      <c r="AG30" s="62"/>
      <c r="AH30" s="62"/>
      <c r="AI30" s="62"/>
    </row>
    <row r="31" ht="14.25" customHeight="1">
      <c r="Z31" s="62"/>
      <c r="AA31" s="62"/>
      <c r="AB31" s="62"/>
      <c r="AC31" s="62"/>
      <c r="AD31" s="62"/>
      <c r="AE31" s="62"/>
      <c r="AF31" s="62"/>
      <c r="AG31" s="62"/>
      <c r="AH31" s="62"/>
      <c r="AI31" s="62"/>
    </row>
    <row r="32" ht="14.25" customHeight="1">
      <c r="Z32" s="62"/>
      <c r="AA32" s="62"/>
      <c r="AB32" s="62"/>
      <c r="AC32" s="62"/>
      <c r="AD32" s="62"/>
      <c r="AE32" s="62"/>
      <c r="AF32" s="62"/>
      <c r="AG32" s="62"/>
      <c r="AH32" s="62"/>
      <c r="AI32" s="62"/>
    </row>
    <row r="33" ht="14.25" customHeight="1">
      <c r="Z33" s="62"/>
      <c r="AA33" s="62"/>
      <c r="AB33" s="62"/>
      <c r="AC33" s="62"/>
      <c r="AD33" s="62"/>
      <c r="AE33" s="62"/>
      <c r="AF33" s="62"/>
      <c r="AG33" s="62"/>
      <c r="AH33" s="62"/>
      <c r="AI33" s="62"/>
    </row>
    <row r="34" ht="14.25" customHeight="1">
      <c r="Z34" s="62"/>
      <c r="AA34" s="62"/>
      <c r="AB34" s="62"/>
      <c r="AC34" s="62"/>
      <c r="AD34" s="62"/>
      <c r="AE34" s="62"/>
      <c r="AF34" s="62"/>
      <c r="AG34" s="62"/>
      <c r="AH34" s="62"/>
      <c r="AI34" s="62"/>
    </row>
    <row r="35" ht="14.25" customHeight="1">
      <c r="Z35" s="62"/>
      <c r="AA35" s="62"/>
      <c r="AB35" s="62"/>
      <c r="AC35" s="62"/>
      <c r="AD35" s="62"/>
      <c r="AE35" s="62"/>
      <c r="AF35" s="62"/>
      <c r="AG35" s="62"/>
      <c r="AH35" s="62"/>
      <c r="AI35" s="62"/>
    </row>
    <row r="36" ht="14.25" customHeight="1">
      <c r="Z36" s="62"/>
      <c r="AA36" s="62"/>
      <c r="AB36" s="62"/>
      <c r="AC36" s="62"/>
      <c r="AD36" s="62"/>
      <c r="AE36" s="62"/>
      <c r="AF36" s="62"/>
      <c r="AG36" s="62"/>
      <c r="AH36" s="62"/>
      <c r="AI36" s="62"/>
    </row>
    <row r="37" ht="14.25" customHeight="1">
      <c r="Z37" s="62"/>
      <c r="AA37" s="62"/>
      <c r="AB37" s="62"/>
      <c r="AC37" s="62"/>
      <c r="AD37" s="62"/>
      <c r="AE37" s="62"/>
      <c r="AF37" s="62"/>
      <c r="AG37" s="62"/>
      <c r="AH37" s="62"/>
      <c r="AI37" s="62"/>
    </row>
    <row r="38" ht="14.25" customHeight="1">
      <c r="Z38" s="62"/>
      <c r="AA38" s="62"/>
      <c r="AB38" s="62"/>
      <c r="AC38" s="62"/>
      <c r="AD38" s="62"/>
      <c r="AE38" s="62"/>
      <c r="AF38" s="62"/>
      <c r="AG38" s="62"/>
      <c r="AH38" s="62"/>
      <c r="AI38" s="62"/>
    </row>
    <row r="39" ht="14.25" customHeight="1">
      <c r="Z39" s="62"/>
      <c r="AA39" s="62"/>
      <c r="AB39" s="62"/>
      <c r="AC39" s="62"/>
      <c r="AD39" s="62"/>
      <c r="AE39" s="62"/>
      <c r="AF39" s="62"/>
      <c r="AG39" s="62"/>
      <c r="AH39" s="62"/>
      <c r="AI39" s="62"/>
    </row>
    <row r="40" ht="14.25" customHeight="1">
      <c r="Z40" s="62"/>
      <c r="AA40" s="62"/>
      <c r="AB40" s="62"/>
      <c r="AC40" s="62"/>
      <c r="AD40" s="62"/>
      <c r="AE40" s="62"/>
      <c r="AF40" s="62"/>
      <c r="AG40" s="62"/>
      <c r="AH40" s="62"/>
      <c r="AI40" s="62"/>
    </row>
    <row r="41" ht="14.25" customHeight="1">
      <c r="Z41" s="62"/>
      <c r="AA41" s="62"/>
      <c r="AB41" s="62"/>
      <c r="AC41" s="62"/>
      <c r="AD41" s="62"/>
      <c r="AE41" s="62"/>
      <c r="AF41" s="62"/>
      <c r="AG41" s="62"/>
      <c r="AH41" s="62"/>
      <c r="AI41" s="62"/>
    </row>
    <row r="42" ht="14.25" customHeight="1">
      <c r="Z42" s="62"/>
      <c r="AA42" s="62"/>
      <c r="AB42" s="62"/>
      <c r="AC42" s="62"/>
      <c r="AD42" s="62"/>
      <c r="AE42" s="62"/>
      <c r="AF42" s="62"/>
      <c r="AG42" s="62"/>
      <c r="AH42" s="62"/>
      <c r="AI42" s="62"/>
    </row>
    <row r="43" ht="14.25" customHeight="1">
      <c r="Z43" s="62"/>
      <c r="AA43" s="62"/>
      <c r="AB43" s="62"/>
      <c r="AC43" s="62"/>
      <c r="AD43" s="62"/>
      <c r="AE43" s="62"/>
      <c r="AF43" s="62"/>
      <c r="AG43" s="62"/>
      <c r="AH43" s="62"/>
      <c r="AI43" s="62"/>
    </row>
    <row r="44" ht="14.25" customHeight="1">
      <c r="Z44" s="62"/>
      <c r="AA44" s="62"/>
      <c r="AB44" s="62"/>
      <c r="AC44" s="62"/>
      <c r="AD44" s="62"/>
      <c r="AE44" s="62"/>
      <c r="AF44" s="62"/>
      <c r="AG44" s="62"/>
      <c r="AH44" s="62"/>
      <c r="AI44" s="62"/>
    </row>
    <row r="45" ht="14.25" customHeight="1">
      <c r="Z45" s="62"/>
      <c r="AA45" s="62"/>
      <c r="AB45" s="62"/>
      <c r="AC45" s="62"/>
      <c r="AD45" s="62"/>
      <c r="AE45" s="62"/>
      <c r="AF45" s="62"/>
      <c r="AG45" s="62"/>
      <c r="AH45" s="62"/>
      <c r="AI45" s="62"/>
    </row>
    <row r="46" ht="14.25" customHeight="1">
      <c r="Z46" s="62"/>
      <c r="AA46" s="62"/>
      <c r="AB46" s="62"/>
      <c r="AC46" s="62"/>
      <c r="AD46" s="62"/>
      <c r="AE46" s="62"/>
      <c r="AF46" s="62"/>
      <c r="AG46" s="62"/>
      <c r="AH46" s="62"/>
      <c r="AI46" s="62"/>
    </row>
    <row r="47" ht="14.25" customHeight="1">
      <c r="Z47" s="62"/>
      <c r="AA47" s="62"/>
      <c r="AB47" s="62"/>
      <c r="AC47" s="62"/>
      <c r="AD47" s="62"/>
      <c r="AE47" s="62"/>
      <c r="AF47" s="62"/>
      <c r="AG47" s="62"/>
      <c r="AH47" s="62"/>
      <c r="AI47" s="62"/>
    </row>
    <row r="48" ht="14.25" customHeight="1">
      <c r="Z48" s="62"/>
      <c r="AA48" s="62"/>
      <c r="AB48" s="62"/>
      <c r="AC48" s="62"/>
      <c r="AD48" s="62"/>
      <c r="AE48" s="62"/>
      <c r="AF48" s="62"/>
      <c r="AG48" s="62"/>
      <c r="AH48" s="62"/>
      <c r="AI48" s="62"/>
    </row>
    <row r="49" ht="14.25" customHeight="1">
      <c r="Z49" s="62"/>
      <c r="AA49" s="62"/>
      <c r="AB49" s="62"/>
      <c r="AC49" s="62"/>
      <c r="AD49" s="62"/>
      <c r="AE49" s="62"/>
      <c r="AF49" s="62"/>
      <c r="AG49" s="62"/>
      <c r="AH49" s="62"/>
      <c r="AI49" s="62"/>
    </row>
    <row r="50" ht="14.25" customHeight="1">
      <c r="Z50" s="62"/>
      <c r="AA50" s="62"/>
      <c r="AB50" s="62"/>
      <c r="AC50" s="62"/>
      <c r="AD50" s="62"/>
      <c r="AE50" s="62"/>
      <c r="AF50" s="62"/>
      <c r="AG50" s="62"/>
      <c r="AH50" s="62"/>
      <c r="AI50" s="62"/>
    </row>
    <row r="51" ht="14.25" customHeight="1">
      <c r="Z51" s="62"/>
      <c r="AA51" s="62"/>
      <c r="AB51" s="62"/>
      <c r="AC51" s="62"/>
      <c r="AD51" s="62"/>
      <c r="AE51" s="62"/>
      <c r="AF51" s="62"/>
      <c r="AG51" s="62"/>
      <c r="AH51" s="62"/>
      <c r="AI51" s="62"/>
    </row>
    <row r="52" ht="14.25" customHeight="1">
      <c r="Z52" s="62"/>
      <c r="AA52" s="62"/>
      <c r="AB52" s="62"/>
      <c r="AC52" s="62"/>
      <c r="AD52" s="62"/>
      <c r="AE52" s="62"/>
      <c r="AF52" s="62"/>
      <c r="AG52" s="62"/>
      <c r="AH52" s="62"/>
      <c r="AI52" s="62"/>
    </row>
    <row r="53" ht="14.25" customHeight="1">
      <c r="Z53" s="62"/>
      <c r="AA53" s="62"/>
      <c r="AB53" s="62"/>
      <c r="AC53" s="62"/>
      <c r="AD53" s="62"/>
      <c r="AE53" s="62"/>
      <c r="AF53" s="62"/>
      <c r="AG53" s="62"/>
      <c r="AH53" s="62"/>
      <c r="AI53" s="62"/>
    </row>
    <row r="54" ht="14.25" customHeight="1">
      <c r="Z54" s="62"/>
      <c r="AA54" s="62"/>
      <c r="AB54" s="62"/>
      <c r="AC54" s="62"/>
      <c r="AD54" s="62"/>
      <c r="AE54" s="62"/>
      <c r="AF54" s="62"/>
      <c r="AG54" s="62"/>
      <c r="AH54" s="62"/>
      <c r="AI54" s="62"/>
    </row>
    <row r="55" ht="14.25" customHeight="1">
      <c r="Z55" s="62"/>
      <c r="AA55" s="62"/>
      <c r="AB55" s="62"/>
      <c r="AC55" s="62"/>
      <c r="AD55" s="62"/>
      <c r="AE55" s="62"/>
      <c r="AF55" s="62"/>
      <c r="AG55" s="62"/>
      <c r="AH55" s="62"/>
      <c r="AI55" s="62"/>
    </row>
    <row r="56" ht="14.25" customHeight="1">
      <c r="Z56" s="62"/>
      <c r="AA56" s="62"/>
      <c r="AB56" s="62"/>
      <c r="AC56" s="62"/>
      <c r="AD56" s="62"/>
      <c r="AE56" s="62"/>
      <c r="AF56" s="62"/>
      <c r="AG56" s="62"/>
      <c r="AH56" s="62"/>
      <c r="AI56" s="62"/>
    </row>
    <row r="57" ht="14.25" customHeight="1">
      <c r="Z57" s="62"/>
      <c r="AA57" s="62"/>
      <c r="AB57" s="62"/>
      <c r="AC57" s="62"/>
      <c r="AD57" s="62"/>
      <c r="AE57" s="62"/>
      <c r="AF57" s="62"/>
      <c r="AG57" s="62"/>
      <c r="AH57" s="62"/>
      <c r="AI57" s="62"/>
    </row>
    <row r="58" ht="14.25" customHeight="1">
      <c r="Z58" s="62"/>
      <c r="AA58" s="62"/>
      <c r="AB58" s="62"/>
      <c r="AC58" s="62"/>
      <c r="AD58" s="62"/>
      <c r="AE58" s="62"/>
      <c r="AF58" s="62"/>
      <c r="AG58" s="62"/>
      <c r="AH58" s="62"/>
      <c r="AI58" s="62"/>
    </row>
    <row r="59" ht="14.25" customHeight="1">
      <c r="Z59" s="62"/>
      <c r="AA59" s="62"/>
      <c r="AB59" s="62"/>
      <c r="AC59" s="62"/>
      <c r="AD59" s="62"/>
      <c r="AE59" s="62"/>
      <c r="AF59" s="62"/>
      <c r="AG59" s="62"/>
      <c r="AH59" s="62"/>
      <c r="AI59" s="62"/>
    </row>
    <row r="60" ht="14.25" customHeight="1">
      <c r="Z60" s="62"/>
      <c r="AA60" s="62"/>
      <c r="AB60" s="62"/>
      <c r="AC60" s="62"/>
      <c r="AD60" s="62"/>
      <c r="AE60" s="62"/>
      <c r="AF60" s="62"/>
      <c r="AG60" s="62"/>
      <c r="AH60" s="62"/>
      <c r="AI60" s="62"/>
    </row>
    <row r="61" ht="14.25" customHeight="1">
      <c r="Z61" s="62"/>
      <c r="AA61" s="62"/>
      <c r="AB61" s="62"/>
      <c r="AC61" s="62"/>
      <c r="AD61" s="62"/>
      <c r="AE61" s="62"/>
      <c r="AF61" s="62"/>
      <c r="AG61" s="62"/>
      <c r="AH61" s="62"/>
      <c r="AI61" s="62"/>
    </row>
    <row r="62" ht="14.25" customHeight="1">
      <c r="Z62" s="62"/>
      <c r="AA62" s="62"/>
      <c r="AB62" s="62"/>
      <c r="AC62" s="62"/>
      <c r="AD62" s="62"/>
      <c r="AE62" s="62"/>
      <c r="AF62" s="62"/>
      <c r="AG62" s="62"/>
      <c r="AH62" s="62"/>
      <c r="AI62" s="62"/>
    </row>
    <row r="63" ht="14.25" customHeight="1">
      <c r="Z63" s="62"/>
      <c r="AA63" s="62"/>
      <c r="AB63" s="62"/>
      <c r="AC63" s="62"/>
      <c r="AD63" s="62"/>
      <c r="AE63" s="62"/>
      <c r="AF63" s="62"/>
      <c r="AG63" s="62"/>
      <c r="AH63" s="62"/>
      <c r="AI63" s="62"/>
    </row>
    <row r="64" ht="14.25" customHeight="1">
      <c r="Z64" s="62"/>
      <c r="AA64" s="62"/>
      <c r="AB64" s="62"/>
      <c r="AC64" s="62"/>
      <c r="AD64" s="62"/>
      <c r="AE64" s="62"/>
      <c r="AF64" s="62"/>
      <c r="AG64" s="62"/>
      <c r="AH64" s="62"/>
      <c r="AI64" s="62"/>
    </row>
    <row r="65" ht="14.25" customHeight="1">
      <c r="Z65" s="62"/>
      <c r="AA65" s="62"/>
      <c r="AB65" s="62"/>
      <c r="AC65" s="62"/>
      <c r="AD65" s="62"/>
      <c r="AE65" s="62"/>
      <c r="AF65" s="62"/>
      <c r="AG65" s="62"/>
      <c r="AH65" s="62"/>
      <c r="AI65" s="62"/>
    </row>
    <row r="66" ht="14.25" customHeight="1">
      <c r="Z66" s="62"/>
      <c r="AA66" s="62"/>
      <c r="AB66" s="62"/>
      <c r="AC66" s="62"/>
      <c r="AD66" s="62"/>
      <c r="AE66" s="62"/>
      <c r="AF66" s="62"/>
      <c r="AG66" s="62"/>
      <c r="AH66" s="62"/>
      <c r="AI66" s="62"/>
    </row>
    <row r="67" ht="14.25" customHeight="1">
      <c r="Z67" s="62"/>
      <c r="AA67" s="62"/>
      <c r="AB67" s="62"/>
      <c r="AC67" s="62"/>
      <c r="AD67" s="62"/>
      <c r="AE67" s="62"/>
      <c r="AF67" s="62"/>
      <c r="AG67" s="62"/>
      <c r="AH67" s="62"/>
      <c r="AI67" s="62"/>
    </row>
    <row r="68" ht="14.25" customHeight="1">
      <c r="Z68" s="62"/>
      <c r="AA68" s="62"/>
      <c r="AB68" s="62"/>
      <c r="AC68" s="62"/>
      <c r="AD68" s="62"/>
      <c r="AE68" s="62"/>
      <c r="AF68" s="62"/>
      <c r="AG68" s="62"/>
      <c r="AH68" s="62"/>
      <c r="AI68" s="62"/>
    </row>
    <row r="69" ht="14.25" customHeight="1">
      <c r="Z69" s="62"/>
      <c r="AA69" s="62"/>
      <c r="AB69" s="62"/>
      <c r="AC69" s="62"/>
      <c r="AD69" s="62"/>
      <c r="AE69" s="62"/>
      <c r="AF69" s="62"/>
      <c r="AG69" s="62"/>
      <c r="AH69" s="62"/>
      <c r="AI69" s="62"/>
    </row>
    <row r="70" ht="14.25" customHeight="1">
      <c r="Z70" s="62"/>
      <c r="AA70" s="62"/>
      <c r="AB70" s="62"/>
      <c r="AC70" s="62"/>
      <c r="AD70" s="62"/>
      <c r="AE70" s="62"/>
      <c r="AF70" s="62"/>
      <c r="AG70" s="62"/>
      <c r="AH70" s="62"/>
      <c r="AI70" s="62"/>
    </row>
    <row r="71" ht="14.25" customHeight="1">
      <c r="Z71" s="62"/>
      <c r="AA71" s="62"/>
      <c r="AB71" s="62"/>
      <c r="AC71" s="62"/>
      <c r="AD71" s="62"/>
      <c r="AE71" s="62"/>
      <c r="AF71" s="62"/>
      <c r="AG71" s="62"/>
      <c r="AH71" s="62"/>
      <c r="AI71" s="62"/>
    </row>
    <row r="72" ht="14.25" customHeight="1">
      <c r="Z72" s="62"/>
      <c r="AA72" s="62"/>
      <c r="AB72" s="62"/>
      <c r="AC72" s="62"/>
      <c r="AD72" s="62"/>
      <c r="AE72" s="62"/>
      <c r="AF72" s="62"/>
      <c r="AG72" s="62"/>
      <c r="AH72" s="62"/>
      <c r="AI72" s="62"/>
    </row>
    <row r="73" ht="14.25" customHeight="1">
      <c r="Z73" s="62"/>
      <c r="AA73" s="62"/>
      <c r="AB73" s="62"/>
      <c r="AC73" s="62"/>
      <c r="AD73" s="62"/>
      <c r="AE73" s="62"/>
      <c r="AF73" s="62"/>
      <c r="AG73" s="62"/>
      <c r="AH73" s="62"/>
      <c r="AI73" s="62"/>
    </row>
    <row r="74" ht="14.25" customHeight="1">
      <c r="Z74" s="62"/>
      <c r="AA74" s="62"/>
      <c r="AB74" s="62"/>
      <c r="AC74" s="62"/>
      <c r="AD74" s="62"/>
      <c r="AE74" s="62"/>
      <c r="AF74" s="62"/>
      <c r="AG74" s="62"/>
      <c r="AH74" s="62"/>
      <c r="AI74" s="62"/>
    </row>
    <row r="75" ht="14.25" customHeight="1">
      <c r="Z75" s="62"/>
      <c r="AA75" s="62"/>
      <c r="AB75" s="62"/>
      <c r="AC75" s="62"/>
      <c r="AD75" s="62"/>
      <c r="AE75" s="62"/>
      <c r="AF75" s="62"/>
      <c r="AG75" s="62"/>
      <c r="AH75" s="62"/>
      <c r="AI75" s="62"/>
    </row>
    <row r="76" ht="14.25" customHeight="1">
      <c r="Z76" s="62"/>
      <c r="AA76" s="62"/>
      <c r="AB76" s="62"/>
      <c r="AC76" s="62"/>
      <c r="AD76" s="62"/>
      <c r="AE76" s="62"/>
      <c r="AF76" s="62"/>
      <c r="AG76" s="62"/>
      <c r="AH76" s="62"/>
      <c r="AI76" s="62"/>
    </row>
    <row r="77" ht="14.25" customHeight="1">
      <c r="Z77" s="62"/>
      <c r="AA77" s="62"/>
      <c r="AB77" s="62"/>
      <c r="AC77" s="62"/>
      <c r="AD77" s="62"/>
      <c r="AE77" s="62"/>
      <c r="AF77" s="62"/>
      <c r="AG77" s="62"/>
      <c r="AH77" s="62"/>
      <c r="AI77" s="62"/>
    </row>
    <row r="78" ht="14.25" customHeight="1">
      <c r="Z78" s="62"/>
      <c r="AA78" s="62"/>
      <c r="AB78" s="62"/>
      <c r="AC78" s="62"/>
      <c r="AD78" s="62"/>
      <c r="AE78" s="62"/>
      <c r="AF78" s="62"/>
      <c r="AG78" s="62"/>
      <c r="AH78" s="62"/>
      <c r="AI78" s="62"/>
    </row>
    <row r="79" ht="14.25" customHeight="1">
      <c r="Z79" s="62"/>
      <c r="AA79" s="62"/>
      <c r="AB79" s="62"/>
      <c r="AC79" s="62"/>
      <c r="AD79" s="62"/>
      <c r="AE79" s="62"/>
      <c r="AF79" s="62"/>
      <c r="AG79" s="62"/>
      <c r="AH79" s="62"/>
      <c r="AI79" s="62"/>
    </row>
    <row r="80" ht="14.25" customHeight="1">
      <c r="Z80" s="62"/>
      <c r="AA80" s="62"/>
      <c r="AB80" s="62"/>
      <c r="AC80" s="62"/>
      <c r="AD80" s="62"/>
      <c r="AE80" s="62"/>
      <c r="AF80" s="62"/>
      <c r="AG80" s="62"/>
      <c r="AH80" s="62"/>
      <c r="AI80" s="62"/>
    </row>
    <row r="81" ht="14.25" customHeight="1">
      <c r="Z81" s="62"/>
      <c r="AA81" s="62"/>
      <c r="AB81" s="62"/>
      <c r="AC81" s="62"/>
      <c r="AD81" s="62"/>
      <c r="AE81" s="62"/>
      <c r="AF81" s="62"/>
      <c r="AG81" s="62"/>
      <c r="AH81" s="62"/>
      <c r="AI81" s="62"/>
    </row>
    <row r="82" ht="14.25" customHeight="1">
      <c r="Z82" s="62"/>
      <c r="AA82" s="62"/>
      <c r="AB82" s="62"/>
      <c r="AC82" s="62"/>
      <c r="AD82" s="62"/>
      <c r="AE82" s="62"/>
      <c r="AF82" s="62"/>
      <c r="AG82" s="62"/>
      <c r="AH82" s="62"/>
      <c r="AI82" s="62"/>
    </row>
    <row r="83" ht="14.25" customHeight="1">
      <c r="Z83" s="62"/>
      <c r="AA83" s="62"/>
      <c r="AB83" s="62"/>
      <c r="AC83" s="62"/>
      <c r="AD83" s="62"/>
      <c r="AE83" s="62"/>
      <c r="AF83" s="62"/>
      <c r="AG83" s="62"/>
      <c r="AH83" s="62"/>
      <c r="AI83" s="62"/>
    </row>
    <row r="84" ht="14.25" customHeight="1">
      <c r="Z84" s="62"/>
      <c r="AA84" s="62"/>
      <c r="AB84" s="62"/>
      <c r="AC84" s="62"/>
      <c r="AD84" s="62"/>
      <c r="AE84" s="62"/>
      <c r="AF84" s="62"/>
      <c r="AG84" s="62"/>
      <c r="AH84" s="62"/>
      <c r="AI84" s="62"/>
    </row>
    <row r="85" ht="14.25" customHeight="1">
      <c r="Z85" s="62"/>
      <c r="AA85" s="62"/>
      <c r="AB85" s="62"/>
      <c r="AC85" s="62"/>
      <c r="AD85" s="62"/>
      <c r="AE85" s="62"/>
      <c r="AF85" s="62"/>
      <c r="AG85" s="62"/>
      <c r="AH85" s="62"/>
      <c r="AI85" s="62"/>
    </row>
    <row r="86" ht="14.25" customHeight="1">
      <c r="Z86" s="62"/>
      <c r="AA86" s="62"/>
      <c r="AB86" s="62"/>
      <c r="AC86" s="62"/>
      <c r="AD86" s="62"/>
      <c r="AE86" s="62"/>
      <c r="AF86" s="62"/>
      <c r="AG86" s="62"/>
      <c r="AH86" s="62"/>
      <c r="AI86" s="62"/>
    </row>
    <row r="87" ht="14.25" customHeight="1">
      <c r="Z87" s="62"/>
      <c r="AA87" s="62"/>
      <c r="AB87" s="62"/>
      <c r="AC87" s="62"/>
      <c r="AD87" s="62"/>
      <c r="AE87" s="62"/>
      <c r="AF87" s="62"/>
      <c r="AG87" s="62"/>
      <c r="AH87" s="62"/>
      <c r="AI87" s="62"/>
    </row>
    <row r="88" ht="14.25" customHeight="1">
      <c r="Z88" s="62"/>
      <c r="AA88" s="62"/>
      <c r="AB88" s="62"/>
      <c r="AC88" s="62"/>
      <c r="AD88" s="62"/>
      <c r="AE88" s="62"/>
      <c r="AF88" s="62"/>
      <c r="AG88" s="62"/>
      <c r="AH88" s="62"/>
      <c r="AI88" s="62"/>
    </row>
    <row r="89" ht="14.25" customHeight="1">
      <c r="Z89" s="62"/>
      <c r="AA89" s="62"/>
      <c r="AB89" s="62"/>
      <c r="AC89" s="62"/>
      <c r="AD89" s="62"/>
      <c r="AE89" s="62"/>
      <c r="AF89" s="62"/>
      <c r="AG89" s="62"/>
      <c r="AH89" s="62"/>
      <c r="AI89" s="62"/>
    </row>
    <row r="90" ht="14.25" customHeight="1">
      <c r="Z90" s="62"/>
      <c r="AA90" s="62"/>
      <c r="AB90" s="62"/>
      <c r="AC90" s="62"/>
      <c r="AD90" s="62"/>
      <c r="AE90" s="62"/>
      <c r="AF90" s="62"/>
      <c r="AG90" s="62"/>
      <c r="AH90" s="62"/>
      <c r="AI90" s="62"/>
    </row>
    <row r="91" ht="14.25" customHeight="1">
      <c r="Z91" s="62"/>
      <c r="AA91" s="62"/>
      <c r="AB91" s="62"/>
      <c r="AC91" s="62"/>
      <c r="AD91" s="62"/>
      <c r="AE91" s="62"/>
      <c r="AF91" s="62"/>
      <c r="AG91" s="62"/>
      <c r="AH91" s="62"/>
      <c r="AI91" s="62"/>
    </row>
    <row r="92" ht="14.25" customHeight="1">
      <c r="Z92" s="62"/>
      <c r="AA92" s="62"/>
      <c r="AB92" s="62"/>
      <c r="AC92" s="62"/>
      <c r="AD92" s="62"/>
      <c r="AE92" s="62"/>
      <c r="AF92" s="62"/>
      <c r="AG92" s="62"/>
      <c r="AH92" s="62"/>
      <c r="AI92" s="62"/>
    </row>
    <row r="93" ht="14.25" customHeight="1">
      <c r="Z93" s="62"/>
      <c r="AA93" s="62"/>
      <c r="AB93" s="62"/>
      <c r="AC93" s="62"/>
      <c r="AD93" s="62"/>
      <c r="AE93" s="62"/>
      <c r="AF93" s="62"/>
      <c r="AG93" s="62"/>
      <c r="AH93" s="62"/>
      <c r="AI93" s="62"/>
    </row>
    <row r="94" ht="14.25" customHeight="1">
      <c r="Z94" s="62"/>
      <c r="AA94" s="62"/>
      <c r="AB94" s="62"/>
      <c r="AC94" s="62"/>
      <c r="AD94" s="62"/>
      <c r="AE94" s="62"/>
      <c r="AF94" s="62"/>
      <c r="AG94" s="62"/>
      <c r="AH94" s="62"/>
      <c r="AI94" s="62"/>
    </row>
    <row r="95" ht="14.25" customHeight="1">
      <c r="Z95" s="62"/>
      <c r="AA95" s="62"/>
      <c r="AB95" s="62"/>
      <c r="AC95" s="62"/>
      <c r="AD95" s="62"/>
      <c r="AE95" s="62"/>
      <c r="AF95" s="62"/>
      <c r="AG95" s="62"/>
      <c r="AH95" s="62"/>
      <c r="AI95" s="62"/>
    </row>
    <row r="96" ht="14.25" customHeight="1">
      <c r="Z96" s="62"/>
      <c r="AA96" s="62"/>
      <c r="AB96" s="62"/>
      <c r="AC96" s="62"/>
      <c r="AD96" s="62"/>
      <c r="AE96" s="62"/>
      <c r="AF96" s="62"/>
      <c r="AG96" s="62"/>
      <c r="AH96" s="62"/>
      <c r="AI96" s="62"/>
    </row>
    <row r="97" ht="14.25" customHeight="1">
      <c r="Z97" s="62"/>
      <c r="AA97" s="62"/>
      <c r="AB97" s="62"/>
      <c r="AC97" s="62"/>
      <c r="AD97" s="62"/>
      <c r="AE97" s="62"/>
      <c r="AF97" s="62"/>
      <c r="AG97" s="62"/>
      <c r="AH97" s="62"/>
      <c r="AI97" s="62"/>
    </row>
    <row r="98" ht="14.25" customHeight="1">
      <c r="Z98" s="62"/>
      <c r="AA98" s="62"/>
      <c r="AB98" s="62"/>
      <c r="AC98" s="62"/>
      <c r="AD98" s="62"/>
      <c r="AE98" s="62"/>
      <c r="AF98" s="62"/>
      <c r="AG98" s="62"/>
      <c r="AH98" s="62"/>
      <c r="AI98" s="62"/>
    </row>
    <row r="99" ht="14.25" customHeight="1">
      <c r="Z99" s="62"/>
      <c r="AA99" s="62"/>
      <c r="AB99" s="62"/>
      <c r="AC99" s="62"/>
      <c r="AD99" s="62"/>
      <c r="AE99" s="62"/>
      <c r="AF99" s="62"/>
      <c r="AG99" s="62"/>
      <c r="AH99" s="62"/>
      <c r="AI99" s="62"/>
    </row>
    <row r="100" ht="14.25" customHeight="1">
      <c r="Z100" s="62"/>
      <c r="AA100" s="62"/>
      <c r="AB100" s="62"/>
      <c r="AC100" s="62"/>
      <c r="AD100" s="62"/>
      <c r="AE100" s="62"/>
      <c r="AF100" s="62"/>
      <c r="AG100" s="62"/>
      <c r="AH100" s="62"/>
      <c r="AI100" s="62"/>
    </row>
    <row r="101" ht="14.25" customHeight="1">
      <c r="Z101" s="62"/>
      <c r="AA101" s="62"/>
      <c r="AB101" s="62"/>
      <c r="AC101" s="62"/>
      <c r="AD101" s="62"/>
      <c r="AE101" s="62"/>
      <c r="AF101" s="62"/>
      <c r="AG101" s="62"/>
      <c r="AH101" s="62"/>
      <c r="AI101" s="62"/>
    </row>
    <row r="102" ht="14.25" customHeight="1">
      <c r="Z102" s="62"/>
      <c r="AA102" s="62"/>
      <c r="AB102" s="62"/>
      <c r="AC102" s="62"/>
      <c r="AD102" s="62"/>
      <c r="AE102" s="62"/>
      <c r="AF102" s="62"/>
      <c r="AG102" s="62"/>
      <c r="AH102" s="62"/>
      <c r="AI102" s="62"/>
    </row>
    <row r="103" ht="14.25" customHeight="1">
      <c r="Z103" s="62"/>
      <c r="AA103" s="62"/>
      <c r="AB103" s="62"/>
      <c r="AC103" s="62"/>
      <c r="AD103" s="62"/>
      <c r="AE103" s="62"/>
      <c r="AF103" s="62"/>
      <c r="AG103" s="62"/>
      <c r="AH103" s="62"/>
      <c r="AI103" s="62"/>
    </row>
    <row r="104" ht="14.25" customHeight="1">
      <c r="Z104" s="62"/>
      <c r="AA104" s="62"/>
      <c r="AB104" s="62"/>
      <c r="AC104" s="62"/>
      <c r="AD104" s="62"/>
      <c r="AE104" s="62"/>
      <c r="AF104" s="62"/>
      <c r="AG104" s="62"/>
      <c r="AH104" s="62"/>
      <c r="AI104" s="62"/>
    </row>
    <row r="105" ht="14.25" customHeight="1">
      <c r="Z105" s="62"/>
      <c r="AA105" s="62"/>
      <c r="AB105" s="62"/>
      <c r="AC105" s="62"/>
      <c r="AD105" s="62"/>
      <c r="AE105" s="62"/>
      <c r="AF105" s="62"/>
      <c r="AG105" s="62"/>
      <c r="AH105" s="62"/>
      <c r="AI105" s="62"/>
    </row>
    <row r="106" ht="14.25" customHeight="1">
      <c r="Z106" s="62"/>
      <c r="AA106" s="62"/>
      <c r="AB106" s="62"/>
      <c r="AC106" s="62"/>
      <c r="AD106" s="62"/>
      <c r="AE106" s="62"/>
      <c r="AF106" s="62"/>
      <c r="AG106" s="62"/>
      <c r="AH106" s="62"/>
      <c r="AI106" s="62"/>
    </row>
    <row r="107" ht="14.25" customHeight="1">
      <c r="Z107" s="62"/>
      <c r="AA107" s="62"/>
      <c r="AB107" s="62"/>
      <c r="AC107" s="62"/>
      <c r="AD107" s="62"/>
      <c r="AE107" s="62"/>
      <c r="AF107" s="62"/>
      <c r="AG107" s="62"/>
      <c r="AH107" s="62"/>
      <c r="AI107" s="62"/>
    </row>
    <row r="108" ht="14.25" customHeight="1">
      <c r="Z108" s="62"/>
      <c r="AA108" s="62"/>
      <c r="AB108" s="62"/>
      <c r="AC108" s="62"/>
      <c r="AD108" s="62"/>
      <c r="AE108" s="62"/>
      <c r="AF108" s="62"/>
      <c r="AG108" s="62"/>
      <c r="AH108" s="62"/>
      <c r="AI108" s="62"/>
    </row>
    <row r="109" ht="14.25" customHeight="1">
      <c r="Z109" s="62"/>
      <c r="AA109" s="62"/>
      <c r="AB109" s="62"/>
      <c r="AC109" s="62"/>
      <c r="AD109" s="62"/>
      <c r="AE109" s="62"/>
      <c r="AF109" s="62"/>
      <c r="AG109" s="62"/>
      <c r="AH109" s="62"/>
      <c r="AI109" s="62"/>
    </row>
    <row r="110" ht="14.25" customHeight="1">
      <c r="Z110" s="62"/>
      <c r="AA110" s="62"/>
      <c r="AB110" s="62"/>
      <c r="AC110" s="62"/>
      <c r="AD110" s="62"/>
      <c r="AE110" s="62"/>
      <c r="AF110" s="62"/>
      <c r="AG110" s="62"/>
      <c r="AH110" s="62"/>
      <c r="AI110" s="62"/>
    </row>
    <row r="111" ht="14.25" customHeight="1">
      <c r="Z111" s="62"/>
      <c r="AA111" s="62"/>
      <c r="AB111" s="62"/>
      <c r="AC111" s="62"/>
      <c r="AD111" s="62"/>
      <c r="AE111" s="62"/>
      <c r="AF111" s="62"/>
      <c r="AG111" s="62"/>
      <c r="AH111" s="62"/>
      <c r="AI111" s="62"/>
    </row>
    <row r="112" ht="14.25" customHeight="1">
      <c r="Z112" s="62"/>
      <c r="AA112" s="62"/>
      <c r="AB112" s="62"/>
      <c r="AC112" s="62"/>
      <c r="AD112" s="62"/>
      <c r="AE112" s="62"/>
      <c r="AF112" s="62"/>
      <c r="AG112" s="62"/>
      <c r="AH112" s="62"/>
      <c r="AI112" s="62"/>
    </row>
    <row r="113" ht="14.25" customHeight="1">
      <c r="Z113" s="62"/>
      <c r="AA113" s="62"/>
      <c r="AB113" s="62"/>
      <c r="AC113" s="62"/>
      <c r="AD113" s="62"/>
      <c r="AE113" s="62"/>
      <c r="AF113" s="62"/>
      <c r="AG113" s="62"/>
      <c r="AH113" s="62"/>
      <c r="AI113" s="62"/>
    </row>
    <row r="114" ht="14.25" customHeight="1">
      <c r="Z114" s="62"/>
      <c r="AA114" s="62"/>
      <c r="AB114" s="62"/>
      <c r="AC114" s="62"/>
      <c r="AD114" s="62"/>
      <c r="AE114" s="62"/>
      <c r="AF114" s="62"/>
      <c r="AG114" s="62"/>
      <c r="AH114" s="62"/>
      <c r="AI114" s="62"/>
    </row>
    <row r="115" ht="14.25" customHeight="1">
      <c r="Z115" s="62"/>
      <c r="AA115" s="62"/>
      <c r="AB115" s="62"/>
      <c r="AC115" s="62"/>
      <c r="AD115" s="62"/>
      <c r="AE115" s="62"/>
      <c r="AF115" s="62"/>
      <c r="AG115" s="62"/>
      <c r="AH115" s="62"/>
      <c r="AI115" s="62"/>
    </row>
    <row r="116" ht="14.25" customHeight="1">
      <c r="Z116" s="62"/>
      <c r="AA116" s="62"/>
      <c r="AB116" s="62"/>
      <c r="AC116" s="62"/>
      <c r="AD116" s="62"/>
      <c r="AE116" s="62"/>
      <c r="AF116" s="62"/>
      <c r="AG116" s="62"/>
      <c r="AH116" s="62"/>
      <c r="AI116" s="62"/>
    </row>
    <row r="117" ht="14.25" customHeight="1">
      <c r="Z117" s="62"/>
      <c r="AA117" s="62"/>
      <c r="AB117" s="62"/>
      <c r="AC117" s="62"/>
      <c r="AD117" s="62"/>
      <c r="AE117" s="62"/>
      <c r="AF117" s="62"/>
      <c r="AG117" s="62"/>
      <c r="AH117" s="62"/>
      <c r="AI117" s="62"/>
    </row>
    <row r="118" ht="14.25" customHeight="1">
      <c r="Z118" s="62"/>
      <c r="AA118" s="62"/>
      <c r="AB118" s="62"/>
      <c r="AC118" s="62"/>
      <c r="AD118" s="62"/>
      <c r="AE118" s="62"/>
      <c r="AF118" s="62"/>
      <c r="AG118" s="62"/>
      <c r="AH118" s="62"/>
      <c r="AI118" s="62"/>
    </row>
    <row r="119" ht="14.25" customHeight="1">
      <c r="Z119" s="62"/>
      <c r="AA119" s="62"/>
      <c r="AB119" s="62"/>
      <c r="AC119" s="62"/>
      <c r="AD119" s="62"/>
      <c r="AE119" s="62"/>
      <c r="AF119" s="62"/>
      <c r="AG119" s="62"/>
      <c r="AH119" s="62"/>
      <c r="AI119" s="62"/>
    </row>
    <row r="120" ht="14.25" customHeight="1">
      <c r="Z120" s="62"/>
      <c r="AA120" s="62"/>
      <c r="AB120" s="62"/>
      <c r="AC120" s="62"/>
      <c r="AD120" s="62"/>
      <c r="AE120" s="62"/>
      <c r="AF120" s="62"/>
      <c r="AG120" s="62"/>
      <c r="AH120" s="62"/>
      <c r="AI120" s="62"/>
    </row>
    <row r="121" ht="14.25" customHeight="1">
      <c r="Z121" s="62"/>
      <c r="AA121" s="62"/>
      <c r="AB121" s="62"/>
      <c r="AC121" s="62"/>
      <c r="AD121" s="62"/>
      <c r="AE121" s="62"/>
      <c r="AF121" s="62"/>
      <c r="AG121" s="62"/>
      <c r="AH121" s="62"/>
      <c r="AI121" s="62"/>
    </row>
    <row r="122" ht="14.25" customHeight="1">
      <c r="Z122" s="62"/>
      <c r="AA122" s="62"/>
      <c r="AB122" s="62"/>
      <c r="AC122" s="62"/>
      <c r="AD122" s="62"/>
      <c r="AE122" s="62"/>
      <c r="AF122" s="62"/>
      <c r="AG122" s="62"/>
      <c r="AH122" s="62"/>
      <c r="AI122" s="62"/>
    </row>
    <row r="123" ht="14.25" customHeight="1">
      <c r="Z123" s="62"/>
      <c r="AA123" s="62"/>
      <c r="AB123" s="62"/>
      <c r="AC123" s="62"/>
      <c r="AD123" s="62"/>
      <c r="AE123" s="62"/>
      <c r="AF123" s="62"/>
      <c r="AG123" s="62"/>
      <c r="AH123" s="62"/>
      <c r="AI123" s="62"/>
    </row>
    <row r="124" ht="14.25" customHeight="1">
      <c r="Z124" s="62"/>
      <c r="AA124" s="62"/>
      <c r="AB124" s="62"/>
      <c r="AC124" s="62"/>
      <c r="AD124" s="62"/>
      <c r="AE124" s="62"/>
      <c r="AF124" s="62"/>
      <c r="AG124" s="62"/>
      <c r="AH124" s="62"/>
      <c r="AI124" s="62"/>
    </row>
    <row r="125" ht="14.25" customHeight="1">
      <c r="Z125" s="62"/>
      <c r="AA125" s="62"/>
      <c r="AB125" s="62"/>
      <c r="AC125" s="62"/>
      <c r="AD125" s="62"/>
      <c r="AE125" s="62"/>
      <c r="AF125" s="62"/>
      <c r="AG125" s="62"/>
      <c r="AH125" s="62"/>
      <c r="AI125" s="62"/>
    </row>
    <row r="126" ht="14.25" customHeight="1">
      <c r="Z126" s="62"/>
      <c r="AA126" s="62"/>
      <c r="AB126" s="62"/>
      <c r="AC126" s="62"/>
      <c r="AD126" s="62"/>
      <c r="AE126" s="62"/>
      <c r="AF126" s="62"/>
      <c r="AG126" s="62"/>
      <c r="AH126" s="62"/>
      <c r="AI126" s="62"/>
    </row>
    <row r="127" ht="14.25" customHeight="1">
      <c r="Z127" s="62"/>
      <c r="AA127" s="62"/>
      <c r="AB127" s="62"/>
      <c r="AC127" s="62"/>
      <c r="AD127" s="62"/>
      <c r="AE127" s="62"/>
      <c r="AF127" s="62"/>
      <c r="AG127" s="62"/>
      <c r="AH127" s="62"/>
      <c r="AI127" s="62"/>
    </row>
    <row r="128" ht="14.25" customHeight="1">
      <c r="Z128" s="62"/>
      <c r="AA128" s="62"/>
      <c r="AB128" s="62"/>
      <c r="AC128" s="62"/>
      <c r="AD128" s="62"/>
      <c r="AE128" s="62"/>
      <c r="AF128" s="62"/>
      <c r="AG128" s="62"/>
      <c r="AH128" s="62"/>
      <c r="AI128" s="62"/>
    </row>
    <row r="129" ht="14.25" customHeight="1">
      <c r="Z129" s="62"/>
      <c r="AA129" s="62"/>
      <c r="AB129" s="62"/>
      <c r="AC129" s="62"/>
      <c r="AD129" s="62"/>
      <c r="AE129" s="62"/>
      <c r="AF129" s="62"/>
      <c r="AG129" s="62"/>
      <c r="AH129" s="62"/>
      <c r="AI129" s="62"/>
    </row>
    <row r="130" ht="14.25" customHeight="1">
      <c r="Z130" s="62"/>
      <c r="AA130" s="62"/>
      <c r="AB130" s="62"/>
      <c r="AC130" s="62"/>
      <c r="AD130" s="62"/>
      <c r="AE130" s="62"/>
      <c r="AF130" s="62"/>
      <c r="AG130" s="62"/>
      <c r="AH130" s="62"/>
      <c r="AI130" s="62"/>
    </row>
    <row r="131" ht="14.25" customHeight="1">
      <c r="Z131" s="62"/>
      <c r="AA131" s="62"/>
      <c r="AB131" s="62"/>
      <c r="AC131" s="62"/>
      <c r="AD131" s="62"/>
      <c r="AE131" s="62"/>
      <c r="AF131" s="62"/>
      <c r="AG131" s="62"/>
      <c r="AH131" s="62"/>
      <c r="AI131" s="62"/>
    </row>
    <row r="132" ht="14.25" customHeight="1">
      <c r="Z132" s="62"/>
      <c r="AA132" s="62"/>
      <c r="AB132" s="62"/>
      <c r="AC132" s="62"/>
      <c r="AD132" s="62"/>
      <c r="AE132" s="62"/>
      <c r="AF132" s="62"/>
      <c r="AG132" s="62"/>
      <c r="AH132" s="62"/>
      <c r="AI132" s="62"/>
    </row>
    <row r="133" ht="14.25" customHeight="1">
      <c r="Z133" s="62"/>
      <c r="AA133" s="62"/>
      <c r="AB133" s="62"/>
      <c r="AC133" s="62"/>
      <c r="AD133" s="62"/>
      <c r="AE133" s="62"/>
      <c r="AF133" s="62"/>
      <c r="AG133" s="62"/>
      <c r="AH133" s="62"/>
      <c r="AI133" s="62"/>
    </row>
    <row r="134" ht="14.25" customHeight="1">
      <c r="Z134" s="62"/>
      <c r="AA134" s="62"/>
      <c r="AB134" s="62"/>
      <c r="AC134" s="62"/>
      <c r="AD134" s="62"/>
      <c r="AE134" s="62"/>
      <c r="AF134" s="62"/>
      <c r="AG134" s="62"/>
      <c r="AH134" s="62"/>
      <c r="AI134" s="62"/>
    </row>
    <row r="135" ht="14.25" customHeight="1">
      <c r="Z135" s="62"/>
      <c r="AA135" s="62"/>
      <c r="AB135" s="62"/>
      <c r="AC135" s="62"/>
      <c r="AD135" s="62"/>
      <c r="AE135" s="62"/>
      <c r="AF135" s="62"/>
      <c r="AG135" s="62"/>
      <c r="AH135" s="62"/>
      <c r="AI135" s="62"/>
    </row>
    <row r="136" ht="14.25" customHeight="1">
      <c r="Z136" s="62"/>
      <c r="AA136" s="62"/>
      <c r="AB136" s="62"/>
      <c r="AC136" s="62"/>
      <c r="AD136" s="62"/>
      <c r="AE136" s="62"/>
      <c r="AF136" s="62"/>
      <c r="AG136" s="62"/>
      <c r="AH136" s="62"/>
      <c r="AI136" s="62"/>
    </row>
    <row r="137" ht="14.25" customHeight="1">
      <c r="Z137" s="62"/>
      <c r="AA137" s="62"/>
      <c r="AB137" s="62"/>
      <c r="AC137" s="62"/>
      <c r="AD137" s="62"/>
      <c r="AE137" s="62"/>
      <c r="AF137" s="62"/>
      <c r="AG137" s="62"/>
      <c r="AH137" s="62"/>
      <c r="AI137" s="62"/>
    </row>
    <row r="138" ht="14.25" customHeight="1">
      <c r="Z138" s="62"/>
      <c r="AA138" s="62"/>
      <c r="AB138" s="62"/>
      <c r="AC138" s="62"/>
      <c r="AD138" s="62"/>
      <c r="AE138" s="62"/>
      <c r="AF138" s="62"/>
      <c r="AG138" s="62"/>
      <c r="AH138" s="62"/>
      <c r="AI138" s="62"/>
    </row>
    <row r="139" ht="14.25" customHeight="1">
      <c r="Z139" s="62"/>
      <c r="AA139" s="62"/>
      <c r="AB139" s="62"/>
      <c r="AC139" s="62"/>
      <c r="AD139" s="62"/>
      <c r="AE139" s="62"/>
      <c r="AF139" s="62"/>
      <c r="AG139" s="62"/>
      <c r="AH139" s="62"/>
      <c r="AI139" s="62"/>
    </row>
    <row r="140" ht="14.25" customHeight="1">
      <c r="Z140" s="62"/>
      <c r="AA140" s="62"/>
      <c r="AB140" s="62"/>
      <c r="AC140" s="62"/>
      <c r="AD140" s="62"/>
      <c r="AE140" s="62"/>
      <c r="AF140" s="62"/>
      <c r="AG140" s="62"/>
      <c r="AH140" s="62"/>
      <c r="AI140" s="62"/>
    </row>
    <row r="141" ht="14.25" customHeight="1">
      <c r="Z141" s="62"/>
      <c r="AA141" s="62"/>
      <c r="AB141" s="62"/>
      <c r="AC141" s="62"/>
      <c r="AD141" s="62"/>
      <c r="AE141" s="62"/>
      <c r="AF141" s="62"/>
      <c r="AG141" s="62"/>
      <c r="AH141" s="62"/>
      <c r="AI141" s="62"/>
    </row>
    <row r="142" ht="14.25" customHeight="1">
      <c r="Z142" s="62"/>
      <c r="AA142" s="62"/>
      <c r="AB142" s="62"/>
      <c r="AC142" s="62"/>
      <c r="AD142" s="62"/>
      <c r="AE142" s="62"/>
      <c r="AF142" s="62"/>
      <c r="AG142" s="62"/>
      <c r="AH142" s="62"/>
      <c r="AI142" s="62"/>
    </row>
    <row r="143" ht="14.25" customHeight="1">
      <c r="Z143" s="62"/>
      <c r="AA143" s="62"/>
      <c r="AB143" s="62"/>
      <c r="AC143" s="62"/>
      <c r="AD143" s="62"/>
      <c r="AE143" s="62"/>
      <c r="AF143" s="62"/>
      <c r="AG143" s="62"/>
      <c r="AH143" s="62"/>
      <c r="AI143" s="62"/>
    </row>
    <row r="144" ht="14.25" customHeight="1">
      <c r="Z144" s="62"/>
      <c r="AA144" s="62"/>
      <c r="AB144" s="62"/>
      <c r="AC144" s="62"/>
      <c r="AD144" s="62"/>
      <c r="AE144" s="62"/>
      <c r="AF144" s="62"/>
      <c r="AG144" s="62"/>
      <c r="AH144" s="62"/>
      <c r="AI144" s="62"/>
    </row>
    <row r="145" ht="14.25" customHeight="1">
      <c r="Z145" s="62"/>
      <c r="AA145" s="62"/>
      <c r="AB145" s="62"/>
      <c r="AC145" s="62"/>
      <c r="AD145" s="62"/>
      <c r="AE145" s="62"/>
      <c r="AF145" s="62"/>
      <c r="AG145" s="62"/>
      <c r="AH145" s="62"/>
      <c r="AI145" s="62"/>
    </row>
    <row r="146" ht="14.25" customHeight="1">
      <c r="Z146" s="62"/>
      <c r="AA146" s="62"/>
      <c r="AB146" s="62"/>
      <c r="AC146" s="62"/>
      <c r="AD146" s="62"/>
      <c r="AE146" s="62"/>
      <c r="AF146" s="62"/>
      <c r="AG146" s="62"/>
      <c r="AH146" s="62"/>
      <c r="AI146" s="62"/>
    </row>
    <row r="147" ht="14.25" customHeight="1">
      <c r="Z147" s="62"/>
      <c r="AA147" s="62"/>
      <c r="AB147" s="62"/>
      <c r="AC147" s="62"/>
      <c r="AD147" s="62"/>
      <c r="AE147" s="62"/>
      <c r="AF147" s="62"/>
      <c r="AG147" s="62"/>
      <c r="AH147" s="62"/>
      <c r="AI147" s="62"/>
    </row>
    <row r="148" ht="14.25" customHeight="1">
      <c r="Z148" s="62"/>
      <c r="AA148" s="62"/>
      <c r="AB148" s="62"/>
      <c r="AC148" s="62"/>
      <c r="AD148" s="62"/>
      <c r="AE148" s="62"/>
      <c r="AF148" s="62"/>
      <c r="AG148" s="62"/>
      <c r="AH148" s="62"/>
      <c r="AI148" s="62"/>
    </row>
    <row r="149" ht="14.25" customHeight="1">
      <c r="Z149" s="62"/>
      <c r="AA149" s="62"/>
      <c r="AB149" s="62"/>
      <c r="AC149" s="62"/>
      <c r="AD149" s="62"/>
      <c r="AE149" s="62"/>
      <c r="AF149" s="62"/>
      <c r="AG149" s="62"/>
      <c r="AH149" s="62"/>
      <c r="AI149" s="62"/>
    </row>
    <row r="150" ht="14.25" customHeight="1">
      <c r="Z150" s="62"/>
      <c r="AA150" s="62"/>
      <c r="AB150" s="62"/>
      <c r="AC150" s="62"/>
      <c r="AD150" s="62"/>
      <c r="AE150" s="62"/>
      <c r="AF150" s="62"/>
      <c r="AG150" s="62"/>
      <c r="AH150" s="62"/>
      <c r="AI150" s="62"/>
    </row>
    <row r="151" ht="14.25" customHeight="1">
      <c r="Z151" s="62"/>
      <c r="AA151" s="62"/>
      <c r="AB151" s="62"/>
      <c r="AC151" s="62"/>
      <c r="AD151" s="62"/>
      <c r="AE151" s="62"/>
      <c r="AF151" s="62"/>
      <c r="AG151" s="62"/>
      <c r="AH151" s="62"/>
      <c r="AI151" s="62"/>
    </row>
    <row r="152" ht="14.25" customHeight="1">
      <c r="Z152" s="62"/>
      <c r="AA152" s="62"/>
      <c r="AB152" s="62"/>
      <c r="AC152" s="62"/>
      <c r="AD152" s="62"/>
      <c r="AE152" s="62"/>
      <c r="AF152" s="62"/>
      <c r="AG152" s="62"/>
      <c r="AH152" s="62"/>
      <c r="AI152" s="62"/>
    </row>
    <row r="153" ht="14.25" customHeight="1">
      <c r="Z153" s="62"/>
      <c r="AA153" s="62"/>
      <c r="AB153" s="62"/>
      <c r="AC153" s="62"/>
      <c r="AD153" s="62"/>
      <c r="AE153" s="62"/>
      <c r="AF153" s="62"/>
      <c r="AG153" s="62"/>
      <c r="AH153" s="62"/>
      <c r="AI153" s="62"/>
    </row>
    <row r="154" ht="14.25" customHeight="1">
      <c r="Z154" s="62"/>
      <c r="AA154" s="62"/>
      <c r="AB154" s="62"/>
      <c r="AC154" s="62"/>
      <c r="AD154" s="62"/>
      <c r="AE154" s="62"/>
      <c r="AF154" s="62"/>
      <c r="AG154" s="62"/>
      <c r="AH154" s="62"/>
      <c r="AI154" s="62"/>
    </row>
    <row r="155" ht="14.25" customHeight="1">
      <c r="Z155" s="62"/>
      <c r="AA155" s="62"/>
      <c r="AB155" s="62"/>
      <c r="AC155" s="62"/>
      <c r="AD155" s="62"/>
      <c r="AE155" s="62"/>
      <c r="AF155" s="62"/>
      <c r="AG155" s="62"/>
      <c r="AH155" s="62"/>
      <c r="AI155" s="62"/>
    </row>
    <row r="156" ht="14.25" customHeight="1">
      <c r="Z156" s="62"/>
      <c r="AA156" s="62"/>
      <c r="AB156" s="62"/>
      <c r="AC156" s="62"/>
      <c r="AD156" s="62"/>
      <c r="AE156" s="62"/>
      <c r="AF156" s="62"/>
      <c r="AG156" s="62"/>
      <c r="AH156" s="62"/>
      <c r="AI156" s="62"/>
    </row>
    <row r="157" ht="14.25" customHeight="1">
      <c r="Z157" s="62"/>
      <c r="AA157" s="62"/>
      <c r="AB157" s="62"/>
      <c r="AC157" s="62"/>
      <c r="AD157" s="62"/>
      <c r="AE157" s="62"/>
      <c r="AF157" s="62"/>
      <c r="AG157" s="62"/>
      <c r="AH157" s="62"/>
      <c r="AI157" s="62"/>
    </row>
    <row r="158" ht="14.25" customHeight="1">
      <c r="Z158" s="62"/>
      <c r="AA158" s="62"/>
      <c r="AB158" s="62"/>
      <c r="AC158" s="62"/>
      <c r="AD158" s="62"/>
      <c r="AE158" s="62"/>
      <c r="AF158" s="62"/>
      <c r="AG158" s="62"/>
      <c r="AH158" s="62"/>
      <c r="AI158" s="62"/>
    </row>
    <row r="159" ht="14.25" customHeight="1">
      <c r="Z159" s="62"/>
      <c r="AA159" s="62"/>
      <c r="AB159" s="62"/>
      <c r="AC159" s="62"/>
      <c r="AD159" s="62"/>
      <c r="AE159" s="62"/>
      <c r="AF159" s="62"/>
      <c r="AG159" s="62"/>
      <c r="AH159" s="62"/>
      <c r="AI159" s="62"/>
    </row>
    <row r="160" ht="14.25" customHeight="1">
      <c r="Z160" s="62"/>
      <c r="AA160" s="62"/>
      <c r="AB160" s="62"/>
      <c r="AC160" s="62"/>
      <c r="AD160" s="62"/>
      <c r="AE160" s="62"/>
      <c r="AF160" s="62"/>
      <c r="AG160" s="62"/>
      <c r="AH160" s="62"/>
      <c r="AI160" s="62"/>
    </row>
    <row r="161" ht="14.25" customHeight="1">
      <c r="Z161" s="62"/>
      <c r="AA161" s="62"/>
      <c r="AB161" s="62"/>
      <c r="AC161" s="62"/>
      <c r="AD161" s="62"/>
      <c r="AE161" s="62"/>
      <c r="AF161" s="62"/>
      <c r="AG161" s="62"/>
      <c r="AH161" s="62"/>
      <c r="AI161" s="62"/>
    </row>
    <row r="162" ht="14.25" customHeight="1">
      <c r="Z162" s="62"/>
      <c r="AA162" s="62"/>
      <c r="AB162" s="62"/>
      <c r="AC162" s="62"/>
      <c r="AD162" s="62"/>
      <c r="AE162" s="62"/>
      <c r="AF162" s="62"/>
      <c r="AG162" s="62"/>
      <c r="AH162" s="62"/>
      <c r="AI162" s="62"/>
    </row>
    <row r="163" ht="14.25" customHeight="1">
      <c r="Z163" s="62"/>
      <c r="AA163" s="62"/>
      <c r="AB163" s="62"/>
      <c r="AC163" s="62"/>
      <c r="AD163" s="62"/>
      <c r="AE163" s="62"/>
      <c r="AF163" s="62"/>
      <c r="AG163" s="62"/>
      <c r="AH163" s="62"/>
      <c r="AI163" s="62"/>
    </row>
    <row r="164" ht="14.25" customHeight="1">
      <c r="Z164" s="62"/>
      <c r="AA164" s="62"/>
      <c r="AB164" s="62"/>
      <c r="AC164" s="62"/>
      <c r="AD164" s="62"/>
      <c r="AE164" s="62"/>
      <c r="AF164" s="62"/>
      <c r="AG164" s="62"/>
      <c r="AH164" s="62"/>
      <c r="AI164" s="62"/>
    </row>
    <row r="165" ht="14.25" customHeight="1">
      <c r="Z165" s="62"/>
      <c r="AA165" s="62"/>
      <c r="AB165" s="62"/>
      <c r="AC165" s="62"/>
      <c r="AD165" s="62"/>
      <c r="AE165" s="62"/>
      <c r="AF165" s="62"/>
      <c r="AG165" s="62"/>
      <c r="AH165" s="62"/>
      <c r="AI165" s="62"/>
    </row>
    <row r="166" ht="14.25" customHeight="1">
      <c r="Z166" s="62"/>
      <c r="AA166" s="62"/>
      <c r="AB166" s="62"/>
      <c r="AC166" s="62"/>
      <c r="AD166" s="62"/>
      <c r="AE166" s="62"/>
      <c r="AF166" s="62"/>
      <c r="AG166" s="62"/>
      <c r="AH166" s="62"/>
      <c r="AI166" s="62"/>
    </row>
    <row r="167" ht="14.25" customHeight="1">
      <c r="Z167" s="62"/>
      <c r="AA167" s="62"/>
      <c r="AB167" s="62"/>
      <c r="AC167" s="62"/>
      <c r="AD167" s="62"/>
      <c r="AE167" s="62"/>
      <c r="AF167" s="62"/>
      <c r="AG167" s="62"/>
      <c r="AH167" s="62"/>
      <c r="AI167" s="62"/>
    </row>
    <row r="168" ht="14.25" customHeight="1">
      <c r="Z168" s="62"/>
      <c r="AA168" s="62"/>
      <c r="AB168" s="62"/>
      <c r="AC168" s="62"/>
      <c r="AD168" s="62"/>
      <c r="AE168" s="62"/>
      <c r="AF168" s="62"/>
      <c r="AG168" s="62"/>
      <c r="AH168" s="62"/>
      <c r="AI168" s="62"/>
    </row>
    <row r="169" ht="14.25" customHeight="1">
      <c r="Z169" s="62"/>
      <c r="AA169" s="62"/>
      <c r="AB169" s="62"/>
      <c r="AC169" s="62"/>
      <c r="AD169" s="62"/>
      <c r="AE169" s="62"/>
      <c r="AF169" s="62"/>
      <c r="AG169" s="62"/>
      <c r="AH169" s="62"/>
      <c r="AI169" s="62"/>
    </row>
    <row r="170" ht="14.25" customHeight="1">
      <c r="Z170" s="62"/>
      <c r="AA170" s="62"/>
      <c r="AB170" s="62"/>
      <c r="AC170" s="62"/>
      <c r="AD170" s="62"/>
      <c r="AE170" s="62"/>
      <c r="AF170" s="62"/>
      <c r="AG170" s="62"/>
      <c r="AH170" s="62"/>
      <c r="AI170" s="62"/>
    </row>
    <row r="171" ht="14.25" customHeight="1">
      <c r="Z171" s="62"/>
      <c r="AA171" s="62"/>
      <c r="AB171" s="62"/>
      <c r="AC171" s="62"/>
      <c r="AD171" s="62"/>
      <c r="AE171" s="62"/>
      <c r="AF171" s="62"/>
      <c r="AG171" s="62"/>
      <c r="AH171" s="62"/>
      <c r="AI171" s="62"/>
    </row>
    <row r="172" ht="14.25" customHeight="1">
      <c r="Z172" s="62"/>
      <c r="AA172" s="62"/>
      <c r="AB172" s="62"/>
      <c r="AC172" s="62"/>
      <c r="AD172" s="62"/>
      <c r="AE172" s="62"/>
      <c r="AF172" s="62"/>
      <c r="AG172" s="62"/>
      <c r="AH172" s="62"/>
      <c r="AI172" s="62"/>
    </row>
    <row r="173" ht="14.25" customHeight="1">
      <c r="Z173" s="62"/>
      <c r="AA173" s="62"/>
      <c r="AB173" s="62"/>
      <c r="AC173" s="62"/>
      <c r="AD173" s="62"/>
      <c r="AE173" s="62"/>
      <c r="AF173" s="62"/>
      <c r="AG173" s="62"/>
      <c r="AH173" s="62"/>
      <c r="AI173" s="62"/>
    </row>
    <row r="174" ht="14.25" customHeight="1">
      <c r="Z174" s="62"/>
      <c r="AA174" s="62"/>
      <c r="AB174" s="62"/>
      <c r="AC174" s="62"/>
      <c r="AD174" s="62"/>
      <c r="AE174" s="62"/>
      <c r="AF174" s="62"/>
      <c r="AG174" s="62"/>
      <c r="AH174" s="62"/>
      <c r="AI174" s="62"/>
    </row>
    <row r="175" ht="14.25" customHeight="1">
      <c r="Z175" s="62"/>
      <c r="AA175" s="62"/>
      <c r="AB175" s="62"/>
      <c r="AC175" s="62"/>
      <c r="AD175" s="62"/>
      <c r="AE175" s="62"/>
      <c r="AF175" s="62"/>
      <c r="AG175" s="62"/>
      <c r="AH175" s="62"/>
      <c r="AI175" s="62"/>
    </row>
    <row r="176" ht="14.25" customHeight="1">
      <c r="Z176" s="62"/>
      <c r="AA176" s="62"/>
      <c r="AB176" s="62"/>
      <c r="AC176" s="62"/>
      <c r="AD176" s="62"/>
      <c r="AE176" s="62"/>
      <c r="AF176" s="62"/>
      <c r="AG176" s="62"/>
      <c r="AH176" s="62"/>
      <c r="AI176" s="62"/>
    </row>
    <row r="177" ht="14.25" customHeight="1">
      <c r="Z177" s="62"/>
      <c r="AA177" s="62"/>
      <c r="AB177" s="62"/>
      <c r="AC177" s="62"/>
      <c r="AD177" s="62"/>
      <c r="AE177" s="62"/>
      <c r="AF177" s="62"/>
      <c r="AG177" s="62"/>
      <c r="AH177" s="62"/>
      <c r="AI177" s="62"/>
    </row>
    <row r="178" ht="14.25" customHeight="1">
      <c r="Z178" s="62"/>
      <c r="AA178" s="62"/>
      <c r="AB178" s="62"/>
      <c r="AC178" s="62"/>
      <c r="AD178" s="62"/>
      <c r="AE178" s="62"/>
      <c r="AF178" s="62"/>
      <c r="AG178" s="62"/>
      <c r="AH178" s="62"/>
      <c r="AI178" s="62"/>
    </row>
    <row r="179" ht="14.25" customHeight="1">
      <c r="Z179" s="62"/>
      <c r="AA179" s="62"/>
      <c r="AB179" s="62"/>
      <c r="AC179" s="62"/>
      <c r="AD179" s="62"/>
      <c r="AE179" s="62"/>
      <c r="AF179" s="62"/>
      <c r="AG179" s="62"/>
      <c r="AH179" s="62"/>
      <c r="AI179" s="62"/>
    </row>
    <row r="180" ht="14.25" customHeight="1">
      <c r="Z180" s="62"/>
      <c r="AA180" s="62"/>
      <c r="AB180" s="62"/>
      <c r="AC180" s="62"/>
      <c r="AD180" s="62"/>
      <c r="AE180" s="62"/>
      <c r="AF180" s="62"/>
      <c r="AG180" s="62"/>
      <c r="AH180" s="62"/>
      <c r="AI180" s="62"/>
    </row>
    <row r="181" ht="14.25" customHeight="1">
      <c r="Z181" s="62"/>
      <c r="AA181" s="62"/>
      <c r="AB181" s="62"/>
      <c r="AC181" s="62"/>
      <c r="AD181" s="62"/>
      <c r="AE181" s="62"/>
      <c r="AF181" s="62"/>
      <c r="AG181" s="62"/>
      <c r="AH181" s="62"/>
      <c r="AI181" s="62"/>
    </row>
    <row r="182" ht="14.25" customHeight="1">
      <c r="Z182" s="62"/>
      <c r="AA182" s="62"/>
      <c r="AB182" s="62"/>
      <c r="AC182" s="62"/>
      <c r="AD182" s="62"/>
      <c r="AE182" s="62"/>
      <c r="AF182" s="62"/>
      <c r="AG182" s="62"/>
      <c r="AH182" s="62"/>
      <c r="AI182" s="62"/>
    </row>
    <row r="183" ht="14.25" customHeight="1">
      <c r="Z183" s="62"/>
      <c r="AA183" s="62"/>
      <c r="AB183" s="62"/>
      <c r="AC183" s="62"/>
      <c r="AD183" s="62"/>
      <c r="AE183" s="62"/>
      <c r="AF183" s="62"/>
      <c r="AG183" s="62"/>
      <c r="AH183" s="62"/>
      <c r="AI183" s="62"/>
    </row>
    <row r="184" ht="14.25" customHeight="1">
      <c r="Z184" s="62"/>
      <c r="AA184" s="62"/>
      <c r="AB184" s="62"/>
      <c r="AC184" s="62"/>
      <c r="AD184" s="62"/>
      <c r="AE184" s="62"/>
      <c r="AF184" s="62"/>
      <c r="AG184" s="62"/>
      <c r="AH184" s="62"/>
      <c r="AI184" s="62"/>
    </row>
    <row r="185" ht="14.25" customHeight="1">
      <c r="Z185" s="62"/>
      <c r="AA185" s="62"/>
      <c r="AB185" s="62"/>
      <c r="AC185" s="62"/>
      <c r="AD185" s="62"/>
      <c r="AE185" s="62"/>
      <c r="AF185" s="62"/>
      <c r="AG185" s="62"/>
      <c r="AH185" s="62"/>
      <c r="AI185" s="62"/>
    </row>
    <row r="186" ht="14.25" customHeight="1">
      <c r="Z186" s="62"/>
      <c r="AA186" s="62"/>
      <c r="AB186" s="62"/>
      <c r="AC186" s="62"/>
      <c r="AD186" s="62"/>
      <c r="AE186" s="62"/>
      <c r="AF186" s="62"/>
      <c r="AG186" s="62"/>
      <c r="AH186" s="62"/>
      <c r="AI186" s="62"/>
    </row>
    <row r="187" ht="14.25" customHeight="1">
      <c r="Z187" s="62"/>
      <c r="AA187" s="62"/>
      <c r="AB187" s="62"/>
      <c r="AC187" s="62"/>
      <c r="AD187" s="62"/>
      <c r="AE187" s="62"/>
      <c r="AF187" s="62"/>
      <c r="AG187" s="62"/>
      <c r="AH187" s="62"/>
      <c r="AI187" s="62"/>
    </row>
    <row r="188" ht="14.25" customHeight="1">
      <c r="Z188" s="62"/>
      <c r="AA188" s="62"/>
      <c r="AB188" s="62"/>
      <c r="AC188" s="62"/>
      <c r="AD188" s="62"/>
      <c r="AE188" s="62"/>
      <c r="AF188" s="62"/>
      <c r="AG188" s="62"/>
      <c r="AH188" s="62"/>
      <c r="AI188" s="62"/>
    </row>
    <row r="189" ht="14.25" customHeight="1">
      <c r="Z189" s="62"/>
      <c r="AA189" s="62"/>
      <c r="AB189" s="62"/>
      <c r="AC189" s="62"/>
      <c r="AD189" s="62"/>
      <c r="AE189" s="62"/>
      <c r="AF189" s="62"/>
      <c r="AG189" s="62"/>
      <c r="AH189" s="62"/>
      <c r="AI189" s="62"/>
    </row>
    <row r="190" ht="14.25" customHeight="1">
      <c r="Z190" s="62"/>
      <c r="AA190" s="62"/>
      <c r="AB190" s="62"/>
      <c r="AC190" s="62"/>
      <c r="AD190" s="62"/>
      <c r="AE190" s="62"/>
      <c r="AF190" s="62"/>
      <c r="AG190" s="62"/>
      <c r="AH190" s="62"/>
      <c r="AI190" s="62"/>
    </row>
    <row r="191" ht="14.25" customHeight="1">
      <c r="Z191" s="62"/>
      <c r="AA191" s="62"/>
      <c r="AB191" s="62"/>
      <c r="AC191" s="62"/>
      <c r="AD191" s="62"/>
      <c r="AE191" s="62"/>
      <c r="AF191" s="62"/>
      <c r="AG191" s="62"/>
      <c r="AH191" s="62"/>
      <c r="AI191" s="62"/>
    </row>
    <row r="192" ht="14.25" customHeight="1">
      <c r="Z192" s="62"/>
      <c r="AA192" s="62"/>
      <c r="AB192" s="62"/>
      <c r="AC192" s="62"/>
      <c r="AD192" s="62"/>
      <c r="AE192" s="62"/>
      <c r="AF192" s="62"/>
      <c r="AG192" s="62"/>
      <c r="AH192" s="62"/>
      <c r="AI192" s="62"/>
    </row>
    <row r="193" ht="14.25" customHeight="1">
      <c r="Z193" s="62"/>
      <c r="AA193" s="62"/>
      <c r="AB193" s="62"/>
      <c r="AC193" s="62"/>
      <c r="AD193" s="62"/>
      <c r="AE193" s="62"/>
      <c r="AF193" s="62"/>
      <c r="AG193" s="62"/>
      <c r="AH193" s="62"/>
      <c r="AI193" s="62"/>
    </row>
    <row r="194" ht="14.25" customHeight="1">
      <c r="Z194" s="62"/>
      <c r="AA194" s="62"/>
      <c r="AB194" s="62"/>
      <c r="AC194" s="62"/>
      <c r="AD194" s="62"/>
      <c r="AE194" s="62"/>
      <c r="AF194" s="62"/>
      <c r="AG194" s="62"/>
      <c r="AH194" s="62"/>
      <c r="AI194" s="62"/>
    </row>
    <row r="195" ht="14.25" customHeight="1">
      <c r="Z195" s="62"/>
      <c r="AA195" s="62"/>
      <c r="AB195" s="62"/>
      <c r="AC195" s="62"/>
      <c r="AD195" s="62"/>
      <c r="AE195" s="62"/>
      <c r="AF195" s="62"/>
      <c r="AG195" s="62"/>
      <c r="AH195" s="62"/>
      <c r="AI195" s="62"/>
    </row>
    <row r="196" ht="14.25" customHeight="1">
      <c r="Z196" s="62"/>
      <c r="AA196" s="62"/>
      <c r="AB196" s="62"/>
      <c r="AC196" s="62"/>
      <c r="AD196" s="62"/>
      <c r="AE196" s="62"/>
      <c r="AF196" s="62"/>
      <c r="AG196" s="62"/>
      <c r="AH196" s="62"/>
      <c r="AI196" s="62"/>
    </row>
    <row r="197" ht="14.25" customHeight="1">
      <c r="Z197" s="62"/>
      <c r="AA197" s="62"/>
      <c r="AB197" s="62"/>
      <c r="AC197" s="62"/>
      <c r="AD197" s="62"/>
      <c r="AE197" s="62"/>
      <c r="AF197" s="62"/>
      <c r="AG197" s="62"/>
      <c r="AH197" s="62"/>
      <c r="AI197" s="62"/>
    </row>
    <row r="198" ht="14.25" customHeight="1">
      <c r="Z198" s="62"/>
      <c r="AA198" s="62"/>
      <c r="AB198" s="62"/>
      <c r="AC198" s="62"/>
      <c r="AD198" s="62"/>
      <c r="AE198" s="62"/>
      <c r="AF198" s="62"/>
      <c r="AG198" s="62"/>
      <c r="AH198" s="62"/>
      <c r="AI198" s="62"/>
    </row>
    <row r="199" ht="14.25" customHeight="1">
      <c r="Z199" s="62"/>
      <c r="AA199" s="62"/>
      <c r="AB199" s="62"/>
      <c r="AC199" s="62"/>
      <c r="AD199" s="62"/>
      <c r="AE199" s="62"/>
      <c r="AF199" s="62"/>
      <c r="AG199" s="62"/>
      <c r="AH199" s="62"/>
      <c r="AI199" s="62"/>
    </row>
    <row r="200" ht="14.25" customHeight="1">
      <c r="Z200" s="62"/>
      <c r="AA200" s="62"/>
      <c r="AB200" s="62"/>
      <c r="AC200" s="62"/>
      <c r="AD200" s="62"/>
      <c r="AE200" s="62"/>
      <c r="AF200" s="62"/>
      <c r="AG200" s="62"/>
      <c r="AH200" s="62"/>
      <c r="AI200" s="62"/>
    </row>
    <row r="201" ht="14.25" customHeight="1">
      <c r="Z201" s="62"/>
      <c r="AA201" s="62"/>
      <c r="AB201" s="62"/>
      <c r="AC201" s="62"/>
      <c r="AD201" s="62"/>
      <c r="AE201" s="62"/>
      <c r="AF201" s="62"/>
      <c r="AG201" s="62"/>
      <c r="AH201" s="62"/>
      <c r="AI201" s="62"/>
    </row>
    <row r="202" ht="14.25" customHeight="1">
      <c r="Z202" s="62"/>
      <c r="AA202" s="62"/>
      <c r="AB202" s="62"/>
      <c r="AC202" s="62"/>
      <c r="AD202" s="62"/>
      <c r="AE202" s="62"/>
      <c r="AF202" s="62"/>
      <c r="AG202" s="62"/>
      <c r="AH202" s="62"/>
      <c r="AI202" s="62"/>
    </row>
    <row r="203" ht="14.25" customHeight="1">
      <c r="Z203" s="62"/>
      <c r="AA203" s="62"/>
      <c r="AB203" s="62"/>
      <c r="AC203" s="62"/>
      <c r="AD203" s="62"/>
      <c r="AE203" s="62"/>
      <c r="AF203" s="62"/>
      <c r="AG203" s="62"/>
      <c r="AH203" s="62"/>
      <c r="AI203" s="62"/>
    </row>
    <row r="204" ht="14.25" customHeight="1">
      <c r="Z204" s="62"/>
      <c r="AA204" s="62"/>
      <c r="AB204" s="62"/>
      <c r="AC204" s="62"/>
      <c r="AD204" s="62"/>
      <c r="AE204" s="62"/>
      <c r="AF204" s="62"/>
      <c r="AG204" s="62"/>
      <c r="AH204" s="62"/>
      <c r="AI204" s="62"/>
    </row>
    <row r="205" ht="14.25" customHeight="1">
      <c r="Z205" s="62"/>
      <c r="AA205" s="62"/>
      <c r="AB205" s="62"/>
      <c r="AC205" s="62"/>
      <c r="AD205" s="62"/>
      <c r="AE205" s="62"/>
      <c r="AF205" s="62"/>
      <c r="AG205" s="62"/>
      <c r="AH205" s="62"/>
      <c r="AI205" s="62"/>
    </row>
    <row r="206" ht="14.25" customHeight="1">
      <c r="Z206" s="62"/>
      <c r="AA206" s="62"/>
      <c r="AB206" s="62"/>
      <c r="AC206" s="62"/>
      <c r="AD206" s="62"/>
      <c r="AE206" s="62"/>
      <c r="AF206" s="62"/>
      <c r="AG206" s="62"/>
      <c r="AH206" s="62"/>
      <c r="AI206" s="62"/>
    </row>
    <row r="207" ht="14.25" customHeight="1">
      <c r="Z207" s="62"/>
      <c r="AA207" s="62"/>
      <c r="AB207" s="62"/>
      <c r="AC207" s="62"/>
      <c r="AD207" s="62"/>
      <c r="AE207" s="62"/>
      <c r="AF207" s="62"/>
      <c r="AG207" s="62"/>
      <c r="AH207" s="62"/>
      <c r="AI207" s="62"/>
    </row>
    <row r="208" ht="14.25" customHeight="1">
      <c r="Z208" s="62"/>
      <c r="AA208" s="62"/>
      <c r="AB208" s="62"/>
      <c r="AC208" s="62"/>
      <c r="AD208" s="62"/>
      <c r="AE208" s="62"/>
      <c r="AF208" s="62"/>
      <c r="AG208" s="62"/>
      <c r="AH208" s="62"/>
      <c r="AI208" s="62"/>
    </row>
    <row r="209" ht="14.25" customHeight="1">
      <c r="Z209" s="62"/>
      <c r="AA209" s="62"/>
      <c r="AB209" s="62"/>
      <c r="AC209" s="62"/>
      <c r="AD209" s="62"/>
      <c r="AE209" s="62"/>
      <c r="AF209" s="62"/>
      <c r="AG209" s="62"/>
      <c r="AH209" s="62"/>
      <c r="AI209" s="62"/>
    </row>
    <row r="210" ht="14.25" customHeight="1">
      <c r="Z210" s="62"/>
      <c r="AA210" s="62"/>
      <c r="AB210" s="62"/>
      <c r="AC210" s="62"/>
      <c r="AD210" s="62"/>
      <c r="AE210" s="62"/>
      <c r="AF210" s="62"/>
      <c r="AG210" s="62"/>
      <c r="AH210" s="62"/>
      <c r="AI210" s="62"/>
    </row>
    <row r="211" ht="14.25" customHeight="1">
      <c r="Z211" s="62"/>
      <c r="AA211" s="62"/>
      <c r="AB211" s="62"/>
      <c r="AC211" s="62"/>
      <c r="AD211" s="62"/>
      <c r="AE211" s="62"/>
      <c r="AF211" s="62"/>
      <c r="AG211" s="62"/>
      <c r="AH211" s="62"/>
      <c r="AI211" s="62"/>
    </row>
    <row r="212" ht="14.25" customHeight="1">
      <c r="Z212" s="62"/>
      <c r="AA212" s="62"/>
      <c r="AB212" s="62"/>
      <c r="AC212" s="62"/>
      <c r="AD212" s="62"/>
      <c r="AE212" s="62"/>
      <c r="AF212" s="62"/>
      <c r="AG212" s="62"/>
      <c r="AH212" s="62"/>
      <c r="AI212" s="62"/>
    </row>
    <row r="213" ht="14.25" customHeight="1">
      <c r="Z213" s="62"/>
      <c r="AA213" s="62"/>
      <c r="AB213" s="62"/>
      <c r="AC213" s="62"/>
      <c r="AD213" s="62"/>
      <c r="AE213" s="62"/>
      <c r="AF213" s="62"/>
      <c r="AG213" s="62"/>
      <c r="AH213" s="62"/>
      <c r="AI213" s="62"/>
    </row>
    <row r="214" ht="14.25" customHeight="1">
      <c r="Z214" s="62"/>
      <c r="AA214" s="62"/>
      <c r="AB214" s="62"/>
      <c r="AC214" s="62"/>
      <c r="AD214" s="62"/>
      <c r="AE214" s="62"/>
      <c r="AF214" s="62"/>
      <c r="AG214" s="62"/>
      <c r="AH214" s="62"/>
      <c r="AI214" s="62"/>
    </row>
    <row r="215" ht="14.25" customHeight="1">
      <c r="Z215" s="62"/>
      <c r="AA215" s="62"/>
      <c r="AB215" s="62"/>
      <c r="AC215" s="62"/>
      <c r="AD215" s="62"/>
      <c r="AE215" s="62"/>
      <c r="AF215" s="62"/>
      <c r="AG215" s="62"/>
      <c r="AH215" s="62"/>
      <c r="AI215" s="62"/>
    </row>
    <row r="216" ht="14.25" customHeight="1">
      <c r="Z216" s="62"/>
      <c r="AA216" s="62"/>
      <c r="AB216" s="62"/>
      <c r="AC216" s="62"/>
      <c r="AD216" s="62"/>
      <c r="AE216" s="62"/>
      <c r="AF216" s="62"/>
      <c r="AG216" s="62"/>
      <c r="AH216" s="62"/>
      <c r="AI216" s="62"/>
    </row>
    <row r="217" ht="14.25" customHeight="1">
      <c r="Z217" s="62"/>
      <c r="AA217" s="62"/>
      <c r="AB217" s="62"/>
      <c r="AC217" s="62"/>
      <c r="AD217" s="62"/>
      <c r="AE217" s="62"/>
      <c r="AF217" s="62"/>
      <c r="AG217" s="62"/>
      <c r="AH217" s="62"/>
      <c r="AI217" s="62"/>
    </row>
    <row r="218" ht="14.25" customHeight="1">
      <c r="Z218" s="62"/>
      <c r="AA218" s="62"/>
      <c r="AB218" s="62"/>
      <c r="AC218" s="62"/>
      <c r="AD218" s="62"/>
      <c r="AE218" s="62"/>
      <c r="AF218" s="62"/>
      <c r="AG218" s="62"/>
      <c r="AH218" s="62"/>
      <c r="AI218" s="62"/>
    </row>
    <row r="219" ht="14.25" customHeight="1">
      <c r="Z219" s="62"/>
      <c r="AA219" s="62"/>
      <c r="AB219" s="62"/>
      <c r="AC219" s="62"/>
      <c r="AD219" s="62"/>
      <c r="AE219" s="62"/>
      <c r="AF219" s="62"/>
      <c r="AG219" s="62"/>
      <c r="AH219" s="62"/>
      <c r="AI219" s="62"/>
    </row>
    <row r="220" ht="14.25" customHeight="1">
      <c r="Z220" s="62"/>
      <c r="AA220" s="62"/>
      <c r="AB220" s="62"/>
      <c r="AC220" s="62"/>
      <c r="AD220" s="62"/>
      <c r="AE220" s="62"/>
      <c r="AF220" s="62"/>
      <c r="AG220" s="62"/>
      <c r="AH220" s="62"/>
      <c r="AI220" s="62"/>
    </row>
    <row r="221" ht="14.25" customHeight="1">
      <c r="Z221" s="62"/>
      <c r="AA221" s="62"/>
      <c r="AB221" s="62"/>
      <c r="AC221" s="62"/>
      <c r="AD221" s="62"/>
      <c r="AE221" s="62"/>
      <c r="AF221" s="62"/>
      <c r="AG221" s="62"/>
      <c r="AH221" s="62"/>
      <c r="AI221" s="6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H28">
      <formula1>"Ada,Belum Ada,Proses,Belum mengurus"</formula1>
    </dataValidation>
    <dataValidation type="list" allowBlank="1" showErrorMessage="1" sqref="G5:G10">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5.57"/>
    <col customWidth="1" min="3" max="3" width="32.43"/>
    <col customWidth="1" min="4" max="4" width="11.86"/>
    <col customWidth="1" min="5" max="5" width="35.0"/>
    <col customWidth="1" min="6" max="6" width="19.71"/>
    <col customWidth="1" min="7" max="7" width="15.86"/>
    <col customWidth="1" min="8" max="11" width="21.14"/>
    <col customWidth="1" min="12" max="16" width="27.0"/>
    <col customWidth="1" min="17" max="17" width="34.71"/>
    <col customWidth="1" min="18" max="18" width="29.43"/>
    <col customWidth="1" min="19" max="19" width="28.57"/>
    <col customWidth="1" min="20" max="20" width="35.86"/>
    <col customWidth="1" min="21" max="22" width="36.86"/>
    <col customWidth="1" min="23" max="23" width="30.43"/>
    <col customWidth="1" min="24" max="24" width="26.43"/>
    <col customWidth="1" min="25" max="25" width="18.43"/>
    <col customWidth="1" min="26" max="35" width="8.71"/>
  </cols>
  <sheetData>
    <row r="1" ht="14.25" customHeight="1">
      <c r="L1" s="157" t="s">
        <v>1492</v>
      </c>
      <c r="Z1" s="62"/>
      <c r="AA1" s="62"/>
      <c r="AB1" s="62"/>
      <c r="AC1" s="62"/>
      <c r="AD1" s="62"/>
      <c r="AE1" s="62"/>
      <c r="AF1" s="62"/>
      <c r="AG1" s="62"/>
      <c r="AH1" s="62"/>
      <c r="AI1" s="62"/>
    </row>
    <row r="2" ht="14.25" customHeight="1">
      <c r="L2" s="137" t="s">
        <v>2</v>
      </c>
      <c r="Z2" s="62"/>
      <c r="AA2" s="62"/>
      <c r="AB2" s="62"/>
      <c r="AC2" s="62"/>
      <c r="AD2" s="62"/>
      <c r="AE2" s="62"/>
      <c r="AF2" s="62"/>
      <c r="AG2" s="62"/>
      <c r="AH2" s="62"/>
      <c r="AI2" s="62"/>
    </row>
    <row r="3" ht="14.25" customHeight="1">
      <c r="Z3" s="62"/>
      <c r="AA3" s="62"/>
      <c r="AB3" s="62"/>
      <c r="AC3" s="62"/>
      <c r="AD3" s="62"/>
      <c r="AE3" s="62"/>
      <c r="AF3" s="62"/>
      <c r="AG3" s="62"/>
      <c r="AH3" s="62"/>
      <c r="AI3" s="62"/>
    </row>
    <row r="4" ht="40.5" customHeight="1">
      <c r="A4" s="6" t="s">
        <v>3</v>
      </c>
      <c r="B4" s="6" t="s">
        <v>4</v>
      </c>
      <c r="C4" s="6" t="s">
        <v>5</v>
      </c>
      <c r="D4" s="6" t="s">
        <v>6</v>
      </c>
      <c r="E4" s="6" t="s">
        <v>7</v>
      </c>
      <c r="F4" s="6" t="s">
        <v>8</v>
      </c>
      <c r="G4" s="6" t="s">
        <v>9</v>
      </c>
      <c r="H4" s="6" t="s">
        <v>1084</v>
      </c>
      <c r="I4" s="6" t="s">
        <v>11</v>
      </c>
      <c r="J4" s="6" t="s">
        <v>12</v>
      </c>
      <c r="K4" s="6" t="s">
        <v>13</v>
      </c>
      <c r="L4" s="6" t="s">
        <v>14</v>
      </c>
      <c r="M4" s="6" t="s">
        <v>15</v>
      </c>
      <c r="N4" s="6" t="s">
        <v>16</v>
      </c>
      <c r="O4" s="6" t="s">
        <v>147</v>
      </c>
      <c r="P4" s="6" t="s">
        <v>18</v>
      </c>
      <c r="Q4" s="6" t="s">
        <v>19</v>
      </c>
      <c r="R4" s="6" t="s">
        <v>20</v>
      </c>
      <c r="S4" s="6" t="s">
        <v>21</v>
      </c>
      <c r="T4" s="6" t="s">
        <v>22</v>
      </c>
      <c r="U4" s="6" t="s">
        <v>23</v>
      </c>
      <c r="V4" s="6" t="s">
        <v>24</v>
      </c>
      <c r="W4" s="6" t="s">
        <v>25</v>
      </c>
      <c r="X4" s="6" t="s">
        <v>26</v>
      </c>
      <c r="Y4" s="6" t="s">
        <v>27</v>
      </c>
      <c r="Z4" s="145" t="s">
        <v>28</v>
      </c>
      <c r="AA4" s="145" t="s">
        <v>29</v>
      </c>
      <c r="AB4" s="145" t="s">
        <v>30</v>
      </c>
      <c r="AC4" s="145" t="s">
        <v>31</v>
      </c>
      <c r="AD4" s="145" t="s">
        <v>32</v>
      </c>
      <c r="AE4" s="145" t="s">
        <v>33</v>
      </c>
      <c r="AF4" s="145" t="s">
        <v>34</v>
      </c>
      <c r="AG4" s="145" t="s">
        <v>35</v>
      </c>
      <c r="AH4" s="145" t="s">
        <v>36</v>
      </c>
      <c r="AI4" s="145" t="s">
        <v>37</v>
      </c>
    </row>
    <row r="5" ht="14.25" customHeight="1">
      <c r="A5" s="11">
        <v>1.0</v>
      </c>
      <c r="B5" s="11" t="s">
        <v>1493</v>
      </c>
      <c r="C5" s="9" t="s">
        <v>1494</v>
      </c>
      <c r="D5" s="11" t="s">
        <v>1495</v>
      </c>
      <c r="E5" s="9" t="s">
        <v>1496</v>
      </c>
      <c r="F5" s="9" t="s">
        <v>1497</v>
      </c>
      <c r="G5" s="9" t="s">
        <v>43</v>
      </c>
      <c r="H5" s="9">
        <v>2025.0</v>
      </c>
      <c r="I5" s="9" t="s">
        <v>44</v>
      </c>
      <c r="J5" s="9" t="s">
        <v>1498</v>
      </c>
      <c r="K5" s="158" t="s">
        <v>1499</v>
      </c>
      <c r="L5" s="9">
        <v>2921.0</v>
      </c>
      <c r="M5" s="9">
        <v>389.0</v>
      </c>
      <c r="N5" s="9"/>
      <c r="O5" s="9"/>
      <c r="P5" s="9" t="s">
        <v>1500</v>
      </c>
      <c r="Q5" s="9" t="s">
        <v>1501</v>
      </c>
      <c r="R5" s="9" t="s">
        <v>1502</v>
      </c>
      <c r="S5" s="9" t="s">
        <v>1503</v>
      </c>
      <c r="T5" s="9"/>
      <c r="U5" s="9"/>
      <c r="V5" s="9"/>
      <c r="W5" s="9"/>
      <c r="X5" s="9"/>
      <c r="Y5" s="11"/>
      <c r="Z5" s="149" t="s">
        <v>54</v>
      </c>
      <c r="AA5" s="50" t="s">
        <v>54</v>
      </c>
      <c r="AB5" s="50" t="s">
        <v>54</v>
      </c>
      <c r="AC5" s="25"/>
      <c r="AD5" s="50" t="s">
        <v>54</v>
      </c>
      <c r="AE5" s="50" t="s">
        <v>146</v>
      </c>
      <c r="AF5" s="25"/>
      <c r="AG5" s="50" t="s">
        <v>54</v>
      </c>
      <c r="AH5" s="25"/>
      <c r="AI5" s="25"/>
    </row>
    <row r="6" ht="14.25" customHeight="1">
      <c r="A6" s="14">
        <v>2.0</v>
      </c>
      <c r="B6" s="14" t="s">
        <v>1504</v>
      </c>
      <c r="C6" s="32" t="s">
        <v>1505</v>
      </c>
      <c r="D6" s="14" t="s">
        <v>1506</v>
      </c>
      <c r="E6" s="13" t="s">
        <v>1507</v>
      </c>
      <c r="F6" s="13" t="s">
        <v>1508</v>
      </c>
      <c r="G6" s="13" t="s">
        <v>43</v>
      </c>
      <c r="H6" s="13">
        <v>2026.0</v>
      </c>
      <c r="I6" s="14" t="s">
        <v>44</v>
      </c>
      <c r="J6" s="13" t="s">
        <v>1509</v>
      </c>
      <c r="K6" s="159" t="s">
        <v>1510</v>
      </c>
      <c r="L6" s="14">
        <v>2587.0</v>
      </c>
      <c r="M6" s="13" t="s">
        <v>1511</v>
      </c>
      <c r="N6" s="13"/>
      <c r="O6" s="13" t="s">
        <v>1512</v>
      </c>
      <c r="P6" s="13"/>
      <c r="Q6" s="13" t="s">
        <v>1513</v>
      </c>
      <c r="R6" s="13" t="s">
        <v>1514</v>
      </c>
      <c r="S6" s="13" t="s">
        <v>1515</v>
      </c>
      <c r="T6" s="13" t="s">
        <v>1516</v>
      </c>
      <c r="U6" s="13" t="s">
        <v>1517</v>
      </c>
      <c r="V6" s="13" t="s">
        <v>1518</v>
      </c>
      <c r="W6" s="13" t="s">
        <v>1519</v>
      </c>
      <c r="X6" s="13"/>
      <c r="Y6" s="13"/>
      <c r="Z6" s="26" t="s">
        <v>54</v>
      </c>
      <c r="AA6" s="26" t="s">
        <v>54</v>
      </c>
      <c r="AB6" s="26" t="s">
        <v>54</v>
      </c>
      <c r="AC6" s="26" t="s">
        <v>54</v>
      </c>
      <c r="AD6" s="26" t="s">
        <v>54</v>
      </c>
      <c r="AE6" s="26" t="s">
        <v>146</v>
      </c>
      <c r="AF6" s="26" t="s">
        <v>54</v>
      </c>
      <c r="AG6" s="26" t="s">
        <v>54</v>
      </c>
      <c r="AH6" s="26" t="s">
        <v>146</v>
      </c>
      <c r="AI6" s="26">
        <v>48.0</v>
      </c>
    </row>
    <row r="7" ht="14.25" customHeight="1">
      <c r="A7" s="11">
        <v>3.0</v>
      </c>
      <c r="B7" s="11" t="s">
        <v>1520</v>
      </c>
      <c r="C7" s="9" t="s">
        <v>1521</v>
      </c>
      <c r="D7" s="11" t="s">
        <v>1522</v>
      </c>
      <c r="E7" s="9" t="s">
        <v>1523</v>
      </c>
      <c r="F7" s="9" t="s">
        <v>1524</v>
      </c>
      <c r="G7" s="9" t="s">
        <v>43</v>
      </c>
      <c r="H7" s="9">
        <v>2025.0</v>
      </c>
      <c r="I7" s="11" t="s">
        <v>44</v>
      </c>
      <c r="J7" s="11" t="s">
        <v>1525</v>
      </c>
      <c r="K7" s="19" t="s">
        <v>1526</v>
      </c>
      <c r="L7" s="11">
        <v>2644.0</v>
      </c>
      <c r="M7" s="11"/>
      <c r="N7" s="11"/>
      <c r="O7" s="11" t="s">
        <v>1527</v>
      </c>
      <c r="P7" s="11" t="s">
        <v>1528</v>
      </c>
      <c r="Q7" s="24" t="s">
        <v>1529</v>
      </c>
      <c r="R7" s="160" t="s">
        <v>1530</v>
      </c>
      <c r="S7" s="160" t="s">
        <v>1531</v>
      </c>
      <c r="T7" s="161" t="s">
        <v>1532</v>
      </c>
      <c r="U7" s="161" t="s">
        <v>1533</v>
      </c>
      <c r="V7" s="161" t="s">
        <v>1534</v>
      </c>
      <c r="W7" s="11"/>
      <c r="X7" s="11"/>
      <c r="Y7" s="11"/>
      <c r="Z7" s="25" t="s">
        <v>54</v>
      </c>
      <c r="AA7" s="25" t="s">
        <v>190</v>
      </c>
      <c r="AB7" s="25" t="s">
        <v>54</v>
      </c>
      <c r="AC7" s="25"/>
      <c r="AD7" s="25" t="s">
        <v>54</v>
      </c>
      <c r="AE7" s="25" t="s">
        <v>54</v>
      </c>
      <c r="AF7" s="25"/>
      <c r="AG7" s="25" t="s">
        <v>54</v>
      </c>
      <c r="AH7" s="25" t="s">
        <v>54</v>
      </c>
      <c r="AI7" s="25">
        <v>47.0</v>
      </c>
    </row>
    <row r="8" ht="14.25" customHeight="1">
      <c r="A8" s="14">
        <v>4.0</v>
      </c>
      <c r="B8" s="14" t="s">
        <v>1535</v>
      </c>
      <c r="C8" s="32" t="s">
        <v>1536</v>
      </c>
      <c r="D8" s="14" t="s">
        <v>1537</v>
      </c>
      <c r="E8" s="13" t="s">
        <v>1538</v>
      </c>
      <c r="F8" s="13" t="s">
        <v>1539</v>
      </c>
      <c r="G8" s="13" t="s">
        <v>43</v>
      </c>
      <c r="H8" s="13">
        <v>2025.0</v>
      </c>
      <c r="I8" s="14" t="s">
        <v>44</v>
      </c>
      <c r="J8" s="14" t="s">
        <v>1540</v>
      </c>
      <c r="K8" s="14">
        <v>8.5340377773E10</v>
      </c>
      <c r="L8" s="14">
        <v>3055.0</v>
      </c>
      <c r="M8" s="14"/>
      <c r="N8" s="14"/>
      <c r="O8" s="14" t="s">
        <v>1541</v>
      </c>
      <c r="P8" s="14"/>
      <c r="Q8" s="14" t="s">
        <v>1542</v>
      </c>
      <c r="R8" s="14" t="s">
        <v>1543</v>
      </c>
      <c r="S8" s="14" t="s">
        <v>1544</v>
      </c>
      <c r="T8" s="26"/>
      <c r="U8" s="14"/>
      <c r="V8" s="14"/>
      <c r="W8" s="14"/>
      <c r="X8" s="14"/>
      <c r="Y8" s="14"/>
      <c r="Z8" s="26"/>
      <c r="AA8" s="26"/>
      <c r="AB8" s="26"/>
      <c r="AC8" s="26"/>
      <c r="AD8" s="26"/>
      <c r="AE8" s="26"/>
      <c r="AF8" s="26"/>
      <c r="AG8" s="26"/>
      <c r="AH8" s="26"/>
      <c r="AI8" s="26"/>
    </row>
    <row r="9" ht="117.75" customHeight="1">
      <c r="A9" s="11">
        <v>5.0</v>
      </c>
      <c r="B9" s="11" t="s">
        <v>1545</v>
      </c>
      <c r="C9" s="9" t="s">
        <v>1546</v>
      </c>
      <c r="D9" s="11" t="s">
        <v>1547</v>
      </c>
      <c r="E9" s="9" t="s">
        <v>1548</v>
      </c>
      <c r="F9" s="47" t="s">
        <v>1549</v>
      </c>
      <c r="G9" s="9" t="s">
        <v>43</v>
      </c>
      <c r="H9" s="9">
        <v>2026.0</v>
      </c>
      <c r="I9" s="11" t="s">
        <v>44</v>
      </c>
      <c r="J9" s="11" t="s">
        <v>1550</v>
      </c>
      <c r="K9" s="19" t="s">
        <v>1551</v>
      </c>
      <c r="L9" s="162">
        <v>3293.0</v>
      </c>
      <c r="M9" s="11"/>
      <c r="N9" s="47" t="s">
        <v>1552</v>
      </c>
      <c r="O9" s="11"/>
      <c r="P9" s="9"/>
      <c r="Q9" s="47" t="s">
        <v>1553</v>
      </c>
      <c r="R9" s="47" t="s">
        <v>1554</v>
      </c>
      <c r="S9" s="47" t="s">
        <v>1555</v>
      </c>
      <c r="T9" s="163" t="s">
        <v>1556</v>
      </c>
      <c r="U9" s="47" t="s">
        <v>1557</v>
      </c>
      <c r="V9" s="47" t="s">
        <v>1558</v>
      </c>
      <c r="W9" s="11"/>
      <c r="X9" s="11"/>
      <c r="Y9" s="11"/>
      <c r="Z9" s="164" t="s">
        <v>54</v>
      </c>
      <c r="AA9" s="164" t="s">
        <v>54</v>
      </c>
      <c r="AB9" s="164" t="s">
        <v>54</v>
      </c>
      <c r="AC9" s="164" t="s">
        <v>54</v>
      </c>
      <c r="AD9" s="164" t="s">
        <v>54</v>
      </c>
      <c r="AE9" s="164" t="s">
        <v>54</v>
      </c>
      <c r="AF9" s="164" t="s">
        <v>54</v>
      </c>
      <c r="AG9" s="164" t="s">
        <v>54</v>
      </c>
      <c r="AH9" s="164" t="s">
        <v>145</v>
      </c>
      <c r="AI9" s="164">
        <v>48.0</v>
      </c>
    </row>
    <row r="10" ht="14.25" customHeight="1">
      <c r="A10" s="14">
        <v>6.0</v>
      </c>
      <c r="B10" s="14" t="s">
        <v>1559</v>
      </c>
      <c r="C10" s="13" t="s">
        <v>1560</v>
      </c>
      <c r="D10" s="14" t="s">
        <v>1561</v>
      </c>
      <c r="E10" s="13" t="s">
        <v>1562</v>
      </c>
      <c r="F10" s="13" t="s">
        <v>1563</v>
      </c>
      <c r="G10" s="13" t="s">
        <v>43</v>
      </c>
      <c r="H10" s="13">
        <v>2026.0</v>
      </c>
      <c r="I10" s="14" t="s">
        <v>44</v>
      </c>
      <c r="J10" s="14" t="s">
        <v>1564</v>
      </c>
      <c r="K10" s="14">
        <v>8.2272482166E10</v>
      </c>
      <c r="L10" s="14">
        <v>2411.0</v>
      </c>
      <c r="M10" s="14"/>
      <c r="N10" s="13" t="s">
        <v>1565</v>
      </c>
      <c r="O10" s="13" t="s">
        <v>1566</v>
      </c>
      <c r="P10" s="13" t="s">
        <v>1567</v>
      </c>
      <c r="Q10" s="13" t="s">
        <v>1568</v>
      </c>
      <c r="R10" s="13" t="s">
        <v>1569</v>
      </c>
      <c r="S10" s="13" t="s">
        <v>1570</v>
      </c>
      <c r="T10" s="14" t="s">
        <v>1571</v>
      </c>
      <c r="U10" s="14" t="s">
        <v>1572</v>
      </c>
      <c r="V10" s="14" t="s">
        <v>1573</v>
      </c>
      <c r="W10" s="14"/>
      <c r="X10" s="14"/>
      <c r="Y10" s="14"/>
      <c r="Z10" s="26"/>
      <c r="AA10" s="26"/>
      <c r="AB10" s="26"/>
      <c r="AC10" s="26"/>
      <c r="AD10" s="26"/>
      <c r="AE10" s="26"/>
      <c r="AF10" s="26"/>
      <c r="AG10" s="26"/>
      <c r="AH10" s="26"/>
      <c r="AI10" s="26"/>
    </row>
    <row r="11" ht="14.25" customHeight="1">
      <c r="A11" s="11">
        <v>7.0</v>
      </c>
      <c r="B11" s="11" t="s">
        <v>1504</v>
      </c>
      <c r="C11" s="9" t="s">
        <v>1574</v>
      </c>
      <c r="D11" s="11" t="s">
        <v>1575</v>
      </c>
      <c r="E11" s="9" t="s">
        <v>636</v>
      </c>
      <c r="F11" s="165" t="s">
        <v>1576</v>
      </c>
      <c r="G11" s="9" t="s">
        <v>43</v>
      </c>
      <c r="H11" s="166">
        <v>46120.0</v>
      </c>
      <c r="I11" s="11" t="s">
        <v>44</v>
      </c>
      <c r="J11" s="11" t="s">
        <v>1577</v>
      </c>
      <c r="K11" s="11">
        <v>8.3136536048E10</v>
      </c>
      <c r="L11" s="11">
        <v>2452.0</v>
      </c>
      <c r="M11" s="11"/>
      <c r="N11" s="11"/>
      <c r="O11" s="9"/>
      <c r="P11" s="9" t="s">
        <v>1578</v>
      </c>
      <c r="Q11" s="9" t="s">
        <v>1579</v>
      </c>
      <c r="R11" s="9" t="s">
        <v>1580</v>
      </c>
      <c r="S11" s="11" t="s">
        <v>1581</v>
      </c>
      <c r="T11" s="9" t="s">
        <v>1582</v>
      </c>
      <c r="U11" s="9" t="s">
        <v>1583</v>
      </c>
      <c r="V11" s="9" t="s">
        <v>1584</v>
      </c>
      <c r="W11" s="9" t="s">
        <v>1585</v>
      </c>
      <c r="X11" s="11"/>
      <c r="Y11" s="11" t="s">
        <v>1586</v>
      </c>
      <c r="Z11" s="25" t="s">
        <v>54</v>
      </c>
      <c r="AA11" s="25" t="s">
        <v>54</v>
      </c>
      <c r="AB11" s="25" t="s">
        <v>54</v>
      </c>
      <c r="AC11" s="25" t="s">
        <v>145</v>
      </c>
      <c r="AD11" s="25" t="s">
        <v>145</v>
      </c>
      <c r="AE11" s="25" t="s">
        <v>145</v>
      </c>
      <c r="AF11" s="25" t="s">
        <v>145</v>
      </c>
      <c r="AG11" s="25" t="s">
        <v>54</v>
      </c>
      <c r="AH11" s="25" t="s">
        <v>145</v>
      </c>
      <c r="AI11" s="25">
        <v>42.0</v>
      </c>
    </row>
    <row r="12" ht="14.25" customHeight="1">
      <c r="A12" s="14">
        <v>8.0</v>
      </c>
      <c r="B12" s="14" t="s">
        <v>1587</v>
      </c>
      <c r="C12" s="13" t="s">
        <v>1588</v>
      </c>
      <c r="D12" s="167" t="s">
        <v>1589</v>
      </c>
      <c r="E12" s="13" t="s">
        <v>1590</v>
      </c>
      <c r="F12" s="13" t="s">
        <v>1591</v>
      </c>
      <c r="G12" s="13" t="s">
        <v>43</v>
      </c>
      <c r="H12" s="168">
        <v>46118.0</v>
      </c>
      <c r="I12" s="14" t="s">
        <v>1009</v>
      </c>
      <c r="J12" s="14" t="s">
        <v>1592</v>
      </c>
      <c r="K12" s="14">
        <v>8.1252728509E10</v>
      </c>
      <c r="L12" s="14">
        <v>2172.0</v>
      </c>
      <c r="M12" s="14"/>
      <c r="N12" s="14"/>
      <c r="O12" s="14"/>
      <c r="P12" s="169" t="s">
        <v>1593</v>
      </c>
      <c r="Q12" s="170" t="s">
        <v>1594</v>
      </c>
      <c r="R12" s="14"/>
      <c r="S12" s="14"/>
      <c r="T12" s="14"/>
      <c r="U12" s="14"/>
      <c r="V12" s="14"/>
      <c r="W12" s="14"/>
      <c r="X12" s="14"/>
      <c r="Y12" s="14" t="s">
        <v>1595</v>
      </c>
      <c r="Z12" s="26"/>
      <c r="AA12" s="26"/>
      <c r="AB12" s="26"/>
      <c r="AC12" s="26"/>
      <c r="AD12" s="26"/>
      <c r="AE12" s="26"/>
      <c r="AF12" s="26"/>
      <c r="AG12" s="26"/>
      <c r="AH12" s="26"/>
      <c r="AI12" s="26"/>
    </row>
    <row r="13" ht="14.25" customHeight="1">
      <c r="A13" s="40"/>
      <c r="B13" s="37"/>
      <c r="C13" s="37"/>
      <c r="D13" s="171"/>
      <c r="E13" s="172"/>
      <c r="F13" s="37"/>
      <c r="G13" s="37"/>
      <c r="H13" s="37"/>
      <c r="I13" s="37"/>
      <c r="J13" s="37"/>
      <c r="K13" s="37"/>
      <c r="L13" s="37"/>
      <c r="M13" s="37"/>
      <c r="N13" s="37"/>
      <c r="O13" s="37"/>
      <c r="P13" s="37"/>
      <c r="Q13" s="37"/>
      <c r="R13" s="37"/>
      <c r="S13" s="37"/>
      <c r="T13" s="37"/>
      <c r="U13" s="37"/>
      <c r="V13" s="37"/>
      <c r="W13" s="37"/>
      <c r="X13" s="37"/>
      <c r="Y13" s="37"/>
      <c r="Z13" s="25"/>
      <c r="AA13" s="25"/>
      <c r="AB13" s="25"/>
      <c r="AC13" s="25"/>
      <c r="AD13" s="25"/>
      <c r="AE13" s="25"/>
      <c r="AF13" s="25"/>
      <c r="AG13" s="25"/>
      <c r="AH13" s="25"/>
      <c r="AI13" s="25"/>
    </row>
    <row r="14" ht="14.25" customHeight="1">
      <c r="A14" s="11">
        <v>9.0</v>
      </c>
      <c r="B14" s="173"/>
      <c r="C14" s="174"/>
      <c r="D14" s="175"/>
      <c r="E14" s="176"/>
      <c r="F14" s="177"/>
      <c r="G14" s="13"/>
      <c r="H14" s="178"/>
      <c r="I14" s="178"/>
      <c r="J14" s="179"/>
      <c r="K14" s="25"/>
      <c r="L14" s="59"/>
      <c r="M14" s="59"/>
      <c r="N14" s="9"/>
      <c r="O14" s="53"/>
      <c r="P14" s="11"/>
      <c r="Q14" s="149"/>
      <c r="R14" s="11"/>
      <c r="S14" s="25"/>
      <c r="T14" s="11"/>
      <c r="U14" s="11"/>
      <c r="V14" s="11"/>
      <c r="W14" s="11"/>
      <c r="X14" s="11"/>
      <c r="Y14" s="11"/>
      <c r="Z14" s="26"/>
      <c r="AA14" s="26"/>
      <c r="AB14" s="26"/>
      <c r="AC14" s="26"/>
      <c r="AD14" s="26"/>
      <c r="AE14" s="26"/>
      <c r="AF14" s="26"/>
      <c r="AG14" s="26"/>
      <c r="AH14" s="26"/>
      <c r="AI14" s="26"/>
    </row>
    <row r="15" ht="14.25" customHeight="1">
      <c r="A15" s="25"/>
      <c r="B15" s="150"/>
      <c r="C15" s="150"/>
      <c r="D15" s="175"/>
      <c r="E15" s="176"/>
      <c r="F15" s="59"/>
      <c r="G15" s="25"/>
      <c r="H15" s="25"/>
      <c r="I15" s="25"/>
      <c r="J15" s="25"/>
      <c r="K15" s="25"/>
      <c r="L15" s="59"/>
      <c r="M15" s="59"/>
      <c r="N15" s="59"/>
      <c r="O15" s="59"/>
      <c r="P15" s="60"/>
      <c r="Q15" s="149"/>
      <c r="R15" s="149"/>
      <c r="S15" s="25"/>
      <c r="T15" s="25"/>
      <c r="U15" s="25"/>
      <c r="V15" s="25"/>
      <c r="W15" s="25"/>
      <c r="X15" s="25"/>
      <c r="Y15" s="25"/>
      <c r="Z15" s="25"/>
      <c r="AA15" s="25"/>
      <c r="AB15" s="25"/>
      <c r="AC15" s="25"/>
      <c r="AD15" s="25"/>
      <c r="AE15" s="25"/>
      <c r="AF15" s="25"/>
      <c r="AG15" s="25"/>
      <c r="AH15" s="25"/>
      <c r="AI15" s="25"/>
    </row>
    <row r="16" ht="14.25" customHeight="1">
      <c r="A16" s="25"/>
      <c r="B16" s="150"/>
      <c r="C16" s="150"/>
      <c r="D16" s="175"/>
      <c r="E16" s="176"/>
      <c r="F16" s="59"/>
      <c r="G16" s="25"/>
      <c r="H16" s="25"/>
      <c r="I16" s="25"/>
      <c r="J16" s="25"/>
      <c r="K16" s="25"/>
      <c r="L16" s="59"/>
      <c r="M16" s="59"/>
      <c r="N16" s="59"/>
      <c r="O16" s="59"/>
      <c r="P16" s="25"/>
      <c r="Q16" s="149"/>
      <c r="R16" s="25"/>
      <c r="S16" s="25"/>
      <c r="T16" s="25"/>
      <c r="U16" s="25"/>
      <c r="V16" s="25"/>
      <c r="W16" s="25"/>
      <c r="X16" s="25"/>
      <c r="Y16" s="25"/>
      <c r="Z16" s="26"/>
      <c r="AA16" s="26"/>
      <c r="AB16" s="26"/>
      <c r="AC16" s="26"/>
      <c r="AD16" s="26"/>
      <c r="AE16" s="26"/>
      <c r="AF16" s="26"/>
      <c r="AG16" s="26"/>
      <c r="AH16" s="26"/>
      <c r="AI16" s="26"/>
    </row>
    <row r="17" ht="14.25" customHeight="1">
      <c r="A17" s="25"/>
      <c r="B17" s="150"/>
      <c r="C17" s="150"/>
      <c r="D17" s="175"/>
      <c r="E17" s="176"/>
      <c r="F17" s="59"/>
      <c r="G17" s="25"/>
      <c r="H17" s="25"/>
      <c r="I17" s="25"/>
      <c r="J17" s="25"/>
      <c r="K17" s="25"/>
      <c r="L17" s="59"/>
      <c r="M17" s="59"/>
      <c r="N17" s="59"/>
      <c r="O17" s="59"/>
      <c r="P17" s="25"/>
      <c r="Q17" s="34"/>
      <c r="R17" s="25"/>
      <c r="S17" s="25"/>
      <c r="T17" s="25"/>
      <c r="U17" s="25"/>
      <c r="V17" s="25"/>
      <c r="W17" s="25"/>
      <c r="X17" s="25"/>
      <c r="Y17" s="25"/>
      <c r="Z17" s="25"/>
      <c r="AA17" s="25"/>
      <c r="AB17" s="25"/>
      <c r="AC17" s="25"/>
      <c r="AD17" s="25"/>
      <c r="AE17" s="25"/>
      <c r="AF17" s="25"/>
      <c r="AG17" s="25"/>
      <c r="AH17" s="25"/>
      <c r="AI17" s="25"/>
    </row>
    <row r="18" ht="14.25" customHeight="1">
      <c r="A18" s="25"/>
      <c r="B18" s="150"/>
      <c r="C18" s="150"/>
      <c r="D18" s="175"/>
      <c r="E18" s="176"/>
      <c r="F18" s="59"/>
      <c r="G18" s="25"/>
      <c r="H18" s="25"/>
      <c r="I18" s="25"/>
      <c r="J18" s="25"/>
      <c r="K18" s="25"/>
      <c r="L18" s="59"/>
      <c r="M18" s="59"/>
      <c r="N18" s="59"/>
      <c r="O18" s="59"/>
      <c r="P18" s="25"/>
      <c r="Q18" s="34"/>
      <c r="R18" s="25"/>
      <c r="S18" s="25"/>
      <c r="T18" s="25"/>
      <c r="U18" s="25"/>
      <c r="V18" s="25"/>
      <c r="W18" s="25"/>
      <c r="X18" s="25"/>
      <c r="Y18" s="25"/>
      <c r="Z18" s="26"/>
      <c r="AA18" s="26"/>
      <c r="AB18" s="26"/>
      <c r="AC18" s="26"/>
      <c r="AD18" s="26"/>
      <c r="AE18" s="26"/>
      <c r="AF18" s="26"/>
      <c r="AG18" s="26"/>
      <c r="AH18" s="26"/>
      <c r="AI18" s="26"/>
    </row>
    <row r="19" ht="14.25" customHeight="1">
      <c r="A19" s="25"/>
      <c r="B19" s="151"/>
      <c r="C19" s="151"/>
      <c r="D19" s="180"/>
      <c r="E19" s="181"/>
      <c r="F19" s="59"/>
      <c r="G19" s="25"/>
      <c r="H19" s="25"/>
      <c r="I19" s="25"/>
      <c r="J19" s="25"/>
      <c r="K19" s="25"/>
      <c r="L19" s="59"/>
      <c r="M19" s="59"/>
      <c r="N19" s="59"/>
      <c r="O19" s="59"/>
      <c r="P19" s="25"/>
      <c r="Q19" s="34"/>
      <c r="R19" s="11"/>
      <c r="S19" s="25"/>
      <c r="T19" s="25"/>
      <c r="U19" s="25"/>
      <c r="V19" s="25"/>
      <c r="W19" s="25"/>
      <c r="X19" s="25"/>
      <c r="Y19" s="25"/>
      <c r="Z19" s="25"/>
      <c r="AA19" s="25"/>
      <c r="AB19" s="25"/>
      <c r="AC19" s="25"/>
      <c r="AD19" s="25"/>
      <c r="AE19" s="25"/>
      <c r="AF19" s="25"/>
      <c r="AG19" s="25"/>
      <c r="AH19" s="25"/>
      <c r="AI19" s="25"/>
    </row>
    <row r="20" ht="14.25" customHeight="1">
      <c r="B20" s="2"/>
      <c r="C20" s="2"/>
      <c r="D20" s="2"/>
      <c r="F20" s="2"/>
      <c r="L20" s="2"/>
      <c r="M20" s="2"/>
      <c r="N20" s="2"/>
      <c r="O20" s="2"/>
      <c r="Q20" s="37"/>
      <c r="Z20" s="26"/>
      <c r="AA20" s="26"/>
      <c r="AB20" s="26"/>
      <c r="AC20" s="26"/>
      <c r="AD20" s="26"/>
      <c r="AE20" s="26"/>
      <c r="AF20" s="26"/>
      <c r="AG20" s="26"/>
      <c r="AH20" s="26"/>
      <c r="AI20" s="26"/>
    </row>
    <row r="21" ht="14.25" customHeight="1">
      <c r="Z21" s="25"/>
      <c r="AA21" s="25"/>
      <c r="AB21" s="25"/>
      <c r="AC21" s="25"/>
      <c r="AD21" s="25"/>
      <c r="AE21" s="25"/>
      <c r="AF21" s="25"/>
      <c r="AG21" s="25"/>
      <c r="AH21" s="25"/>
      <c r="AI21" s="25"/>
    </row>
    <row r="22" ht="14.25" customHeight="1">
      <c r="Z22" s="26"/>
      <c r="AA22" s="26"/>
      <c r="AB22" s="26"/>
      <c r="AC22" s="26"/>
      <c r="AD22" s="26"/>
      <c r="AE22" s="26"/>
      <c r="AF22" s="26"/>
      <c r="AG22" s="26"/>
      <c r="AH22" s="26"/>
      <c r="AI22" s="26"/>
    </row>
    <row r="23" ht="14.25" customHeight="1">
      <c r="Z23" s="25"/>
      <c r="AA23" s="25"/>
      <c r="AB23" s="25"/>
      <c r="AC23" s="25"/>
      <c r="AD23" s="25"/>
      <c r="AE23" s="25"/>
      <c r="AF23" s="25"/>
      <c r="AG23" s="25"/>
      <c r="AH23" s="25"/>
      <c r="AI23" s="25"/>
    </row>
    <row r="24" ht="14.25" customHeight="1">
      <c r="Z24" s="62"/>
      <c r="AA24" s="62"/>
      <c r="AB24" s="62"/>
      <c r="AC24" s="62"/>
      <c r="AD24" s="62"/>
      <c r="AE24" s="62"/>
      <c r="AF24" s="62"/>
      <c r="AG24" s="62"/>
      <c r="AH24" s="62"/>
      <c r="AI24" s="62"/>
    </row>
    <row r="25" ht="14.25" customHeight="1">
      <c r="Z25" s="62"/>
      <c r="AA25" s="62"/>
      <c r="AB25" s="62"/>
      <c r="AC25" s="62"/>
      <c r="AD25" s="62"/>
      <c r="AE25" s="62"/>
      <c r="AF25" s="62"/>
      <c r="AG25" s="62"/>
      <c r="AH25" s="62"/>
      <c r="AI25" s="62"/>
    </row>
    <row r="26" ht="14.25" customHeight="1">
      <c r="Z26" s="62"/>
      <c r="AA26" s="62"/>
      <c r="AB26" s="62"/>
      <c r="AC26" s="62"/>
      <c r="AD26" s="62"/>
      <c r="AE26" s="62"/>
      <c r="AF26" s="62"/>
      <c r="AG26" s="62"/>
      <c r="AH26" s="62"/>
      <c r="AI26" s="62"/>
    </row>
    <row r="27" ht="14.25" customHeight="1">
      <c r="Z27" s="62"/>
      <c r="AA27" s="62"/>
      <c r="AB27" s="62"/>
      <c r="AC27" s="62"/>
      <c r="AD27" s="62"/>
      <c r="AE27" s="62"/>
      <c r="AF27" s="62"/>
      <c r="AG27" s="62"/>
      <c r="AH27" s="62"/>
      <c r="AI27" s="62"/>
    </row>
    <row r="28" ht="14.25" customHeight="1">
      <c r="Z28" s="62"/>
      <c r="AA28" s="62"/>
      <c r="AB28" s="62"/>
      <c r="AC28" s="62"/>
      <c r="AD28" s="62"/>
      <c r="AE28" s="62"/>
      <c r="AF28" s="62"/>
      <c r="AG28" s="62"/>
      <c r="AH28" s="62"/>
      <c r="AI28" s="62"/>
    </row>
    <row r="29" ht="14.25" customHeight="1">
      <c r="Z29" s="62"/>
      <c r="AA29" s="62"/>
      <c r="AB29" s="62"/>
      <c r="AC29" s="62"/>
      <c r="AD29" s="62"/>
      <c r="AE29" s="62"/>
      <c r="AF29" s="62"/>
      <c r="AG29" s="62"/>
      <c r="AH29" s="62"/>
      <c r="AI29" s="62"/>
    </row>
    <row r="30" ht="14.25" customHeight="1">
      <c r="Z30" s="62"/>
      <c r="AA30" s="62"/>
      <c r="AB30" s="62"/>
      <c r="AC30" s="62"/>
      <c r="AD30" s="62"/>
      <c r="AE30" s="62"/>
      <c r="AF30" s="62"/>
      <c r="AG30" s="62"/>
      <c r="AH30" s="62"/>
      <c r="AI30" s="62"/>
    </row>
    <row r="31" ht="14.25" customHeight="1">
      <c r="Z31" s="62"/>
      <c r="AA31" s="62"/>
      <c r="AB31" s="62"/>
      <c r="AC31" s="62"/>
      <c r="AD31" s="62"/>
      <c r="AE31" s="62"/>
      <c r="AF31" s="62"/>
      <c r="AG31" s="62"/>
      <c r="AH31" s="62"/>
      <c r="AI31" s="62"/>
    </row>
    <row r="32" ht="14.25" customHeight="1">
      <c r="Z32" s="62"/>
      <c r="AA32" s="62"/>
      <c r="AB32" s="62"/>
      <c r="AC32" s="62"/>
      <c r="AD32" s="62"/>
      <c r="AE32" s="62"/>
      <c r="AF32" s="62"/>
      <c r="AG32" s="62"/>
      <c r="AH32" s="62"/>
      <c r="AI32" s="62"/>
    </row>
    <row r="33" ht="14.25" customHeight="1">
      <c r="Z33" s="62"/>
      <c r="AA33" s="62"/>
      <c r="AB33" s="62"/>
      <c r="AC33" s="62"/>
      <c r="AD33" s="62"/>
      <c r="AE33" s="62"/>
      <c r="AF33" s="62"/>
      <c r="AG33" s="62"/>
      <c r="AH33" s="62"/>
      <c r="AI33" s="62"/>
    </row>
    <row r="34" ht="14.25" customHeight="1">
      <c r="Z34" s="62"/>
      <c r="AA34" s="62"/>
      <c r="AB34" s="62"/>
      <c r="AC34" s="62"/>
      <c r="AD34" s="62"/>
      <c r="AE34" s="62"/>
      <c r="AF34" s="62"/>
      <c r="AG34" s="62"/>
      <c r="AH34" s="62"/>
      <c r="AI34" s="62"/>
    </row>
    <row r="35" ht="14.25" customHeight="1">
      <c r="Z35" s="62"/>
      <c r="AA35" s="62"/>
      <c r="AB35" s="62"/>
      <c r="AC35" s="62"/>
      <c r="AD35" s="62"/>
      <c r="AE35" s="62"/>
      <c r="AF35" s="62"/>
      <c r="AG35" s="62"/>
      <c r="AH35" s="62"/>
      <c r="AI35" s="62"/>
    </row>
    <row r="36" ht="14.25" customHeight="1">
      <c r="Z36" s="62"/>
      <c r="AA36" s="62"/>
      <c r="AB36" s="62"/>
      <c r="AC36" s="62"/>
      <c r="AD36" s="62"/>
      <c r="AE36" s="62"/>
      <c r="AF36" s="62"/>
      <c r="AG36" s="62"/>
      <c r="AH36" s="62"/>
      <c r="AI36" s="62"/>
    </row>
    <row r="37" ht="14.25" customHeight="1">
      <c r="Z37" s="62"/>
      <c r="AA37" s="62"/>
      <c r="AB37" s="62"/>
      <c r="AC37" s="62"/>
      <c r="AD37" s="62"/>
      <c r="AE37" s="62"/>
      <c r="AF37" s="62"/>
      <c r="AG37" s="62"/>
      <c r="AH37" s="62"/>
      <c r="AI37" s="62"/>
    </row>
    <row r="38" ht="14.25" customHeight="1">
      <c r="Z38" s="62"/>
      <c r="AA38" s="62"/>
      <c r="AB38" s="62"/>
      <c r="AC38" s="62"/>
      <c r="AD38" s="62"/>
      <c r="AE38" s="62"/>
      <c r="AF38" s="62"/>
      <c r="AG38" s="62"/>
      <c r="AH38" s="62"/>
      <c r="AI38" s="62"/>
    </row>
    <row r="39" ht="14.25" customHeight="1">
      <c r="Z39" s="62"/>
      <c r="AA39" s="62"/>
      <c r="AB39" s="62"/>
      <c r="AC39" s="62"/>
      <c r="AD39" s="62"/>
      <c r="AE39" s="62"/>
      <c r="AF39" s="62"/>
      <c r="AG39" s="62"/>
      <c r="AH39" s="62"/>
      <c r="AI39" s="62"/>
    </row>
    <row r="40" ht="14.25" customHeight="1">
      <c r="Z40" s="62"/>
      <c r="AA40" s="62"/>
      <c r="AB40" s="62"/>
      <c r="AC40" s="62"/>
      <c r="AD40" s="62"/>
      <c r="AE40" s="62"/>
      <c r="AF40" s="62"/>
      <c r="AG40" s="62"/>
      <c r="AH40" s="62"/>
      <c r="AI40" s="62"/>
    </row>
    <row r="41" ht="14.25" customHeight="1">
      <c r="Z41" s="62"/>
      <c r="AA41" s="62"/>
      <c r="AB41" s="62"/>
      <c r="AC41" s="62"/>
      <c r="AD41" s="62"/>
      <c r="AE41" s="62"/>
      <c r="AF41" s="62"/>
      <c r="AG41" s="62"/>
      <c r="AH41" s="62"/>
      <c r="AI41" s="62"/>
    </row>
    <row r="42" ht="14.25" customHeight="1">
      <c r="Z42" s="62"/>
      <c r="AA42" s="62"/>
      <c r="AB42" s="62"/>
      <c r="AC42" s="62"/>
      <c r="AD42" s="62"/>
      <c r="AE42" s="62"/>
      <c r="AF42" s="62"/>
      <c r="AG42" s="62"/>
      <c r="AH42" s="62"/>
      <c r="AI42" s="62"/>
    </row>
    <row r="43" ht="14.25" customHeight="1">
      <c r="Z43" s="62"/>
      <c r="AA43" s="62"/>
      <c r="AB43" s="62"/>
      <c r="AC43" s="62"/>
      <c r="AD43" s="62"/>
      <c r="AE43" s="62"/>
      <c r="AF43" s="62"/>
      <c r="AG43" s="62"/>
      <c r="AH43" s="62"/>
      <c r="AI43" s="62"/>
    </row>
    <row r="44" ht="14.25" customHeight="1">
      <c r="Z44" s="62"/>
      <c r="AA44" s="62"/>
      <c r="AB44" s="62"/>
      <c r="AC44" s="62"/>
      <c r="AD44" s="62"/>
      <c r="AE44" s="62"/>
      <c r="AF44" s="62"/>
      <c r="AG44" s="62"/>
      <c r="AH44" s="62"/>
      <c r="AI44" s="62"/>
    </row>
    <row r="45" ht="14.25" customHeight="1">
      <c r="Z45" s="62"/>
      <c r="AA45" s="62"/>
      <c r="AB45" s="62"/>
      <c r="AC45" s="62"/>
      <c r="AD45" s="62"/>
      <c r="AE45" s="62"/>
      <c r="AF45" s="62"/>
      <c r="AG45" s="62"/>
      <c r="AH45" s="62"/>
      <c r="AI45" s="62"/>
    </row>
    <row r="46" ht="14.25" customHeight="1">
      <c r="Z46" s="62"/>
      <c r="AA46" s="62"/>
      <c r="AB46" s="62"/>
      <c r="AC46" s="62"/>
      <c r="AD46" s="62"/>
      <c r="AE46" s="62"/>
      <c r="AF46" s="62"/>
      <c r="AG46" s="62"/>
      <c r="AH46" s="62"/>
      <c r="AI46" s="62"/>
    </row>
    <row r="47" ht="14.25" customHeight="1">
      <c r="Z47" s="62"/>
      <c r="AA47" s="62"/>
      <c r="AB47" s="62"/>
      <c r="AC47" s="62"/>
      <c r="AD47" s="62"/>
      <c r="AE47" s="62"/>
      <c r="AF47" s="62"/>
      <c r="AG47" s="62"/>
      <c r="AH47" s="62"/>
      <c r="AI47" s="62"/>
    </row>
    <row r="48" ht="14.25" customHeight="1">
      <c r="Z48" s="62"/>
      <c r="AA48" s="62"/>
      <c r="AB48" s="62"/>
      <c r="AC48" s="62"/>
      <c r="AD48" s="62"/>
      <c r="AE48" s="62"/>
      <c r="AF48" s="62"/>
      <c r="AG48" s="62"/>
      <c r="AH48" s="62"/>
      <c r="AI48" s="62"/>
    </row>
    <row r="49" ht="14.25" customHeight="1">
      <c r="Z49" s="62"/>
      <c r="AA49" s="62"/>
      <c r="AB49" s="62"/>
      <c r="AC49" s="62"/>
      <c r="AD49" s="62"/>
      <c r="AE49" s="62"/>
      <c r="AF49" s="62"/>
      <c r="AG49" s="62"/>
      <c r="AH49" s="62"/>
      <c r="AI49" s="62"/>
    </row>
    <row r="50" ht="14.25" customHeight="1">
      <c r="Z50" s="62"/>
      <c r="AA50" s="62"/>
      <c r="AB50" s="62"/>
      <c r="AC50" s="62"/>
      <c r="AD50" s="62"/>
      <c r="AE50" s="62"/>
      <c r="AF50" s="62"/>
      <c r="AG50" s="62"/>
      <c r="AH50" s="62"/>
      <c r="AI50" s="62"/>
    </row>
    <row r="51" ht="14.25" customHeight="1">
      <c r="Z51" s="62"/>
      <c r="AA51" s="62"/>
      <c r="AB51" s="62"/>
      <c r="AC51" s="62"/>
      <c r="AD51" s="62"/>
      <c r="AE51" s="62"/>
      <c r="AF51" s="62"/>
      <c r="AG51" s="62"/>
      <c r="AH51" s="62"/>
      <c r="AI51" s="62"/>
    </row>
    <row r="52" ht="14.25" customHeight="1">
      <c r="Z52" s="62"/>
      <c r="AA52" s="62"/>
      <c r="AB52" s="62"/>
      <c r="AC52" s="62"/>
      <c r="AD52" s="62"/>
      <c r="AE52" s="62"/>
      <c r="AF52" s="62"/>
      <c r="AG52" s="62"/>
      <c r="AH52" s="62"/>
      <c r="AI52" s="62"/>
    </row>
    <row r="53" ht="14.25" customHeight="1">
      <c r="Z53" s="62"/>
      <c r="AA53" s="62"/>
      <c r="AB53" s="62"/>
      <c r="AC53" s="62"/>
      <c r="AD53" s="62"/>
      <c r="AE53" s="62"/>
      <c r="AF53" s="62"/>
      <c r="AG53" s="62"/>
      <c r="AH53" s="62"/>
      <c r="AI53" s="62"/>
    </row>
    <row r="54" ht="14.25" customHeight="1">
      <c r="Z54" s="62"/>
      <c r="AA54" s="62"/>
      <c r="AB54" s="62"/>
      <c r="AC54" s="62"/>
      <c r="AD54" s="62"/>
      <c r="AE54" s="62"/>
      <c r="AF54" s="62"/>
      <c r="AG54" s="62"/>
      <c r="AH54" s="62"/>
      <c r="AI54" s="62"/>
    </row>
    <row r="55" ht="14.25" customHeight="1">
      <c r="Z55" s="62"/>
      <c r="AA55" s="62"/>
      <c r="AB55" s="62"/>
      <c r="AC55" s="62"/>
      <c r="AD55" s="62"/>
      <c r="AE55" s="62"/>
      <c r="AF55" s="62"/>
      <c r="AG55" s="62"/>
      <c r="AH55" s="62"/>
      <c r="AI55" s="62"/>
    </row>
    <row r="56" ht="14.25" customHeight="1">
      <c r="Z56" s="62"/>
      <c r="AA56" s="62"/>
      <c r="AB56" s="62"/>
      <c r="AC56" s="62"/>
      <c r="AD56" s="62"/>
      <c r="AE56" s="62"/>
      <c r="AF56" s="62"/>
      <c r="AG56" s="62"/>
      <c r="AH56" s="62"/>
      <c r="AI56" s="62"/>
    </row>
    <row r="57" ht="14.25" customHeight="1">
      <c r="Z57" s="62"/>
      <c r="AA57" s="62"/>
      <c r="AB57" s="62"/>
      <c r="AC57" s="62"/>
      <c r="AD57" s="62"/>
      <c r="AE57" s="62"/>
      <c r="AF57" s="62"/>
      <c r="AG57" s="62"/>
      <c r="AH57" s="62"/>
      <c r="AI57" s="62"/>
    </row>
    <row r="58" ht="14.25" customHeight="1">
      <c r="Z58" s="62"/>
      <c r="AA58" s="62"/>
      <c r="AB58" s="62"/>
      <c r="AC58" s="62"/>
      <c r="AD58" s="62"/>
      <c r="AE58" s="62"/>
      <c r="AF58" s="62"/>
      <c r="AG58" s="62"/>
      <c r="AH58" s="62"/>
      <c r="AI58" s="62"/>
    </row>
    <row r="59" ht="14.25" customHeight="1">
      <c r="Z59" s="62"/>
      <c r="AA59" s="62"/>
      <c r="AB59" s="62"/>
      <c r="AC59" s="62"/>
      <c r="AD59" s="62"/>
      <c r="AE59" s="62"/>
      <c r="AF59" s="62"/>
      <c r="AG59" s="62"/>
      <c r="AH59" s="62"/>
      <c r="AI59" s="62"/>
    </row>
    <row r="60" ht="14.25" customHeight="1">
      <c r="Z60" s="62"/>
      <c r="AA60" s="62"/>
      <c r="AB60" s="62"/>
      <c r="AC60" s="62"/>
      <c r="AD60" s="62"/>
      <c r="AE60" s="62"/>
      <c r="AF60" s="62"/>
      <c r="AG60" s="62"/>
      <c r="AH60" s="62"/>
      <c r="AI60" s="62"/>
    </row>
    <row r="61" ht="14.25" customHeight="1">
      <c r="Z61" s="62"/>
      <c r="AA61" s="62"/>
      <c r="AB61" s="62"/>
      <c r="AC61" s="62"/>
      <c r="AD61" s="62"/>
      <c r="AE61" s="62"/>
      <c r="AF61" s="62"/>
      <c r="AG61" s="62"/>
      <c r="AH61" s="62"/>
      <c r="AI61" s="62"/>
    </row>
    <row r="62" ht="14.25" customHeight="1">
      <c r="Z62" s="62"/>
      <c r="AA62" s="62"/>
      <c r="AB62" s="62"/>
      <c r="AC62" s="62"/>
      <c r="AD62" s="62"/>
      <c r="AE62" s="62"/>
      <c r="AF62" s="62"/>
      <c r="AG62" s="62"/>
      <c r="AH62" s="62"/>
      <c r="AI62" s="62"/>
    </row>
    <row r="63" ht="14.25" customHeight="1">
      <c r="Z63" s="62"/>
      <c r="AA63" s="62"/>
      <c r="AB63" s="62"/>
      <c r="AC63" s="62"/>
      <c r="AD63" s="62"/>
      <c r="AE63" s="62"/>
      <c r="AF63" s="62"/>
      <c r="AG63" s="62"/>
      <c r="AH63" s="62"/>
      <c r="AI63" s="62"/>
    </row>
    <row r="64" ht="14.25" customHeight="1">
      <c r="Z64" s="62"/>
      <c r="AA64" s="62"/>
      <c r="AB64" s="62"/>
      <c r="AC64" s="62"/>
      <c r="AD64" s="62"/>
      <c r="AE64" s="62"/>
      <c r="AF64" s="62"/>
      <c r="AG64" s="62"/>
      <c r="AH64" s="62"/>
      <c r="AI64" s="62"/>
    </row>
    <row r="65" ht="14.25" customHeight="1">
      <c r="Z65" s="62"/>
      <c r="AA65" s="62"/>
      <c r="AB65" s="62"/>
      <c r="AC65" s="62"/>
      <c r="AD65" s="62"/>
      <c r="AE65" s="62"/>
      <c r="AF65" s="62"/>
      <c r="AG65" s="62"/>
      <c r="AH65" s="62"/>
      <c r="AI65" s="62"/>
    </row>
    <row r="66" ht="14.25" customHeight="1">
      <c r="Z66" s="62"/>
      <c r="AA66" s="62"/>
      <c r="AB66" s="62"/>
      <c r="AC66" s="62"/>
      <c r="AD66" s="62"/>
      <c r="AE66" s="62"/>
      <c r="AF66" s="62"/>
      <c r="AG66" s="62"/>
      <c r="AH66" s="62"/>
      <c r="AI66" s="62"/>
    </row>
    <row r="67" ht="14.25" customHeight="1">
      <c r="Z67" s="62"/>
      <c r="AA67" s="62"/>
      <c r="AB67" s="62"/>
      <c r="AC67" s="62"/>
      <c r="AD67" s="62"/>
      <c r="AE67" s="62"/>
      <c r="AF67" s="62"/>
      <c r="AG67" s="62"/>
      <c r="AH67" s="62"/>
      <c r="AI67" s="62"/>
    </row>
    <row r="68" ht="14.25" customHeight="1">
      <c r="Z68" s="62"/>
      <c r="AA68" s="62"/>
      <c r="AB68" s="62"/>
      <c r="AC68" s="62"/>
      <c r="AD68" s="62"/>
      <c r="AE68" s="62"/>
      <c r="AF68" s="62"/>
      <c r="AG68" s="62"/>
      <c r="AH68" s="62"/>
      <c r="AI68" s="62"/>
    </row>
    <row r="69" ht="14.25" customHeight="1">
      <c r="Z69" s="62"/>
      <c r="AA69" s="62"/>
      <c r="AB69" s="62"/>
      <c r="AC69" s="62"/>
      <c r="AD69" s="62"/>
      <c r="AE69" s="62"/>
      <c r="AF69" s="62"/>
      <c r="AG69" s="62"/>
      <c r="AH69" s="62"/>
      <c r="AI69" s="62"/>
    </row>
    <row r="70" ht="14.25" customHeight="1">
      <c r="Z70" s="62"/>
      <c r="AA70" s="62"/>
      <c r="AB70" s="62"/>
      <c r="AC70" s="62"/>
      <c r="AD70" s="62"/>
      <c r="AE70" s="62"/>
      <c r="AF70" s="62"/>
      <c r="AG70" s="62"/>
      <c r="AH70" s="62"/>
      <c r="AI70" s="62"/>
    </row>
    <row r="71" ht="14.25" customHeight="1">
      <c r="Z71" s="62"/>
      <c r="AA71" s="62"/>
      <c r="AB71" s="62"/>
      <c r="AC71" s="62"/>
      <c r="AD71" s="62"/>
      <c r="AE71" s="62"/>
      <c r="AF71" s="62"/>
      <c r="AG71" s="62"/>
      <c r="AH71" s="62"/>
      <c r="AI71" s="62"/>
    </row>
    <row r="72" ht="14.25" customHeight="1">
      <c r="Z72" s="62"/>
      <c r="AA72" s="62"/>
      <c r="AB72" s="62"/>
      <c r="AC72" s="62"/>
      <c r="AD72" s="62"/>
      <c r="AE72" s="62"/>
      <c r="AF72" s="62"/>
      <c r="AG72" s="62"/>
      <c r="AH72" s="62"/>
      <c r="AI72" s="62"/>
    </row>
    <row r="73" ht="14.25" customHeight="1">
      <c r="Z73" s="62"/>
      <c r="AA73" s="62"/>
      <c r="AB73" s="62"/>
      <c r="AC73" s="62"/>
      <c r="AD73" s="62"/>
      <c r="AE73" s="62"/>
      <c r="AF73" s="62"/>
      <c r="AG73" s="62"/>
      <c r="AH73" s="62"/>
      <c r="AI73" s="62"/>
    </row>
    <row r="74" ht="14.25" customHeight="1">
      <c r="Z74" s="62"/>
      <c r="AA74" s="62"/>
      <c r="AB74" s="62"/>
      <c r="AC74" s="62"/>
      <c r="AD74" s="62"/>
      <c r="AE74" s="62"/>
      <c r="AF74" s="62"/>
      <c r="AG74" s="62"/>
      <c r="AH74" s="62"/>
      <c r="AI74" s="62"/>
    </row>
    <row r="75" ht="14.25" customHeight="1">
      <c r="Z75" s="62"/>
      <c r="AA75" s="62"/>
      <c r="AB75" s="62"/>
      <c r="AC75" s="62"/>
      <c r="AD75" s="62"/>
      <c r="AE75" s="62"/>
      <c r="AF75" s="62"/>
      <c r="AG75" s="62"/>
      <c r="AH75" s="62"/>
      <c r="AI75" s="62"/>
    </row>
    <row r="76" ht="14.25" customHeight="1">
      <c r="Z76" s="62"/>
      <c r="AA76" s="62"/>
      <c r="AB76" s="62"/>
      <c r="AC76" s="62"/>
      <c r="AD76" s="62"/>
      <c r="AE76" s="62"/>
      <c r="AF76" s="62"/>
      <c r="AG76" s="62"/>
      <c r="AH76" s="62"/>
      <c r="AI76" s="62"/>
    </row>
    <row r="77" ht="14.25" customHeight="1">
      <c r="Z77" s="62"/>
      <c r="AA77" s="62"/>
      <c r="AB77" s="62"/>
      <c r="AC77" s="62"/>
      <c r="AD77" s="62"/>
      <c r="AE77" s="62"/>
      <c r="AF77" s="62"/>
      <c r="AG77" s="62"/>
      <c r="AH77" s="62"/>
      <c r="AI77" s="62"/>
    </row>
    <row r="78" ht="14.25" customHeight="1">
      <c r="Z78" s="62"/>
      <c r="AA78" s="62"/>
      <c r="AB78" s="62"/>
      <c r="AC78" s="62"/>
      <c r="AD78" s="62"/>
      <c r="AE78" s="62"/>
      <c r="AF78" s="62"/>
      <c r="AG78" s="62"/>
      <c r="AH78" s="62"/>
      <c r="AI78" s="62"/>
    </row>
    <row r="79" ht="14.25" customHeight="1">
      <c r="Z79" s="62"/>
      <c r="AA79" s="62"/>
      <c r="AB79" s="62"/>
      <c r="AC79" s="62"/>
      <c r="AD79" s="62"/>
      <c r="AE79" s="62"/>
      <c r="AF79" s="62"/>
      <c r="AG79" s="62"/>
      <c r="AH79" s="62"/>
      <c r="AI79" s="62"/>
    </row>
    <row r="80" ht="14.25" customHeight="1">
      <c r="Z80" s="62"/>
      <c r="AA80" s="62"/>
      <c r="AB80" s="62"/>
      <c r="AC80" s="62"/>
      <c r="AD80" s="62"/>
      <c r="AE80" s="62"/>
      <c r="AF80" s="62"/>
      <c r="AG80" s="62"/>
      <c r="AH80" s="62"/>
      <c r="AI80" s="62"/>
    </row>
    <row r="81" ht="14.25" customHeight="1">
      <c r="Z81" s="62"/>
      <c r="AA81" s="62"/>
      <c r="AB81" s="62"/>
      <c r="AC81" s="62"/>
      <c r="AD81" s="62"/>
      <c r="AE81" s="62"/>
      <c r="AF81" s="62"/>
      <c r="AG81" s="62"/>
      <c r="AH81" s="62"/>
      <c r="AI81" s="62"/>
    </row>
    <row r="82" ht="14.25" customHeight="1">
      <c r="Z82" s="62"/>
      <c r="AA82" s="62"/>
      <c r="AB82" s="62"/>
      <c r="AC82" s="62"/>
      <c r="AD82" s="62"/>
      <c r="AE82" s="62"/>
      <c r="AF82" s="62"/>
      <c r="AG82" s="62"/>
      <c r="AH82" s="62"/>
      <c r="AI82" s="62"/>
    </row>
    <row r="83" ht="14.25" customHeight="1">
      <c r="Z83" s="62"/>
      <c r="AA83" s="62"/>
      <c r="AB83" s="62"/>
      <c r="AC83" s="62"/>
      <c r="AD83" s="62"/>
      <c r="AE83" s="62"/>
      <c r="AF83" s="62"/>
      <c r="AG83" s="62"/>
      <c r="AH83" s="62"/>
      <c r="AI83" s="62"/>
    </row>
    <row r="84" ht="14.25" customHeight="1">
      <c r="Z84" s="62"/>
      <c r="AA84" s="62"/>
      <c r="AB84" s="62"/>
      <c r="AC84" s="62"/>
      <c r="AD84" s="62"/>
      <c r="AE84" s="62"/>
      <c r="AF84" s="62"/>
      <c r="AG84" s="62"/>
      <c r="AH84" s="62"/>
      <c r="AI84" s="62"/>
    </row>
    <row r="85" ht="14.25" customHeight="1">
      <c r="Z85" s="62"/>
      <c r="AA85" s="62"/>
      <c r="AB85" s="62"/>
      <c r="AC85" s="62"/>
      <c r="AD85" s="62"/>
      <c r="AE85" s="62"/>
      <c r="AF85" s="62"/>
      <c r="AG85" s="62"/>
      <c r="AH85" s="62"/>
      <c r="AI85" s="62"/>
    </row>
    <row r="86" ht="14.25" customHeight="1">
      <c r="Z86" s="62"/>
      <c r="AA86" s="62"/>
      <c r="AB86" s="62"/>
      <c r="AC86" s="62"/>
      <c r="AD86" s="62"/>
      <c r="AE86" s="62"/>
      <c r="AF86" s="62"/>
      <c r="AG86" s="62"/>
      <c r="AH86" s="62"/>
      <c r="AI86" s="62"/>
    </row>
    <row r="87" ht="14.25" customHeight="1">
      <c r="Z87" s="62"/>
      <c r="AA87" s="62"/>
      <c r="AB87" s="62"/>
      <c r="AC87" s="62"/>
      <c r="AD87" s="62"/>
      <c r="AE87" s="62"/>
      <c r="AF87" s="62"/>
      <c r="AG87" s="62"/>
      <c r="AH87" s="62"/>
      <c r="AI87" s="62"/>
    </row>
    <row r="88" ht="14.25" customHeight="1">
      <c r="Z88" s="62"/>
      <c r="AA88" s="62"/>
      <c r="AB88" s="62"/>
      <c r="AC88" s="62"/>
      <c r="AD88" s="62"/>
      <c r="AE88" s="62"/>
      <c r="AF88" s="62"/>
      <c r="AG88" s="62"/>
      <c r="AH88" s="62"/>
      <c r="AI88" s="62"/>
    </row>
    <row r="89" ht="14.25" customHeight="1">
      <c r="Z89" s="62"/>
      <c r="AA89" s="62"/>
      <c r="AB89" s="62"/>
      <c r="AC89" s="62"/>
      <c r="AD89" s="62"/>
      <c r="AE89" s="62"/>
      <c r="AF89" s="62"/>
      <c r="AG89" s="62"/>
      <c r="AH89" s="62"/>
      <c r="AI89" s="62"/>
    </row>
    <row r="90" ht="14.25" customHeight="1">
      <c r="Z90" s="62"/>
      <c r="AA90" s="62"/>
      <c r="AB90" s="62"/>
      <c r="AC90" s="62"/>
      <c r="AD90" s="62"/>
      <c r="AE90" s="62"/>
      <c r="AF90" s="62"/>
      <c r="AG90" s="62"/>
      <c r="AH90" s="62"/>
      <c r="AI90" s="62"/>
    </row>
    <row r="91" ht="14.25" customHeight="1">
      <c r="Z91" s="62"/>
      <c r="AA91" s="62"/>
      <c r="AB91" s="62"/>
      <c r="AC91" s="62"/>
      <c r="AD91" s="62"/>
      <c r="AE91" s="62"/>
      <c r="AF91" s="62"/>
      <c r="AG91" s="62"/>
      <c r="AH91" s="62"/>
      <c r="AI91" s="62"/>
    </row>
    <row r="92" ht="14.25" customHeight="1">
      <c r="Z92" s="62"/>
      <c r="AA92" s="62"/>
      <c r="AB92" s="62"/>
      <c r="AC92" s="62"/>
      <c r="AD92" s="62"/>
      <c r="AE92" s="62"/>
      <c r="AF92" s="62"/>
      <c r="AG92" s="62"/>
      <c r="AH92" s="62"/>
      <c r="AI92" s="62"/>
    </row>
    <row r="93" ht="14.25" customHeight="1">
      <c r="Z93" s="62"/>
      <c r="AA93" s="62"/>
      <c r="AB93" s="62"/>
      <c r="AC93" s="62"/>
      <c r="AD93" s="62"/>
      <c r="AE93" s="62"/>
      <c r="AF93" s="62"/>
      <c r="AG93" s="62"/>
      <c r="AH93" s="62"/>
      <c r="AI93" s="62"/>
    </row>
    <row r="94" ht="14.25" customHeight="1">
      <c r="Z94" s="62"/>
      <c r="AA94" s="62"/>
      <c r="AB94" s="62"/>
      <c r="AC94" s="62"/>
      <c r="AD94" s="62"/>
      <c r="AE94" s="62"/>
      <c r="AF94" s="62"/>
      <c r="AG94" s="62"/>
      <c r="AH94" s="62"/>
      <c r="AI94" s="62"/>
    </row>
    <row r="95" ht="14.25" customHeight="1">
      <c r="Z95" s="62"/>
      <c r="AA95" s="62"/>
      <c r="AB95" s="62"/>
      <c r="AC95" s="62"/>
      <c r="AD95" s="62"/>
      <c r="AE95" s="62"/>
      <c r="AF95" s="62"/>
      <c r="AG95" s="62"/>
      <c r="AH95" s="62"/>
      <c r="AI95" s="62"/>
    </row>
    <row r="96" ht="14.25" customHeight="1">
      <c r="Z96" s="62"/>
      <c r="AA96" s="62"/>
      <c r="AB96" s="62"/>
      <c r="AC96" s="62"/>
      <c r="AD96" s="62"/>
      <c r="AE96" s="62"/>
      <c r="AF96" s="62"/>
      <c r="AG96" s="62"/>
      <c r="AH96" s="62"/>
      <c r="AI96" s="62"/>
    </row>
    <row r="97" ht="14.25" customHeight="1">
      <c r="Z97" s="62"/>
      <c r="AA97" s="62"/>
      <c r="AB97" s="62"/>
      <c r="AC97" s="62"/>
      <c r="AD97" s="62"/>
      <c r="AE97" s="62"/>
      <c r="AF97" s="62"/>
      <c r="AG97" s="62"/>
      <c r="AH97" s="62"/>
      <c r="AI97" s="62"/>
    </row>
    <row r="98" ht="14.25" customHeight="1">
      <c r="Z98" s="62"/>
      <c r="AA98" s="62"/>
      <c r="AB98" s="62"/>
      <c r="AC98" s="62"/>
      <c r="AD98" s="62"/>
      <c r="AE98" s="62"/>
      <c r="AF98" s="62"/>
      <c r="AG98" s="62"/>
      <c r="AH98" s="62"/>
      <c r="AI98" s="62"/>
    </row>
    <row r="99" ht="14.25" customHeight="1">
      <c r="Z99" s="62"/>
      <c r="AA99" s="62"/>
      <c r="AB99" s="62"/>
      <c r="AC99" s="62"/>
      <c r="AD99" s="62"/>
      <c r="AE99" s="62"/>
      <c r="AF99" s="62"/>
      <c r="AG99" s="62"/>
      <c r="AH99" s="62"/>
      <c r="AI99" s="62"/>
    </row>
    <row r="100" ht="14.25" customHeight="1">
      <c r="Z100" s="62"/>
      <c r="AA100" s="62"/>
      <c r="AB100" s="62"/>
      <c r="AC100" s="62"/>
      <c r="AD100" s="62"/>
      <c r="AE100" s="62"/>
      <c r="AF100" s="62"/>
      <c r="AG100" s="62"/>
      <c r="AH100" s="62"/>
      <c r="AI100" s="62"/>
    </row>
    <row r="101" ht="14.25" customHeight="1">
      <c r="Z101" s="62"/>
      <c r="AA101" s="62"/>
      <c r="AB101" s="62"/>
      <c r="AC101" s="62"/>
      <c r="AD101" s="62"/>
      <c r="AE101" s="62"/>
      <c r="AF101" s="62"/>
      <c r="AG101" s="62"/>
      <c r="AH101" s="62"/>
      <c r="AI101" s="62"/>
    </row>
    <row r="102" ht="14.25" customHeight="1">
      <c r="Z102" s="62"/>
      <c r="AA102" s="62"/>
      <c r="AB102" s="62"/>
      <c r="AC102" s="62"/>
      <c r="AD102" s="62"/>
      <c r="AE102" s="62"/>
      <c r="AF102" s="62"/>
      <c r="AG102" s="62"/>
      <c r="AH102" s="62"/>
      <c r="AI102" s="62"/>
    </row>
    <row r="103" ht="14.25" customHeight="1">
      <c r="Z103" s="62"/>
      <c r="AA103" s="62"/>
      <c r="AB103" s="62"/>
      <c r="AC103" s="62"/>
      <c r="AD103" s="62"/>
      <c r="AE103" s="62"/>
      <c r="AF103" s="62"/>
      <c r="AG103" s="62"/>
      <c r="AH103" s="62"/>
      <c r="AI103" s="62"/>
    </row>
    <row r="104" ht="14.25" customHeight="1">
      <c r="Z104" s="62"/>
      <c r="AA104" s="62"/>
      <c r="AB104" s="62"/>
      <c r="AC104" s="62"/>
      <c r="AD104" s="62"/>
      <c r="AE104" s="62"/>
      <c r="AF104" s="62"/>
      <c r="AG104" s="62"/>
      <c r="AH104" s="62"/>
      <c r="AI104" s="62"/>
    </row>
    <row r="105" ht="14.25" customHeight="1">
      <c r="Z105" s="62"/>
      <c r="AA105" s="62"/>
      <c r="AB105" s="62"/>
      <c r="AC105" s="62"/>
      <c r="AD105" s="62"/>
      <c r="AE105" s="62"/>
      <c r="AF105" s="62"/>
      <c r="AG105" s="62"/>
      <c r="AH105" s="62"/>
      <c r="AI105" s="62"/>
    </row>
    <row r="106" ht="14.25" customHeight="1">
      <c r="Z106" s="62"/>
      <c r="AA106" s="62"/>
      <c r="AB106" s="62"/>
      <c r="AC106" s="62"/>
      <c r="AD106" s="62"/>
      <c r="AE106" s="62"/>
      <c r="AF106" s="62"/>
      <c r="AG106" s="62"/>
      <c r="AH106" s="62"/>
      <c r="AI106" s="62"/>
    </row>
    <row r="107" ht="14.25" customHeight="1">
      <c r="Z107" s="62"/>
      <c r="AA107" s="62"/>
      <c r="AB107" s="62"/>
      <c r="AC107" s="62"/>
      <c r="AD107" s="62"/>
      <c r="AE107" s="62"/>
      <c r="AF107" s="62"/>
      <c r="AG107" s="62"/>
      <c r="AH107" s="62"/>
      <c r="AI107" s="62"/>
    </row>
    <row r="108" ht="14.25" customHeight="1">
      <c r="Z108" s="62"/>
      <c r="AA108" s="62"/>
      <c r="AB108" s="62"/>
      <c r="AC108" s="62"/>
      <c r="AD108" s="62"/>
      <c r="AE108" s="62"/>
      <c r="AF108" s="62"/>
      <c r="AG108" s="62"/>
      <c r="AH108" s="62"/>
      <c r="AI108" s="62"/>
    </row>
    <row r="109" ht="14.25" customHeight="1">
      <c r="Z109" s="62"/>
      <c r="AA109" s="62"/>
      <c r="AB109" s="62"/>
      <c r="AC109" s="62"/>
      <c r="AD109" s="62"/>
      <c r="AE109" s="62"/>
      <c r="AF109" s="62"/>
      <c r="AG109" s="62"/>
      <c r="AH109" s="62"/>
      <c r="AI109" s="62"/>
    </row>
    <row r="110" ht="14.25" customHeight="1">
      <c r="Z110" s="62"/>
      <c r="AA110" s="62"/>
      <c r="AB110" s="62"/>
      <c r="AC110" s="62"/>
      <c r="AD110" s="62"/>
      <c r="AE110" s="62"/>
      <c r="AF110" s="62"/>
      <c r="AG110" s="62"/>
      <c r="AH110" s="62"/>
      <c r="AI110" s="62"/>
    </row>
    <row r="111" ht="14.25" customHeight="1">
      <c r="Z111" s="62"/>
      <c r="AA111" s="62"/>
      <c r="AB111" s="62"/>
      <c r="AC111" s="62"/>
      <c r="AD111" s="62"/>
      <c r="AE111" s="62"/>
      <c r="AF111" s="62"/>
      <c r="AG111" s="62"/>
      <c r="AH111" s="62"/>
      <c r="AI111" s="62"/>
    </row>
    <row r="112" ht="14.25" customHeight="1">
      <c r="Z112" s="62"/>
      <c r="AA112" s="62"/>
      <c r="AB112" s="62"/>
      <c r="AC112" s="62"/>
      <c r="AD112" s="62"/>
      <c r="AE112" s="62"/>
      <c r="AF112" s="62"/>
      <c r="AG112" s="62"/>
      <c r="AH112" s="62"/>
      <c r="AI112" s="62"/>
    </row>
    <row r="113" ht="14.25" customHeight="1">
      <c r="Z113" s="62"/>
      <c r="AA113" s="62"/>
      <c r="AB113" s="62"/>
      <c r="AC113" s="62"/>
      <c r="AD113" s="62"/>
      <c r="AE113" s="62"/>
      <c r="AF113" s="62"/>
      <c r="AG113" s="62"/>
      <c r="AH113" s="62"/>
      <c r="AI113" s="62"/>
    </row>
    <row r="114" ht="14.25" customHeight="1">
      <c r="Z114" s="62"/>
      <c r="AA114" s="62"/>
      <c r="AB114" s="62"/>
      <c r="AC114" s="62"/>
      <c r="AD114" s="62"/>
      <c r="AE114" s="62"/>
      <c r="AF114" s="62"/>
      <c r="AG114" s="62"/>
      <c r="AH114" s="62"/>
      <c r="AI114" s="62"/>
    </row>
    <row r="115" ht="14.25" customHeight="1">
      <c r="Z115" s="62"/>
      <c r="AA115" s="62"/>
      <c r="AB115" s="62"/>
      <c r="AC115" s="62"/>
      <c r="AD115" s="62"/>
      <c r="AE115" s="62"/>
      <c r="AF115" s="62"/>
      <c r="AG115" s="62"/>
      <c r="AH115" s="62"/>
      <c r="AI115" s="62"/>
    </row>
    <row r="116" ht="14.25" customHeight="1">
      <c r="Z116" s="62"/>
      <c r="AA116" s="62"/>
      <c r="AB116" s="62"/>
      <c r="AC116" s="62"/>
      <c r="AD116" s="62"/>
      <c r="AE116" s="62"/>
      <c r="AF116" s="62"/>
      <c r="AG116" s="62"/>
      <c r="AH116" s="62"/>
      <c r="AI116" s="62"/>
    </row>
    <row r="117" ht="14.25" customHeight="1">
      <c r="Z117" s="62"/>
      <c r="AA117" s="62"/>
      <c r="AB117" s="62"/>
      <c r="AC117" s="62"/>
      <c r="AD117" s="62"/>
      <c r="AE117" s="62"/>
      <c r="AF117" s="62"/>
      <c r="AG117" s="62"/>
      <c r="AH117" s="62"/>
      <c r="AI117" s="62"/>
    </row>
    <row r="118" ht="14.25" customHeight="1">
      <c r="Z118" s="62"/>
      <c r="AA118" s="62"/>
      <c r="AB118" s="62"/>
      <c r="AC118" s="62"/>
      <c r="AD118" s="62"/>
      <c r="AE118" s="62"/>
      <c r="AF118" s="62"/>
      <c r="AG118" s="62"/>
      <c r="AH118" s="62"/>
      <c r="AI118" s="62"/>
    </row>
    <row r="119" ht="14.25" customHeight="1">
      <c r="Z119" s="62"/>
      <c r="AA119" s="62"/>
      <c r="AB119" s="62"/>
      <c r="AC119" s="62"/>
      <c r="AD119" s="62"/>
      <c r="AE119" s="62"/>
      <c r="AF119" s="62"/>
      <c r="AG119" s="62"/>
      <c r="AH119" s="62"/>
      <c r="AI119" s="62"/>
    </row>
    <row r="120" ht="14.25" customHeight="1">
      <c r="Z120" s="62"/>
      <c r="AA120" s="62"/>
      <c r="AB120" s="62"/>
      <c r="AC120" s="62"/>
      <c r="AD120" s="62"/>
      <c r="AE120" s="62"/>
      <c r="AF120" s="62"/>
      <c r="AG120" s="62"/>
      <c r="AH120" s="62"/>
      <c r="AI120" s="62"/>
    </row>
    <row r="121" ht="14.25" customHeight="1">
      <c r="Z121" s="62"/>
      <c r="AA121" s="62"/>
      <c r="AB121" s="62"/>
      <c r="AC121" s="62"/>
      <c r="AD121" s="62"/>
      <c r="AE121" s="62"/>
      <c r="AF121" s="62"/>
      <c r="AG121" s="62"/>
      <c r="AH121" s="62"/>
      <c r="AI121" s="62"/>
    </row>
    <row r="122" ht="14.25" customHeight="1">
      <c r="Z122" s="62"/>
      <c r="AA122" s="62"/>
      <c r="AB122" s="62"/>
      <c r="AC122" s="62"/>
      <c r="AD122" s="62"/>
      <c r="AE122" s="62"/>
      <c r="AF122" s="62"/>
      <c r="AG122" s="62"/>
      <c r="AH122" s="62"/>
      <c r="AI122" s="62"/>
    </row>
    <row r="123" ht="14.25" customHeight="1">
      <c r="Z123" s="62"/>
      <c r="AA123" s="62"/>
      <c r="AB123" s="62"/>
      <c r="AC123" s="62"/>
      <c r="AD123" s="62"/>
      <c r="AE123" s="62"/>
      <c r="AF123" s="62"/>
      <c r="AG123" s="62"/>
      <c r="AH123" s="62"/>
      <c r="AI123" s="62"/>
    </row>
    <row r="124" ht="14.25" customHeight="1">
      <c r="Z124" s="62"/>
      <c r="AA124" s="62"/>
      <c r="AB124" s="62"/>
      <c r="AC124" s="62"/>
      <c r="AD124" s="62"/>
      <c r="AE124" s="62"/>
      <c r="AF124" s="62"/>
      <c r="AG124" s="62"/>
      <c r="AH124" s="62"/>
      <c r="AI124" s="62"/>
    </row>
    <row r="125" ht="14.25" customHeight="1">
      <c r="Z125" s="62"/>
      <c r="AA125" s="62"/>
      <c r="AB125" s="62"/>
      <c r="AC125" s="62"/>
      <c r="AD125" s="62"/>
      <c r="AE125" s="62"/>
      <c r="AF125" s="62"/>
      <c r="AG125" s="62"/>
      <c r="AH125" s="62"/>
      <c r="AI125" s="62"/>
    </row>
    <row r="126" ht="14.25" customHeight="1">
      <c r="Z126" s="62"/>
      <c r="AA126" s="62"/>
      <c r="AB126" s="62"/>
      <c r="AC126" s="62"/>
      <c r="AD126" s="62"/>
      <c r="AE126" s="62"/>
      <c r="AF126" s="62"/>
      <c r="AG126" s="62"/>
      <c r="AH126" s="62"/>
      <c r="AI126" s="62"/>
    </row>
    <row r="127" ht="14.25" customHeight="1">
      <c r="Z127" s="62"/>
      <c r="AA127" s="62"/>
      <c r="AB127" s="62"/>
      <c r="AC127" s="62"/>
      <c r="AD127" s="62"/>
      <c r="AE127" s="62"/>
      <c r="AF127" s="62"/>
      <c r="AG127" s="62"/>
      <c r="AH127" s="62"/>
      <c r="AI127" s="62"/>
    </row>
    <row r="128" ht="14.25" customHeight="1">
      <c r="Z128" s="62"/>
      <c r="AA128" s="62"/>
      <c r="AB128" s="62"/>
      <c r="AC128" s="62"/>
      <c r="AD128" s="62"/>
      <c r="AE128" s="62"/>
      <c r="AF128" s="62"/>
      <c r="AG128" s="62"/>
      <c r="AH128" s="62"/>
      <c r="AI128" s="62"/>
    </row>
    <row r="129" ht="14.25" customHeight="1">
      <c r="Z129" s="62"/>
      <c r="AA129" s="62"/>
      <c r="AB129" s="62"/>
      <c r="AC129" s="62"/>
      <c r="AD129" s="62"/>
      <c r="AE129" s="62"/>
      <c r="AF129" s="62"/>
      <c r="AG129" s="62"/>
      <c r="AH129" s="62"/>
      <c r="AI129" s="62"/>
    </row>
    <row r="130" ht="14.25" customHeight="1">
      <c r="Z130" s="62"/>
      <c r="AA130" s="62"/>
      <c r="AB130" s="62"/>
      <c r="AC130" s="62"/>
      <c r="AD130" s="62"/>
      <c r="AE130" s="62"/>
      <c r="AF130" s="62"/>
      <c r="AG130" s="62"/>
      <c r="AH130" s="62"/>
      <c r="AI130" s="62"/>
    </row>
    <row r="131" ht="14.25" customHeight="1">
      <c r="Z131" s="62"/>
      <c r="AA131" s="62"/>
      <c r="AB131" s="62"/>
      <c r="AC131" s="62"/>
      <c r="AD131" s="62"/>
      <c r="AE131" s="62"/>
      <c r="AF131" s="62"/>
      <c r="AG131" s="62"/>
      <c r="AH131" s="62"/>
      <c r="AI131" s="62"/>
    </row>
    <row r="132" ht="14.25" customHeight="1">
      <c r="Z132" s="62"/>
      <c r="AA132" s="62"/>
      <c r="AB132" s="62"/>
      <c r="AC132" s="62"/>
      <c r="AD132" s="62"/>
      <c r="AE132" s="62"/>
      <c r="AF132" s="62"/>
      <c r="AG132" s="62"/>
      <c r="AH132" s="62"/>
      <c r="AI132" s="62"/>
    </row>
    <row r="133" ht="14.25" customHeight="1">
      <c r="Z133" s="62"/>
      <c r="AA133" s="62"/>
      <c r="AB133" s="62"/>
      <c r="AC133" s="62"/>
      <c r="AD133" s="62"/>
      <c r="AE133" s="62"/>
      <c r="AF133" s="62"/>
      <c r="AG133" s="62"/>
      <c r="AH133" s="62"/>
      <c r="AI133" s="62"/>
    </row>
    <row r="134" ht="14.25" customHeight="1">
      <c r="Z134" s="62"/>
      <c r="AA134" s="62"/>
      <c r="AB134" s="62"/>
      <c r="AC134" s="62"/>
      <c r="AD134" s="62"/>
      <c r="AE134" s="62"/>
      <c r="AF134" s="62"/>
      <c r="AG134" s="62"/>
      <c r="AH134" s="62"/>
      <c r="AI134" s="62"/>
    </row>
    <row r="135" ht="14.25" customHeight="1">
      <c r="Z135" s="62"/>
      <c r="AA135" s="62"/>
      <c r="AB135" s="62"/>
      <c r="AC135" s="62"/>
      <c r="AD135" s="62"/>
      <c r="AE135" s="62"/>
      <c r="AF135" s="62"/>
      <c r="AG135" s="62"/>
      <c r="AH135" s="62"/>
      <c r="AI135" s="62"/>
    </row>
    <row r="136" ht="14.25" customHeight="1">
      <c r="Z136" s="62"/>
      <c r="AA136" s="62"/>
      <c r="AB136" s="62"/>
      <c r="AC136" s="62"/>
      <c r="AD136" s="62"/>
      <c r="AE136" s="62"/>
      <c r="AF136" s="62"/>
      <c r="AG136" s="62"/>
      <c r="AH136" s="62"/>
      <c r="AI136" s="62"/>
    </row>
    <row r="137" ht="14.25" customHeight="1">
      <c r="Z137" s="62"/>
      <c r="AA137" s="62"/>
      <c r="AB137" s="62"/>
      <c r="AC137" s="62"/>
      <c r="AD137" s="62"/>
      <c r="AE137" s="62"/>
      <c r="AF137" s="62"/>
      <c r="AG137" s="62"/>
      <c r="AH137" s="62"/>
      <c r="AI137" s="62"/>
    </row>
    <row r="138" ht="14.25" customHeight="1">
      <c r="Z138" s="62"/>
      <c r="AA138" s="62"/>
      <c r="AB138" s="62"/>
      <c r="AC138" s="62"/>
      <c r="AD138" s="62"/>
      <c r="AE138" s="62"/>
      <c r="AF138" s="62"/>
      <c r="AG138" s="62"/>
      <c r="AH138" s="62"/>
      <c r="AI138" s="62"/>
    </row>
    <row r="139" ht="14.25" customHeight="1">
      <c r="Z139" s="62"/>
      <c r="AA139" s="62"/>
      <c r="AB139" s="62"/>
      <c r="AC139" s="62"/>
      <c r="AD139" s="62"/>
      <c r="AE139" s="62"/>
      <c r="AF139" s="62"/>
      <c r="AG139" s="62"/>
      <c r="AH139" s="62"/>
      <c r="AI139" s="62"/>
    </row>
    <row r="140" ht="14.25" customHeight="1">
      <c r="Z140" s="62"/>
      <c r="AA140" s="62"/>
      <c r="AB140" s="62"/>
      <c r="AC140" s="62"/>
      <c r="AD140" s="62"/>
      <c r="AE140" s="62"/>
      <c r="AF140" s="62"/>
      <c r="AG140" s="62"/>
      <c r="AH140" s="62"/>
      <c r="AI140" s="62"/>
    </row>
    <row r="141" ht="14.25" customHeight="1">
      <c r="Z141" s="62"/>
      <c r="AA141" s="62"/>
      <c r="AB141" s="62"/>
      <c r="AC141" s="62"/>
      <c r="AD141" s="62"/>
      <c r="AE141" s="62"/>
      <c r="AF141" s="62"/>
      <c r="AG141" s="62"/>
      <c r="AH141" s="62"/>
      <c r="AI141" s="62"/>
    </row>
    <row r="142" ht="14.25" customHeight="1">
      <c r="Z142" s="62"/>
      <c r="AA142" s="62"/>
      <c r="AB142" s="62"/>
      <c r="AC142" s="62"/>
      <c r="AD142" s="62"/>
      <c r="AE142" s="62"/>
      <c r="AF142" s="62"/>
      <c r="AG142" s="62"/>
      <c r="AH142" s="62"/>
      <c r="AI142" s="62"/>
    </row>
    <row r="143" ht="14.25" customHeight="1">
      <c r="Z143" s="62"/>
      <c r="AA143" s="62"/>
      <c r="AB143" s="62"/>
      <c r="AC143" s="62"/>
      <c r="AD143" s="62"/>
      <c r="AE143" s="62"/>
      <c r="AF143" s="62"/>
      <c r="AG143" s="62"/>
      <c r="AH143" s="62"/>
      <c r="AI143" s="62"/>
    </row>
    <row r="144" ht="14.25" customHeight="1">
      <c r="Z144" s="62"/>
      <c r="AA144" s="62"/>
      <c r="AB144" s="62"/>
      <c r="AC144" s="62"/>
      <c r="AD144" s="62"/>
      <c r="AE144" s="62"/>
      <c r="AF144" s="62"/>
      <c r="AG144" s="62"/>
      <c r="AH144" s="62"/>
      <c r="AI144" s="62"/>
    </row>
    <row r="145" ht="14.25" customHeight="1">
      <c r="Z145" s="62"/>
      <c r="AA145" s="62"/>
      <c r="AB145" s="62"/>
      <c r="AC145" s="62"/>
      <c r="AD145" s="62"/>
      <c r="AE145" s="62"/>
      <c r="AF145" s="62"/>
      <c r="AG145" s="62"/>
      <c r="AH145" s="62"/>
      <c r="AI145" s="62"/>
    </row>
    <row r="146" ht="14.25" customHeight="1">
      <c r="Z146" s="62"/>
      <c r="AA146" s="62"/>
      <c r="AB146" s="62"/>
      <c r="AC146" s="62"/>
      <c r="AD146" s="62"/>
      <c r="AE146" s="62"/>
      <c r="AF146" s="62"/>
      <c r="AG146" s="62"/>
      <c r="AH146" s="62"/>
      <c r="AI146" s="62"/>
    </row>
    <row r="147" ht="14.25" customHeight="1">
      <c r="Z147" s="62"/>
      <c r="AA147" s="62"/>
      <c r="AB147" s="62"/>
      <c r="AC147" s="62"/>
      <c r="AD147" s="62"/>
      <c r="AE147" s="62"/>
      <c r="AF147" s="62"/>
      <c r="AG147" s="62"/>
      <c r="AH147" s="62"/>
      <c r="AI147" s="62"/>
    </row>
    <row r="148" ht="14.25" customHeight="1">
      <c r="Z148" s="62"/>
      <c r="AA148" s="62"/>
      <c r="AB148" s="62"/>
      <c r="AC148" s="62"/>
      <c r="AD148" s="62"/>
      <c r="AE148" s="62"/>
      <c r="AF148" s="62"/>
      <c r="AG148" s="62"/>
      <c r="AH148" s="62"/>
      <c r="AI148" s="62"/>
    </row>
    <row r="149" ht="14.25" customHeight="1">
      <c r="Z149" s="62"/>
      <c r="AA149" s="62"/>
      <c r="AB149" s="62"/>
      <c r="AC149" s="62"/>
      <c r="AD149" s="62"/>
      <c r="AE149" s="62"/>
      <c r="AF149" s="62"/>
      <c r="AG149" s="62"/>
      <c r="AH149" s="62"/>
      <c r="AI149" s="62"/>
    </row>
    <row r="150" ht="14.25" customHeight="1">
      <c r="Z150" s="62"/>
      <c r="AA150" s="62"/>
      <c r="AB150" s="62"/>
      <c r="AC150" s="62"/>
      <c r="AD150" s="62"/>
      <c r="AE150" s="62"/>
      <c r="AF150" s="62"/>
      <c r="AG150" s="62"/>
      <c r="AH150" s="62"/>
      <c r="AI150" s="62"/>
    </row>
    <row r="151" ht="14.25" customHeight="1">
      <c r="Z151" s="62"/>
      <c r="AA151" s="62"/>
      <c r="AB151" s="62"/>
      <c r="AC151" s="62"/>
      <c r="AD151" s="62"/>
      <c r="AE151" s="62"/>
      <c r="AF151" s="62"/>
      <c r="AG151" s="62"/>
      <c r="AH151" s="62"/>
      <c r="AI151" s="62"/>
    </row>
    <row r="152" ht="14.25" customHeight="1">
      <c r="Z152" s="62"/>
      <c r="AA152" s="62"/>
      <c r="AB152" s="62"/>
      <c r="AC152" s="62"/>
      <c r="AD152" s="62"/>
      <c r="AE152" s="62"/>
      <c r="AF152" s="62"/>
      <c r="AG152" s="62"/>
      <c r="AH152" s="62"/>
      <c r="AI152" s="62"/>
    </row>
    <row r="153" ht="14.25" customHeight="1">
      <c r="Z153" s="62"/>
      <c r="AA153" s="62"/>
      <c r="AB153" s="62"/>
      <c r="AC153" s="62"/>
      <c r="AD153" s="62"/>
      <c r="AE153" s="62"/>
      <c r="AF153" s="62"/>
      <c r="AG153" s="62"/>
      <c r="AH153" s="62"/>
      <c r="AI153" s="62"/>
    </row>
    <row r="154" ht="14.25" customHeight="1">
      <c r="Z154" s="62"/>
      <c r="AA154" s="62"/>
      <c r="AB154" s="62"/>
      <c r="AC154" s="62"/>
      <c r="AD154" s="62"/>
      <c r="AE154" s="62"/>
      <c r="AF154" s="62"/>
      <c r="AG154" s="62"/>
      <c r="AH154" s="62"/>
      <c r="AI154" s="62"/>
    </row>
    <row r="155" ht="14.25" customHeight="1">
      <c r="Z155" s="62"/>
      <c r="AA155" s="62"/>
      <c r="AB155" s="62"/>
      <c r="AC155" s="62"/>
      <c r="AD155" s="62"/>
      <c r="AE155" s="62"/>
      <c r="AF155" s="62"/>
      <c r="AG155" s="62"/>
      <c r="AH155" s="62"/>
      <c r="AI155" s="62"/>
    </row>
    <row r="156" ht="14.25" customHeight="1">
      <c r="Z156" s="62"/>
      <c r="AA156" s="62"/>
      <c r="AB156" s="62"/>
      <c r="AC156" s="62"/>
      <c r="AD156" s="62"/>
      <c r="AE156" s="62"/>
      <c r="AF156" s="62"/>
      <c r="AG156" s="62"/>
      <c r="AH156" s="62"/>
      <c r="AI156" s="62"/>
    </row>
    <row r="157" ht="14.25" customHeight="1">
      <c r="Z157" s="62"/>
      <c r="AA157" s="62"/>
      <c r="AB157" s="62"/>
      <c r="AC157" s="62"/>
      <c r="AD157" s="62"/>
      <c r="AE157" s="62"/>
      <c r="AF157" s="62"/>
      <c r="AG157" s="62"/>
      <c r="AH157" s="62"/>
      <c r="AI157" s="62"/>
    </row>
    <row r="158" ht="14.25" customHeight="1">
      <c r="Z158" s="62"/>
      <c r="AA158" s="62"/>
      <c r="AB158" s="62"/>
      <c r="AC158" s="62"/>
      <c r="AD158" s="62"/>
      <c r="AE158" s="62"/>
      <c r="AF158" s="62"/>
      <c r="AG158" s="62"/>
      <c r="AH158" s="62"/>
      <c r="AI158" s="62"/>
    </row>
    <row r="159" ht="14.25" customHeight="1">
      <c r="Z159" s="62"/>
      <c r="AA159" s="62"/>
      <c r="AB159" s="62"/>
      <c r="AC159" s="62"/>
      <c r="AD159" s="62"/>
      <c r="AE159" s="62"/>
      <c r="AF159" s="62"/>
      <c r="AG159" s="62"/>
      <c r="AH159" s="62"/>
      <c r="AI159" s="62"/>
    </row>
    <row r="160" ht="14.25" customHeight="1">
      <c r="Z160" s="62"/>
      <c r="AA160" s="62"/>
      <c r="AB160" s="62"/>
      <c r="AC160" s="62"/>
      <c r="AD160" s="62"/>
      <c r="AE160" s="62"/>
      <c r="AF160" s="62"/>
      <c r="AG160" s="62"/>
      <c r="AH160" s="62"/>
      <c r="AI160" s="62"/>
    </row>
    <row r="161" ht="14.25" customHeight="1">
      <c r="Z161" s="62"/>
      <c r="AA161" s="62"/>
      <c r="AB161" s="62"/>
      <c r="AC161" s="62"/>
      <c r="AD161" s="62"/>
      <c r="AE161" s="62"/>
      <c r="AF161" s="62"/>
      <c r="AG161" s="62"/>
      <c r="AH161" s="62"/>
      <c r="AI161" s="62"/>
    </row>
    <row r="162" ht="14.25" customHeight="1">
      <c r="Z162" s="62"/>
      <c r="AA162" s="62"/>
      <c r="AB162" s="62"/>
      <c r="AC162" s="62"/>
      <c r="AD162" s="62"/>
      <c r="AE162" s="62"/>
      <c r="AF162" s="62"/>
      <c r="AG162" s="62"/>
      <c r="AH162" s="62"/>
      <c r="AI162" s="62"/>
    </row>
    <row r="163" ht="14.25" customHeight="1">
      <c r="Z163" s="62"/>
      <c r="AA163" s="62"/>
      <c r="AB163" s="62"/>
      <c r="AC163" s="62"/>
      <c r="AD163" s="62"/>
      <c r="AE163" s="62"/>
      <c r="AF163" s="62"/>
      <c r="AG163" s="62"/>
      <c r="AH163" s="62"/>
      <c r="AI163" s="62"/>
    </row>
    <row r="164" ht="14.25" customHeight="1">
      <c r="Z164" s="62"/>
      <c r="AA164" s="62"/>
      <c r="AB164" s="62"/>
      <c r="AC164" s="62"/>
      <c r="AD164" s="62"/>
      <c r="AE164" s="62"/>
      <c r="AF164" s="62"/>
      <c r="AG164" s="62"/>
      <c r="AH164" s="62"/>
      <c r="AI164" s="62"/>
    </row>
    <row r="165" ht="14.25" customHeight="1">
      <c r="Z165" s="62"/>
      <c r="AA165" s="62"/>
      <c r="AB165" s="62"/>
      <c r="AC165" s="62"/>
      <c r="AD165" s="62"/>
      <c r="AE165" s="62"/>
      <c r="AF165" s="62"/>
      <c r="AG165" s="62"/>
      <c r="AH165" s="62"/>
      <c r="AI165" s="62"/>
    </row>
    <row r="166" ht="14.25" customHeight="1">
      <c r="Z166" s="62"/>
      <c r="AA166" s="62"/>
      <c r="AB166" s="62"/>
      <c r="AC166" s="62"/>
      <c r="AD166" s="62"/>
      <c r="AE166" s="62"/>
      <c r="AF166" s="62"/>
      <c r="AG166" s="62"/>
      <c r="AH166" s="62"/>
      <c r="AI166" s="62"/>
    </row>
    <row r="167" ht="14.25" customHeight="1">
      <c r="Z167" s="62"/>
      <c r="AA167" s="62"/>
      <c r="AB167" s="62"/>
      <c r="AC167" s="62"/>
      <c r="AD167" s="62"/>
      <c r="AE167" s="62"/>
      <c r="AF167" s="62"/>
      <c r="AG167" s="62"/>
      <c r="AH167" s="62"/>
      <c r="AI167" s="62"/>
    </row>
    <row r="168" ht="14.25" customHeight="1">
      <c r="Z168" s="62"/>
      <c r="AA168" s="62"/>
      <c r="AB168" s="62"/>
      <c r="AC168" s="62"/>
      <c r="AD168" s="62"/>
      <c r="AE168" s="62"/>
      <c r="AF168" s="62"/>
      <c r="AG168" s="62"/>
      <c r="AH168" s="62"/>
      <c r="AI168" s="62"/>
    </row>
    <row r="169" ht="14.25" customHeight="1">
      <c r="Z169" s="62"/>
      <c r="AA169" s="62"/>
      <c r="AB169" s="62"/>
      <c r="AC169" s="62"/>
      <c r="AD169" s="62"/>
      <c r="AE169" s="62"/>
      <c r="AF169" s="62"/>
      <c r="AG169" s="62"/>
      <c r="AH169" s="62"/>
      <c r="AI169" s="62"/>
    </row>
    <row r="170" ht="14.25" customHeight="1">
      <c r="Z170" s="62"/>
      <c r="AA170" s="62"/>
      <c r="AB170" s="62"/>
      <c r="AC170" s="62"/>
      <c r="AD170" s="62"/>
      <c r="AE170" s="62"/>
      <c r="AF170" s="62"/>
      <c r="AG170" s="62"/>
      <c r="AH170" s="62"/>
      <c r="AI170" s="62"/>
    </row>
    <row r="171" ht="14.25" customHeight="1">
      <c r="Z171" s="62"/>
      <c r="AA171" s="62"/>
      <c r="AB171" s="62"/>
      <c r="AC171" s="62"/>
      <c r="AD171" s="62"/>
      <c r="AE171" s="62"/>
      <c r="AF171" s="62"/>
      <c r="AG171" s="62"/>
      <c r="AH171" s="62"/>
      <c r="AI171" s="62"/>
    </row>
    <row r="172" ht="14.25" customHeight="1">
      <c r="Z172" s="62"/>
      <c r="AA172" s="62"/>
      <c r="AB172" s="62"/>
      <c r="AC172" s="62"/>
      <c r="AD172" s="62"/>
      <c r="AE172" s="62"/>
      <c r="AF172" s="62"/>
      <c r="AG172" s="62"/>
      <c r="AH172" s="62"/>
      <c r="AI172" s="62"/>
    </row>
    <row r="173" ht="14.25" customHeight="1">
      <c r="Z173" s="62"/>
      <c r="AA173" s="62"/>
      <c r="AB173" s="62"/>
      <c r="AC173" s="62"/>
      <c r="AD173" s="62"/>
      <c r="AE173" s="62"/>
      <c r="AF173" s="62"/>
      <c r="AG173" s="62"/>
      <c r="AH173" s="62"/>
      <c r="AI173" s="62"/>
    </row>
    <row r="174" ht="14.25" customHeight="1">
      <c r="Z174" s="62"/>
      <c r="AA174" s="62"/>
      <c r="AB174" s="62"/>
      <c r="AC174" s="62"/>
      <c r="AD174" s="62"/>
      <c r="AE174" s="62"/>
      <c r="AF174" s="62"/>
      <c r="AG174" s="62"/>
      <c r="AH174" s="62"/>
      <c r="AI174" s="62"/>
    </row>
    <row r="175" ht="14.25" customHeight="1">
      <c r="Z175" s="62"/>
      <c r="AA175" s="62"/>
      <c r="AB175" s="62"/>
      <c r="AC175" s="62"/>
      <c r="AD175" s="62"/>
      <c r="AE175" s="62"/>
      <c r="AF175" s="62"/>
      <c r="AG175" s="62"/>
      <c r="AH175" s="62"/>
      <c r="AI175" s="62"/>
    </row>
    <row r="176" ht="14.25" customHeight="1">
      <c r="Z176" s="62"/>
      <c r="AA176" s="62"/>
      <c r="AB176" s="62"/>
      <c r="AC176" s="62"/>
      <c r="AD176" s="62"/>
      <c r="AE176" s="62"/>
      <c r="AF176" s="62"/>
      <c r="AG176" s="62"/>
      <c r="AH176" s="62"/>
      <c r="AI176" s="62"/>
    </row>
    <row r="177" ht="14.25" customHeight="1">
      <c r="Z177" s="62"/>
      <c r="AA177" s="62"/>
      <c r="AB177" s="62"/>
      <c r="AC177" s="62"/>
      <c r="AD177" s="62"/>
      <c r="AE177" s="62"/>
      <c r="AF177" s="62"/>
      <c r="AG177" s="62"/>
      <c r="AH177" s="62"/>
      <c r="AI177" s="62"/>
    </row>
    <row r="178" ht="14.25" customHeight="1">
      <c r="Z178" s="62"/>
      <c r="AA178" s="62"/>
      <c r="AB178" s="62"/>
      <c r="AC178" s="62"/>
      <c r="AD178" s="62"/>
      <c r="AE178" s="62"/>
      <c r="AF178" s="62"/>
      <c r="AG178" s="62"/>
      <c r="AH178" s="62"/>
      <c r="AI178" s="62"/>
    </row>
    <row r="179" ht="14.25" customHeight="1">
      <c r="Z179" s="62"/>
      <c r="AA179" s="62"/>
      <c r="AB179" s="62"/>
      <c r="AC179" s="62"/>
      <c r="AD179" s="62"/>
      <c r="AE179" s="62"/>
      <c r="AF179" s="62"/>
      <c r="AG179" s="62"/>
      <c r="AH179" s="62"/>
      <c r="AI179" s="62"/>
    </row>
    <row r="180" ht="14.25" customHeight="1">
      <c r="Z180" s="62"/>
      <c r="AA180" s="62"/>
      <c r="AB180" s="62"/>
      <c r="AC180" s="62"/>
      <c r="AD180" s="62"/>
      <c r="AE180" s="62"/>
      <c r="AF180" s="62"/>
      <c r="AG180" s="62"/>
      <c r="AH180" s="62"/>
      <c r="AI180" s="62"/>
    </row>
    <row r="181" ht="14.25" customHeight="1">
      <c r="Z181" s="62"/>
      <c r="AA181" s="62"/>
      <c r="AB181" s="62"/>
      <c r="AC181" s="62"/>
      <c r="AD181" s="62"/>
      <c r="AE181" s="62"/>
      <c r="AF181" s="62"/>
      <c r="AG181" s="62"/>
      <c r="AH181" s="62"/>
      <c r="AI181" s="62"/>
    </row>
    <row r="182" ht="14.25" customHeight="1">
      <c r="Z182" s="62"/>
      <c r="AA182" s="62"/>
      <c r="AB182" s="62"/>
      <c r="AC182" s="62"/>
      <c r="AD182" s="62"/>
      <c r="AE182" s="62"/>
      <c r="AF182" s="62"/>
      <c r="AG182" s="62"/>
      <c r="AH182" s="62"/>
      <c r="AI182" s="62"/>
    </row>
    <row r="183" ht="14.25" customHeight="1">
      <c r="Z183" s="62"/>
      <c r="AA183" s="62"/>
      <c r="AB183" s="62"/>
      <c r="AC183" s="62"/>
      <c r="AD183" s="62"/>
      <c r="AE183" s="62"/>
      <c r="AF183" s="62"/>
      <c r="AG183" s="62"/>
      <c r="AH183" s="62"/>
      <c r="AI183" s="62"/>
    </row>
    <row r="184" ht="14.25" customHeight="1">
      <c r="Z184" s="62"/>
      <c r="AA184" s="62"/>
      <c r="AB184" s="62"/>
      <c r="AC184" s="62"/>
      <c r="AD184" s="62"/>
      <c r="AE184" s="62"/>
      <c r="AF184" s="62"/>
      <c r="AG184" s="62"/>
      <c r="AH184" s="62"/>
      <c r="AI184" s="62"/>
    </row>
    <row r="185" ht="14.25" customHeight="1">
      <c r="Z185" s="62"/>
      <c r="AA185" s="62"/>
      <c r="AB185" s="62"/>
      <c r="AC185" s="62"/>
      <c r="AD185" s="62"/>
      <c r="AE185" s="62"/>
      <c r="AF185" s="62"/>
      <c r="AG185" s="62"/>
      <c r="AH185" s="62"/>
      <c r="AI185" s="62"/>
    </row>
    <row r="186" ht="14.25" customHeight="1">
      <c r="Z186" s="62"/>
      <c r="AA186" s="62"/>
      <c r="AB186" s="62"/>
      <c r="AC186" s="62"/>
      <c r="AD186" s="62"/>
      <c r="AE186" s="62"/>
      <c r="AF186" s="62"/>
      <c r="AG186" s="62"/>
      <c r="AH186" s="62"/>
      <c r="AI186" s="62"/>
    </row>
    <row r="187" ht="14.25" customHeight="1">
      <c r="Z187" s="62"/>
      <c r="AA187" s="62"/>
      <c r="AB187" s="62"/>
      <c r="AC187" s="62"/>
      <c r="AD187" s="62"/>
      <c r="AE187" s="62"/>
      <c r="AF187" s="62"/>
      <c r="AG187" s="62"/>
      <c r="AH187" s="62"/>
      <c r="AI187" s="62"/>
    </row>
    <row r="188" ht="14.25" customHeight="1">
      <c r="Z188" s="62"/>
      <c r="AA188" s="62"/>
      <c r="AB188" s="62"/>
      <c r="AC188" s="62"/>
      <c r="AD188" s="62"/>
      <c r="AE188" s="62"/>
      <c r="AF188" s="62"/>
      <c r="AG188" s="62"/>
      <c r="AH188" s="62"/>
      <c r="AI188" s="62"/>
    </row>
    <row r="189" ht="14.25" customHeight="1">
      <c r="Z189" s="62"/>
      <c r="AA189" s="62"/>
      <c r="AB189" s="62"/>
      <c r="AC189" s="62"/>
      <c r="AD189" s="62"/>
      <c r="AE189" s="62"/>
      <c r="AF189" s="62"/>
      <c r="AG189" s="62"/>
      <c r="AH189" s="62"/>
      <c r="AI189" s="62"/>
    </row>
    <row r="190" ht="14.25" customHeight="1">
      <c r="Z190" s="62"/>
      <c r="AA190" s="62"/>
      <c r="AB190" s="62"/>
      <c r="AC190" s="62"/>
      <c r="AD190" s="62"/>
      <c r="AE190" s="62"/>
      <c r="AF190" s="62"/>
      <c r="AG190" s="62"/>
      <c r="AH190" s="62"/>
      <c r="AI190" s="62"/>
    </row>
    <row r="191" ht="14.25" customHeight="1">
      <c r="Z191" s="62"/>
      <c r="AA191" s="62"/>
      <c r="AB191" s="62"/>
      <c r="AC191" s="62"/>
      <c r="AD191" s="62"/>
      <c r="AE191" s="62"/>
      <c r="AF191" s="62"/>
      <c r="AG191" s="62"/>
      <c r="AH191" s="62"/>
      <c r="AI191" s="62"/>
    </row>
    <row r="192" ht="14.25" customHeight="1">
      <c r="Z192" s="62"/>
      <c r="AA192" s="62"/>
      <c r="AB192" s="62"/>
      <c r="AC192" s="62"/>
      <c r="AD192" s="62"/>
      <c r="AE192" s="62"/>
      <c r="AF192" s="62"/>
      <c r="AG192" s="62"/>
      <c r="AH192" s="62"/>
      <c r="AI192" s="62"/>
    </row>
    <row r="193" ht="14.25" customHeight="1">
      <c r="Z193" s="62"/>
      <c r="AA193" s="62"/>
      <c r="AB193" s="62"/>
      <c r="AC193" s="62"/>
      <c r="AD193" s="62"/>
      <c r="AE193" s="62"/>
      <c r="AF193" s="62"/>
      <c r="AG193" s="62"/>
      <c r="AH193" s="62"/>
      <c r="AI193" s="62"/>
    </row>
    <row r="194" ht="14.25" customHeight="1">
      <c r="Z194" s="62"/>
      <c r="AA194" s="62"/>
      <c r="AB194" s="62"/>
      <c r="AC194" s="62"/>
      <c r="AD194" s="62"/>
      <c r="AE194" s="62"/>
      <c r="AF194" s="62"/>
      <c r="AG194" s="62"/>
      <c r="AH194" s="62"/>
      <c r="AI194" s="62"/>
    </row>
    <row r="195" ht="14.25" customHeight="1">
      <c r="Z195" s="62"/>
      <c r="AA195" s="62"/>
      <c r="AB195" s="62"/>
      <c r="AC195" s="62"/>
      <c r="AD195" s="62"/>
      <c r="AE195" s="62"/>
      <c r="AF195" s="62"/>
      <c r="AG195" s="62"/>
      <c r="AH195" s="62"/>
      <c r="AI195" s="62"/>
    </row>
    <row r="196" ht="14.25" customHeight="1">
      <c r="Z196" s="62"/>
      <c r="AA196" s="62"/>
      <c r="AB196" s="62"/>
      <c r="AC196" s="62"/>
      <c r="AD196" s="62"/>
      <c r="AE196" s="62"/>
      <c r="AF196" s="62"/>
      <c r="AG196" s="62"/>
      <c r="AH196" s="62"/>
      <c r="AI196" s="62"/>
    </row>
    <row r="197" ht="14.25" customHeight="1">
      <c r="Z197" s="62"/>
      <c r="AA197" s="62"/>
      <c r="AB197" s="62"/>
      <c r="AC197" s="62"/>
      <c r="AD197" s="62"/>
      <c r="AE197" s="62"/>
      <c r="AF197" s="62"/>
      <c r="AG197" s="62"/>
      <c r="AH197" s="62"/>
      <c r="AI197" s="62"/>
    </row>
    <row r="198" ht="14.25" customHeight="1">
      <c r="Z198" s="62"/>
      <c r="AA198" s="62"/>
      <c r="AB198" s="62"/>
      <c r="AC198" s="62"/>
      <c r="AD198" s="62"/>
      <c r="AE198" s="62"/>
      <c r="AF198" s="62"/>
      <c r="AG198" s="62"/>
      <c r="AH198" s="62"/>
      <c r="AI198" s="62"/>
    </row>
    <row r="199" ht="14.25" customHeight="1">
      <c r="Z199" s="62"/>
      <c r="AA199" s="62"/>
      <c r="AB199" s="62"/>
      <c r="AC199" s="62"/>
      <c r="AD199" s="62"/>
      <c r="AE199" s="62"/>
      <c r="AF199" s="62"/>
      <c r="AG199" s="62"/>
      <c r="AH199" s="62"/>
      <c r="AI199" s="62"/>
    </row>
    <row r="200" ht="14.25" customHeight="1">
      <c r="Z200" s="62"/>
      <c r="AA200" s="62"/>
      <c r="AB200" s="62"/>
      <c r="AC200" s="62"/>
      <c r="AD200" s="62"/>
      <c r="AE200" s="62"/>
      <c r="AF200" s="62"/>
      <c r="AG200" s="62"/>
      <c r="AH200" s="62"/>
      <c r="AI200" s="62"/>
    </row>
    <row r="201" ht="14.25" customHeight="1">
      <c r="Z201" s="62"/>
      <c r="AA201" s="62"/>
      <c r="AB201" s="62"/>
      <c r="AC201" s="62"/>
      <c r="AD201" s="62"/>
      <c r="AE201" s="62"/>
      <c r="AF201" s="62"/>
      <c r="AG201" s="62"/>
      <c r="AH201" s="62"/>
      <c r="AI201" s="62"/>
    </row>
    <row r="202" ht="14.25" customHeight="1">
      <c r="Z202" s="62"/>
      <c r="AA202" s="62"/>
      <c r="AB202" s="62"/>
      <c r="AC202" s="62"/>
      <c r="AD202" s="62"/>
      <c r="AE202" s="62"/>
      <c r="AF202" s="62"/>
      <c r="AG202" s="62"/>
      <c r="AH202" s="62"/>
      <c r="AI202" s="62"/>
    </row>
    <row r="203" ht="14.25" customHeight="1">
      <c r="Z203" s="62"/>
      <c r="AA203" s="62"/>
      <c r="AB203" s="62"/>
      <c r="AC203" s="62"/>
      <c r="AD203" s="62"/>
      <c r="AE203" s="62"/>
      <c r="AF203" s="62"/>
      <c r="AG203" s="62"/>
      <c r="AH203" s="62"/>
      <c r="AI203" s="62"/>
    </row>
    <row r="204" ht="14.25" customHeight="1">
      <c r="Z204" s="62"/>
      <c r="AA204" s="62"/>
      <c r="AB204" s="62"/>
      <c r="AC204" s="62"/>
      <c r="AD204" s="62"/>
      <c r="AE204" s="62"/>
      <c r="AF204" s="62"/>
      <c r="AG204" s="62"/>
      <c r="AH204" s="62"/>
      <c r="AI204" s="62"/>
    </row>
    <row r="205" ht="14.25" customHeight="1">
      <c r="Z205" s="62"/>
      <c r="AA205" s="62"/>
      <c r="AB205" s="62"/>
      <c r="AC205" s="62"/>
      <c r="AD205" s="62"/>
      <c r="AE205" s="62"/>
      <c r="AF205" s="62"/>
      <c r="AG205" s="62"/>
      <c r="AH205" s="62"/>
      <c r="AI205" s="62"/>
    </row>
    <row r="206" ht="14.25" customHeight="1">
      <c r="Z206" s="62"/>
      <c r="AA206" s="62"/>
      <c r="AB206" s="62"/>
      <c r="AC206" s="62"/>
      <c r="AD206" s="62"/>
      <c r="AE206" s="62"/>
      <c r="AF206" s="62"/>
      <c r="AG206" s="62"/>
      <c r="AH206" s="62"/>
      <c r="AI206" s="62"/>
    </row>
    <row r="207" ht="14.25" customHeight="1">
      <c r="Z207" s="62"/>
      <c r="AA207" s="62"/>
      <c r="AB207" s="62"/>
      <c r="AC207" s="62"/>
      <c r="AD207" s="62"/>
      <c r="AE207" s="62"/>
      <c r="AF207" s="62"/>
      <c r="AG207" s="62"/>
      <c r="AH207" s="62"/>
      <c r="AI207" s="62"/>
    </row>
    <row r="208" ht="14.25" customHeight="1">
      <c r="Z208" s="62"/>
      <c r="AA208" s="62"/>
      <c r="AB208" s="62"/>
      <c r="AC208" s="62"/>
      <c r="AD208" s="62"/>
      <c r="AE208" s="62"/>
      <c r="AF208" s="62"/>
      <c r="AG208" s="62"/>
      <c r="AH208" s="62"/>
      <c r="AI208" s="62"/>
    </row>
    <row r="209" ht="14.25" customHeight="1">
      <c r="Z209" s="62"/>
      <c r="AA209" s="62"/>
      <c r="AB209" s="62"/>
      <c r="AC209" s="62"/>
      <c r="AD209" s="62"/>
      <c r="AE209" s="62"/>
      <c r="AF209" s="62"/>
      <c r="AG209" s="62"/>
      <c r="AH209" s="62"/>
      <c r="AI209" s="62"/>
    </row>
    <row r="210" ht="14.25" customHeight="1">
      <c r="Z210" s="62"/>
      <c r="AA210" s="62"/>
      <c r="AB210" s="62"/>
      <c r="AC210" s="62"/>
      <c r="AD210" s="62"/>
      <c r="AE210" s="62"/>
      <c r="AF210" s="62"/>
      <c r="AG210" s="62"/>
      <c r="AH210" s="62"/>
      <c r="AI210" s="62"/>
    </row>
    <row r="211" ht="14.25" customHeight="1">
      <c r="Z211" s="62"/>
      <c r="AA211" s="62"/>
      <c r="AB211" s="62"/>
      <c r="AC211" s="62"/>
      <c r="AD211" s="62"/>
      <c r="AE211" s="62"/>
      <c r="AF211" s="62"/>
      <c r="AG211" s="62"/>
      <c r="AH211" s="62"/>
      <c r="AI211" s="62"/>
    </row>
    <row r="212" ht="14.25" customHeight="1">
      <c r="Z212" s="62"/>
      <c r="AA212" s="62"/>
      <c r="AB212" s="62"/>
      <c r="AC212" s="62"/>
      <c r="AD212" s="62"/>
      <c r="AE212" s="62"/>
      <c r="AF212" s="62"/>
      <c r="AG212" s="62"/>
      <c r="AH212" s="62"/>
      <c r="AI212" s="62"/>
    </row>
    <row r="213" ht="14.25" customHeight="1">
      <c r="Z213" s="62"/>
      <c r="AA213" s="62"/>
      <c r="AB213" s="62"/>
      <c r="AC213" s="62"/>
      <c r="AD213" s="62"/>
      <c r="AE213" s="62"/>
      <c r="AF213" s="62"/>
      <c r="AG213" s="62"/>
      <c r="AH213" s="62"/>
      <c r="AI213" s="62"/>
    </row>
    <row r="214" ht="14.25" customHeight="1">
      <c r="Z214" s="62"/>
      <c r="AA214" s="62"/>
      <c r="AB214" s="62"/>
      <c r="AC214" s="62"/>
      <c r="AD214" s="62"/>
      <c r="AE214" s="62"/>
      <c r="AF214" s="62"/>
      <c r="AG214" s="62"/>
      <c r="AH214" s="62"/>
      <c r="AI214" s="62"/>
    </row>
    <row r="215" ht="14.25" customHeight="1">
      <c r="Z215" s="62"/>
      <c r="AA215" s="62"/>
      <c r="AB215" s="62"/>
      <c r="AC215" s="62"/>
      <c r="AD215" s="62"/>
      <c r="AE215" s="62"/>
      <c r="AF215" s="62"/>
      <c r="AG215" s="62"/>
      <c r="AH215" s="62"/>
      <c r="AI215" s="62"/>
    </row>
    <row r="216" ht="14.25" customHeight="1">
      <c r="Z216" s="62"/>
      <c r="AA216" s="62"/>
      <c r="AB216" s="62"/>
      <c r="AC216" s="62"/>
      <c r="AD216" s="62"/>
      <c r="AE216" s="62"/>
      <c r="AF216" s="62"/>
      <c r="AG216" s="62"/>
      <c r="AH216" s="62"/>
      <c r="AI216" s="62"/>
    </row>
    <row r="217" ht="14.25" customHeight="1">
      <c r="Z217" s="62"/>
      <c r="AA217" s="62"/>
      <c r="AB217" s="62"/>
      <c r="AC217" s="62"/>
      <c r="AD217" s="62"/>
      <c r="AE217" s="62"/>
      <c r="AF217" s="62"/>
      <c r="AG217" s="62"/>
      <c r="AH217" s="62"/>
      <c r="AI217" s="62"/>
    </row>
    <row r="218" ht="14.25" customHeight="1">
      <c r="Z218" s="62"/>
      <c r="AA218" s="62"/>
      <c r="AB218" s="62"/>
      <c r="AC218" s="62"/>
      <c r="AD218" s="62"/>
      <c r="AE218" s="62"/>
      <c r="AF218" s="62"/>
      <c r="AG218" s="62"/>
      <c r="AH218" s="62"/>
      <c r="AI218" s="62"/>
    </row>
    <row r="219" ht="14.25" customHeight="1">
      <c r="Z219" s="62"/>
      <c r="AA219" s="62"/>
      <c r="AB219" s="62"/>
      <c r="AC219" s="62"/>
      <c r="AD219" s="62"/>
      <c r="AE219" s="62"/>
      <c r="AF219" s="62"/>
      <c r="AG219" s="62"/>
      <c r="AH219" s="62"/>
      <c r="AI219" s="62"/>
    </row>
    <row r="220" ht="14.25" customHeight="1">
      <c r="Z220" s="62"/>
      <c r="AA220" s="62"/>
      <c r="AB220" s="62"/>
      <c r="AC220" s="62"/>
      <c r="AD220" s="62"/>
      <c r="AE220" s="62"/>
      <c r="AF220" s="62"/>
      <c r="AG220" s="62"/>
      <c r="AH220" s="62"/>
      <c r="AI220" s="6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L1:Q1"/>
    <mergeCell ref="L2:Q2"/>
    <mergeCell ref="D13:E19"/>
    <mergeCell ref="B14:B19"/>
    <mergeCell ref="C14:C19"/>
  </mergeCells>
  <dataValidations>
    <dataValidation type="list" allowBlank="1" showErrorMessage="1" sqref="Z5:AH28">
      <formula1>"Ada,Belum Ada,Proses,Belum mengurus"</formula1>
    </dataValidation>
    <dataValidation type="list" allowBlank="1" showErrorMessage="1" sqref="G5:G12 G14">
      <formula1>"Sudah Operasional,Belum operasional,Tahap persiapan"</formula1>
    </dataValidation>
  </dataValidations>
  <printOptions/>
  <pageMargins bottom="0.75" footer="0.0" header="0.0" left="0.7" right="0.7" top="0.75"/>
  <pageSetup paperSize="9"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1.57"/>
    <col customWidth="1" min="3" max="3" width="21.86"/>
    <col customWidth="1" min="4" max="4" width="11.86"/>
    <col customWidth="1" min="5" max="5" width="19.29"/>
    <col customWidth="1" min="6" max="7" width="15.86"/>
    <col customWidth="1" min="8" max="11" width="21.14"/>
    <col customWidth="1" min="12" max="15" width="27.0"/>
    <col customWidth="1" min="16" max="16" width="34.29"/>
    <col customWidth="1" min="17" max="18" width="27.0"/>
    <col customWidth="1" min="19" max="24" width="26.43"/>
    <col customWidth="1" min="25" max="25" width="18.43"/>
    <col customWidth="1" min="26" max="35" width="8.71"/>
  </cols>
  <sheetData>
    <row r="1" ht="14.25" customHeight="1">
      <c r="A1" s="62"/>
      <c r="L1" s="63" t="s">
        <v>1</v>
      </c>
      <c r="Z1" s="62"/>
      <c r="AA1" s="62"/>
      <c r="AB1" s="62"/>
      <c r="AC1" s="62"/>
      <c r="AD1" s="62"/>
      <c r="AE1" s="62"/>
      <c r="AF1" s="62"/>
      <c r="AG1" s="62"/>
      <c r="AH1" s="62"/>
      <c r="AI1" s="62"/>
    </row>
    <row r="2" ht="14.25" customHeight="1">
      <c r="L2" s="64" t="s">
        <v>2</v>
      </c>
      <c r="Z2" s="62"/>
      <c r="AA2" s="62"/>
      <c r="AB2" s="62"/>
      <c r="AC2" s="62"/>
      <c r="AD2" s="62"/>
      <c r="AE2" s="62"/>
      <c r="AF2" s="62"/>
      <c r="AG2" s="62"/>
      <c r="AH2" s="62"/>
      <c r="AI2" s="62"/>
    </row>
    <row r="3" ht="14.25" customHeight="1">
      <c r="Z3" s="62"/>
      <c r="AA3" s="62"/>
      <c r="AB3" s="62"/>
      <c r="AC3" s="62"/>
      <c r="AD3" s="62"/>
      <c r="AE3" s="62"/>
      <c r="AF3" s="62"/>
      <c r="AG3" s="62"/>
      <c r="AH3" s="62"/>
      <c r="AI3" s="62"/>
    </row>
    <row r="4" ht="40.5" customHeight="1">
      <c r="A4" s="65" t="s">
        <v>3</v>
      </c>
      <c r="B4" s="65" t="s">
        <v>4</v>
      </c>
      <c r="C4" s="65" t="s">
        <v>5</v>
      </c>
      <c r="D4" s="65" t="s">
        <v>6</v>
      </c>
      <c r="E4" s="65" t="s">
        <v>7</v>
      </c>
      <c r="F4" s="65" t="s">
        <v>8</v>
      </c>
      <c r="G4" s="65" t="s">
        <v>9</v>
      </c>
      <c r="H4" s="65" t="s">
        <v>1084</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14.25" customHeight="1">
      <c r="A5" s="67">
        <v>1.0</v>
      </c>
      <c r="B5" s="67" t="s">
        <v>1596</v>
      </c>
      <c r="C5" s="67" t="s">
        <v>1597</v>
      </c>
      <c r="D5" s="67" t="s">
        <v>1598</v>
      </c>
      <c r="E5" s="67" t="s">
        <v>1599</v>
      </c>
      <c r="F5" s="67" t="s">
        <v>1600</v>
      </c>
      <c r="G5" s="67" t="s">
        <v>43</v>
      </c>
      <c r="H5" s="67">
        <v>2025.0</v>
      </c>
      <c r="I5" s="68" t="s">
        <v>44</v>
      </c>
      <c r="J5" s="67" t="s">
        <v>1601</v>
      </c>
      <c r="K5" s="80" t="s">
        <v>1602</v>
      </c>
      <c r="L5" s="85">
        <v>3177.0</v>
      </c>
      <c r="M5" s="68" t="s">
        <v>1603</v>
      </c>
      <c r="N5" s="68" t="s">
        <v>53</v>
      </c>
      <c r="O5" s="68" t="s">
        <v>1604</v>
      </c>
      <c r="P5" s="68" t="s">
        <v>1605</v>
      </c>
      <c r="Q5" s="68" t="s">
        <v>1606</v>
      </c>
      <c r="R5" s="68" t="s">
        <v>1607</v>
      </c>
      <c r="S5" s="68" t="s">
        <v>53</v>
      </c>
      <c r="T5" s="68">
        <v>55.0</v>
      </c>
      <c r="U5" s="68">
        <v>197.0</v>
      </c>
      <c r="V5" s="68">
        <v>500.0</v>
      </c>
      <c r="W5" s="68" t="s">
        <v>53</v>
      </c>
      <c r="X5" s="68" t="s">
        <v>53</v>
      </c>
      <c r="Y5" s="68"/>
      <c r="Z5" s="54" t="s">
        <v>54</v>
      </c>
      <c r="AA5" s="130"/>
      <c r="AB5" s="130"/>
      <c r="AC5" s="130"/>
      <c r="AD5" s="130"/>
      <c r="AE5" s="130"/>
      <c r="AF5" s="130"/>
      <c r="AG5" s="130"/>
      <c r="AH5" s="130"/>
      <c r="AI5" s="130"/>
    </row>
    <row r="6" ht="14.25" customHeight="1">
      <c r="A6" s="67">
        <v>2.0</v>
      </c>
      <c r="B6" s="67" t="s">
        <v>1608</v>
      </c>
      <c r="C6" s="67" t="s">
        <v>1609</v>
      </c>
      <c r="D6" s="67" t="s">
        <v>1610</v>
      </c>
      <c r="E6" s="71" t="s">
        <v>1611</v>
      </c>
      <c r="F6" s="67" t="s">
        <v>1612</v>
      </c>
      <c r="G6" s="67" t="s">
        <v>43</v>
      </c>
      <c r="H6" s="67">
        <v>2025.0</v>
      </c>
      <c r="I6" s="67" t="s">
        <v>44</v>
      </c>
      <c r="J6" s="67" t="s">
        <v>1613</v>
      </c>
      <c r="K6" s="84">
        <v>8.95405255194E11</v>
      </c>
      <c r="L6" s="85">
        <v>2366.0</v>
      </c>
      <c r="M6" s="67"/>
      <c r="N6" s="67" t="s">
        <v>1614</v>
      </c>
      <c r="O6" s="67" t="s">
        <v>53</v>
      </c>
      <c r="P6" s="67" t="s">
        <v>1615</v>
      </c>
      <c r="Q6" s="67" t="s">
        <v>1616</v>
      </c>
      <c r="R6" s="67" t="s">
        <v>1617</v>
      </c>
      <c r="S6" s="67" t="s">
        <v>53</v>
      </c>
      <c r="T6" s="67">
        <v>-49.0</v>
      </c>
      <c r="U6" s="67">
        <v>-81.0</v>
      </c>
      <c r="V6" s="67">
        <v>-81.0</v>
      </c>
      <c r="W6" s="67" t="s">
        <v>53</v>
      </c>
      <c r="X6" s="67" t="s">
        <v>53</v>
      </c>
      <c r="Y6" s="67"/>
      <c r="Z6" s="131" t="s">
        <v>54</v>
      </c>
      <c r="AA6" s="131" t="s">
        <v>145</v>
      </c>
      <c r="AB6" s="131" t="s">
        <v>54</v>
      </c>
      <c r="AC6" s="131" t="s">
        <v>54</v>
      </c>
      <c r="AD6" s="131" t="s">
        <v>54</v>
      </c>
      <c r="AE6" s="131" t="s">
        <v>146</v>
      </c>
      <c r="AF6" s="131" t="s">
        <v>146</v>
      </c>
      <c r="AG6" s="131" t="s">
        <v>54</v>
      </c>
      <c r="AH6" s="131" t="s">
        <v>146</v>
      </c>
      <c r="AI6" s="131">
        <v>49.0</v>
      </c>
    </row>
    <row r="7" ht="14.25" customHeight="1">
      <c r="A7" s="68">
        <v>3.0</v>
      </c>
      <c r="B7" s="68" t="s">
        <v>1618</v>
      </c>
      <c r="C7" s="68" t="s">
        <v>1619</v>
      </c>
      <c r="D7" s="68" t="s">
        <v>1620</v>
      </c>
      <c r="E7" s="68" t="s">
        <v>1621</v>
      </c>
      <c r="F7" s="68" t="s">
        <v>1622</v>
      </c>
      <c r="G7" s="67" t="s">
        <v>43</v>
      </c>
      <c r="H7" s="67">
        <v>2025.0</v>
      </c>
      <c r="I7" s="68" t="s">
        <v>44</v>
      </c>
      <c r="J7" s="68" t="s">
        <v>1623</v>
      </c>
      <c r="K7" s="80" t="s">
        <v>1624</v>
      </c>
      <c r="L7" s="68">
        <v>2516.0</v>
      </c>
      <c r="M7" s="68" t="s">
        <v>1625</v>
      </c>
      <c r="N7" s="68" t="s">
        <v>1626</v>
      </c>
      <c r="O7" s="68" t="s">
        <v>1627</v>
      </c>
      <c r="P7" s="182"/>
      <c r="Q7" s="68" t="s">
        <v>1628</v>
      </c>
      <c r="R7" s="68" t="s">
        <v>1629</v>
      </c>
      <c r="S7" s="68" t="s">
        <v>1630</v>
      </c>
      <c r="T7" s="68">
        <v>78.0</v>
      </c>
      <c r="U7" s="68">
        <v>179.0</v>
      </c>
      <c r="V7" s="68">
        <v>577.0</v>
      </c>
      <c r="W7" s="68" t="s">
        <v>53</v>
      </c>
      <c r="X7" s="68" t="s">
        <v>53</v>
      </c>
      <c r="Y7" s="68"/>
      <c r="Z7" s="130" t="s">
        <v>54</v>
      </c>
      <c r="AA7" s="130" t="s">
        <v>54</v>
      </c>
      <c r="AB7" s="130" t="s">
        <v>54</v>
      </c>
      <c r="AC7" s="130" t="s">
        <v>54</v>
      </c>
      <c r="AD7" s="130" t="s">
        <v>54</v>
      </c>
      <c r="AE7" s="130" t="s">
        <v>54</v>
      </c>
      <c r="AF7" s="130" t="s">
        <v>54</v>
      </c>
      <c r="AG7" s="130" t="s">
        <v>54</v>
      </c>
      <c r="AH7" s="130"/>
      <c r="AI7" s="130">
        <v>47.0</v>
      </c>
    </row>
    <row r="8" ht="14.25" customHeight="1">
      <c r="A8" s="68">
        <v>4.0</v>
      </c>
      <c r="B8" s="68" t="s">
        <v>1631</v>
      </c>
      <c r="C8" s="68" t="s">
        <v>1632</v>
      </c>
      <c r="D8" s="68" t="s">
        <v>1633</v>
      </c>
      <c r="E8" s="68" t="s">
        <v>1634</v>
      </c>
      <c r="F8" s="68" t="s">
        <v>1635</v>
      </c>
      <c r="G8" s="67" t="s">
        <v>43</v>
      </c>
      <c r="H8" s="67">
        <v>2025.0</v>
      </c>
      <c r="I8" s="68" t="s">
        <v>44</v>
      </c>
      <c r="J8" s="68" t="s">
        <v>1636</v>
      </c>
      <c r="K8" s="68">
        <v>8.7863468569E10</v>
      </c>
      <c r="L8" s="68">
        <v>2864.0</v>
      </c>
      <c r="M8" s="68"/>
      <c r="N8" s="68" t="s">
        <v>1637</v>
      </c>
      <c r="O8" s="68" t="s">
        <v>1638</v>
      </c>
      <c r="P8" s="68" t="s">
        <v>1639</v>
      </c>
      <c r="Q8" s="68" t="s">
        <v>1640</v>
      </c>
      <c r="R8" s="68" t="s">
        <v>1641</v>
      </c>
      <c r="S8" s="68" t="s">
        <v>1642</v>
      </c>
      <c r="T8" s="68">
        <v>64.0</v>
      </c>
      <c r="U8" s="68">
        <v>98.0</v>
      </c>
      <c r="V8" s="68">
        <v>347.0</v>
      </c>
      <c r="W8" s="68"/>
      <c r="X8" s="68"/>
      <c r="Y8" s="68"/>
      <c r="Z8" s="131" t="s">
        <v>54</v>
      </c>
      <c r="AA8" s="131" t="s">
        <v>54</v>
      </c>
      <c r="AB8" s="131" t="s">
        <v>54</v>
      </c>
      <c r="AC8" s="131" t="s">
        <v>54</v>
      </c>
      <c r="AD8" s="131" t="s">
        <v>54</v>
      </c>
      <c r="AE8" s="131" t="s">
        <v>54</v>
      </c>
      <c r="AF8" s="131" t="s">
        <v>54</v>
      </c>
      <c r="AG8" s="131" t="s">
        <v>54</v>
      </c>
      <c r="AH8" s="131" t="s">
        <v>54</v>
      </c>
      <c r="AI8" s="131">
        <v>47.0</v>
      </c>
    </row>
    <row r="9" ht="14.25" customHeight="1">
      <c r="A9" s="68">
        <v>5.0</v>
      </c>
      <c r="B9" s="68" t="s">
        <v>1643</v>
      </c>
      <c r="C9" s="68" t="s">
        <v>1644</v>
      </c>
      <c r="D9" s="68" t="s">
        <v>1645</v>
      </c>
      <c r="E9" s="68" t="s">
        <v>1646</v>
      </c>
      <c r="F9" s="68" t="s">
        <v>1647</v>
      </c>
      <c r="G9" s="68" t="s">
        <v>1026</v>
      </c>
      <c r="H9" s="68"/>
      <c r="I9" s="68" t="s">
        <v>1009</v>
      </c>
      <c r="J9" s="68" t="s">
        <v>1648</v>
      </c>
      <c r="K9" s="68">
        <v>8.2159828891E10</v>
      </c>
      <c r="L9" s="68">
        <v>2109.0</v>
      </c>
      <c r="M9" s="68" t="s">
        <v>53</v>
      </c>
      <c r="N9" s="68" t="s">
        <v>53</v>
      </c>
      <c r="O9" s="68" t="s">
        <v>53</v>
      </c>
      <c r="P9" s="68" t="s">
        <v>53</v>
      </c>
      <c r="Q9" s="67" t="s">
        <v>53</v>
      </c>
      <c r="R9" s="68" t="s">
        <v>1649</v>
      </c>
      <c r="S9" s="68" t="s">
        <v>1650</v>
      </c>
      <c r="T9" s="68">
        <v>42.0</v>
      </c>
      <c r="U9" s="68">
        <v>120.0</v>
      </c>
      <c r="V9" s="68">
        <v>273.0</v>
      </c>
      <c r="W9" s="68" t="s">
        <v>53</v>
      </c>
      <c r="X9" s="68" t="s">
        <v>53</v>
      </c>
      <c r="Y9" s="68"/>
      <c r="Z9" s="130" t="s">
        <v>54</v>
      </c>
      <c r="AA9" s="130" t="s">
        <v>54</v>
      </c>
      <c r="AB9" s="130" t="s">
        <v>54</v>
      </c>
      <c r="AC9" s="130"/>
      <c r="AD9" s="130" t="s">
        <v>54</v>
      </c>
      <c r="AE9" s="130" t="s">
        <v>146</v>
      </c>
      <c r="AF9" s="130" t="s">
        <v>145</v>
      </c>
      <c r="AG9" s="130" t="s">
        <v>54</v>
      </c>
      <c r="AH9" s="130" t="s">
        <v>146</v>
      </c>
      <c r="AI9" s="130">
        <v>47.0</v>
      </c>
    </row>
    <row r="10" ht="14.25" customHeight="1">
      <c r="A10" s="68">
        <v>6.0</v>
      </c>
      <c r="B10" s="68" t="s">
        <v>1651</v>
      </c>
      <c r="C10" s="68" t="s">
        <v>1652</v>
      </c>
      <c r="D10" s="68" t="s">
        <v>1653</v>
      </c>
      <c r="E10" s="68" t="s">
        <v>1654</v>
      </c>
      <c r="F10" s="68" t="s">
        <v>1655</v>
      </c>
      <c r="G10" s="68" t="s">
        <v>1026</v>
      </c>
      <c r="H10" s="67">
        <v>2025.0</v>
      </c>
      <c r="I10" s="68" t="s">
        <v>1009</v>
      </c>
      <c r="J10" s="68" t="s">
        <v>1656</v>
      </c>
      <c r="K10" s="68">
        <v>8.1313185665E10</v>
      </c>
      <c r="L10" s="68">
        <v>3085.0</v>
      </c>
      <c r="M10" s="68" t="s">
        <v>1657</v>
      </c>
      <c r="N10" s="68" t="s">
        <v>1658</v>
      </c>
      <c r="O10" s="68" t="s">
        <v>1659</v>
      </c>
      <c r="P10" s="68" t="s">
        <v>1660</v>
      </c>
      <c r="Q10" s="68" t="s">
        <v>1661</v>
      </c>
      <c r="R10" s="68" t="s">
        <v>1662</v>
      </c>
      <c r="S10" s="68" t="s">
        <v>1663</v>
      </c>
      <c r="T10" s="68">
        <v>63.0</v>
      </c>
      <c r="U10" s="68">
        <v>148.0</v>
      </c>
      <c r="V10" s="68">
        <v>369.0</v>
      </c>
      <c r="W10" s="68"/>
      <c r="X10" s="68"/>
      <c r="Y10" s="68"/>
      <c r="Z10" s="131"/>
      <c r="AA10" s="131"/>
      <c r="AB10" s="131"/>
      <c r="AC10" s="131"/>
      <c r="AD10" s="131"/>
      <c r="AE10" s="131"/>
      <c r="AF10" s="131"/>
      <c r="AG10" s="131"/>
      <c r="AH10" s="131"/>
      <c r="AI10" s="131"/>
    </row>
    <row r="11" ht="14.25" customHeight="1">
      <c r="A11" s="68">
        <v>7.0</v>
      </c>
      <c r="B11" s="68" t="s">
        <v>1651</v>
      </c>
      <c r="C11" s="68" t="s">
        <v>1664</v>
      </c>
      <c r="D11" s="68" t="s">
        <v>1665</v>
      </c>
      <c r="E11" s="68" t="s">
        <v>901</v>
      </c>
      <c r="F11" s="68" t="s">
        <v>1666</v>
      </c>
      <c r="G11" s="68" t="s">
        <v>1026</v>
      </c>
      <c r="H11" s="68" t="s">
        <v>1667</v>
      </c>
      <c r="I11" s="68" t="s">
        <v>1009</v>
      </c>
      <c r="J11" s="68" t="s">
        <v>1668</v>
      </c>
      <c r="K11" s="68">
        <v>8.1298727295E10</v>
      </c>
      <c r="L11" s="68">
        <v>2232.0</v>
      </c>
      <c r="M11" s="68" t="s">
        <v>53</v>
      </c>
      <c r="N11" s="68" t="s">
        <v>53</v>
      </c>
      <c r="O11" s="68" t="s">
        <v>53</v>
      </c>
      <c r="P11" s="68" t="s">
        <v>1669</v>
      </c>
      <c r="Q11" s="68" t="s">
        <v>1670</v>
      </c>
      <c r="R11" s="68" t="s">
        <v>1671</v>
      </c>
      <c r="S11" s="68" t="s">
        <v>1672</v>
      </c>
      <c r="T11" s="68">
        <v>36.0</v>
      </c>
      <c r="U11" s="68">
        <v>79.0</v>
      </c>
      <c r="V11" s="68">
        <v>261.0</v>
      </c>
      <c r="W11" s="68" t="s">
        <v>53</v>
      </c>
      <c r="X11" s="68" t="s">
        <v>53</v>
      </c>
      <c r="Y11" s="68"/>
      <c r="Z11" s="130"/>
      <c r="AA11" s="130"/>
      <c r="AB11" s="130"/>
      <c r="AC11" s="130"/>
      <c r="AD11" s="130"/>
      <c r="AE11" s="130"/>
      <c r="AF11" s="130"/>
      <c r="AG11" s="130"/>
      <c r="AH11" s="130"/>
      <c r="AI11" s="130"/>
    </row>
    <row r="12" ht="14.25" customHeight="1">
      <c r="A12" s="68">
        <v>8.0</v>
      </c>
      <c r="B12" s="68" t="s">
        <v>1673</v>
      </c>
      <c r="C12" s="68" t="s">
        <v>1674</v>
      </c>
      <c r="D12" s="68" t="s">
        <v>1675</v>
      </c>
      <c r="E12" s="68" t="s">
        <v>1676</v>
      </c>
      <c r="F12" s="68" t="s">
        <v>1677</v>
      </c>
      <c r="G12" s="68" t="s">
        <v>43</v>
      </c>
      <c r="H12" s="68"/>
      <c r="I12" s="68" t="s">
        <v>1009</v>
      </c>
      <c r="J12" s="68" t="s">
        <v>1678</v>
      </c>
      <c r="K12" s="68">
        <v>8.1269951499E10</v>
      </c>
      <c r="L12" s="68">
        <v>2277.0</v>
      </c>
      <c r="M12" s="68"/>
      <c r="N12" s="68" t="s">
        <v>1679</v>
      </c>
      <c r="O12" s="68" t="s">
        <v>1680</v>
      </c>
      <c r="P12" s="68" t="s">
        <v>1681</v>
      </c>
      <c r="Q12" s="68" t="s">
        <v>1682</v>
      </c>
      <c r="R12" s="68" t="s">
        <v>1683</v>
      </c>
      <c r="S12" s="68" t="s">
        <v>1684</v>
      </c>
      <c r="T12" s="68">
        <v>60.0</v>
      </c>
      <c r="U12" s="68">
        <v>85.0</v>
      </c>
      <c r="V12" s="68">
        <v>511.0</v>
      </c>
      <c r="W12" s="68" t="s">
        <v>1685</v>
      </c>
      <c r="X12" s="68"/>
      <c r="Y12" s="68"/>
      <c r="Z12" s="131" t="s">
        <v>54</v>
      </c>
      <c r="AA12" s="131" t="s">
        <v>54</v>
      </c>
      <c r="AB12" s="131"/>
      <c r="AC12" s="131" t="s">
        <v>54</v>
      </c>
      <c r="AD12" s="131" t="s">
        <v>54</v>
      </c>
      <c r="AE12" s="131"/>
      <c r="AF12" s="131" t="s">
        <v>54</v>
      </c>
      <c r="AG12" s="131" t="s">
        <v>54</v>
      </c>
      <c r="AH12" s="131"/>
      <c r="AI12" s="131">
        <v>46.0</v>
      </c>
    </row>
    <row r="13" ht="14.25" customHeight="1">
      <c r="A13" s="68">
        <v>9.0</v>
      </c>
      <c r="B13" s="68" t="s">
        <v>1686</v>
      </c>
      <c r="C13" s="68" t="s">
        <v>1687</v>
      </c>
      <c r="D13" s="68" t="s">
        <v>1688</v>
      </c>
      <c r="E13" s="68" t="s">
        <v>1689</v>
      </c>
      <c r="F13" s="68" t="s">
        <v>1690</v>
      </c>
      <c r="G13" s="68" t="s">
        <v>1691</v>
      </c>
      <c r="H13" s="68"/>
      <c r="I13" s="68" t="s">
        <v>72</v>
      </c>
      <c r="J13" s="68" t="s">
        <v>1692</v>
      </c>
      <c r="K13" s="68">
        <v>8.1264068854E10</v>
      </c>
      <c r="L13" s="68">
        <v>1150.0</v>
      </c>
      <c r="M13" s="68" t="s">
        <v>1693</v>
      </c>
      <c r="N13" s="68" t="s">
        <v>1694</v>
      </c>
      <c r="O13" s="68" t="s">
        <v>53</v>
      </c>
      <c r="P13" s="68" t="s">
        <v>53</v>
      </c>
      <c r="Q13" s="68" t="s">
        <v>1695</v>
      </c>
      <c r="R13" s="68" t="s">
        <v>1696</v>
      </c>
      <c r="S13" s="68" t="s">
        <v>1697</v>
      </c>
      <c r="T13" s="68" t="s">
        <v>53</v>
      </c>
      <c r="U13" s="68" t="s">
        <v>53</v>
      </c>
      <c r="V13" s="68" t="s">
        <v>53</v>
      </c>
      <c r="W13" s="68" t="s">
        <v>53</v>
      </c>
      <c r="X13" s="68" t="s">
        <v>53</v>
      </c>
      <c r="Y13" s="68"/>
      <c r="Z13" s="130"/>
      <c r="AA13" s="130"/>
      <c r="AB13" s="130"/>
      <c r="AC13" s="130"/>
      <c r="AD13" s="130"/>
      <c r="AE13" s="130"/>
      <c r="AF13" s="130"/>
      <c r="AG13" s="130"/>
      <c r="AH13" s="130"/>
      <c r="AI13" s="130"/>
    </row>
    <row r="14" ht="14.25" customHeight="1">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131"/>
      <c r="AA14" s="131"/>
      <c r="AB14" s="131"/>
      <c r="AC14" s="131"/>
      <c r="AD14" s="131"/>
      <c r="AE14" s="131"/>
      <c r="AF14" s="131"/>
      <c r="AG14" s="131"/>
      <c r="AH14" s="131"/>
      <c r="AI14" s="131"/>
    </row>
    <row r="15" ht="98.25" customHeight="1">
      <c r="A15" s="68">
        <v>10.0</v>
      </c>
      <c r="B15" s="68" t="s">
        <v>1686</v>
      </c>
      <c r="C15" s="68" t="s">
        <v>1698</v>
      </c>
      <c r="D15" s="68" t="s">
        <v>1699</v>
      </c>
      <c r="E15" s="68" t="s">
        <v>1700</v>
      </c>
      <c r="F15" s="68" t="s">
        <v>1701</v>
      </c>
      <c r="G15" s="68" t="s">
        <v>1702</v>
      </c>
      <c r="H15" s="86">
        <v>46076.0</v>
      </c>
      <c r="I15" s="68" t="s">
        <v>1009</v>
      </c>
      <c r="J15" s="68" t="s">
        <v>1703</v>
      </c>
      <c r="K15" s="68">
        <v>8.5766893669E10</v>
      </c>
      <c r="L15" s="76">
        <v>2334.0</v>
      </c>
      <c r="M15" s="76" t="s">
        <v>1704</v>
      </c>
      <c r="N15" s="76" t="s">
        <v>1705</v>
      </c>
      <c r="O15" s="76" t="s">
        <v>1706</v>
      </c>
      <c r="P15" s="76" t="s">
        <v>1707</v>
      </c>
      <c r="Q15" s="76" t="s">
        <v>1708</v>
      </c>
      <c r="R15" s="76" t="s">
        <v>1709</v>
      </c>
      <c r="S15" s="76" t="s">
        <v>1710</v>
      </c>
      <c r="T15" s="76">
        <v>82.0</v>
      </c>
      <c r="U15" s="76">
        <v>324.0</v>
      </c>
      <c r="V15" s="76">
        <v>565.0</v>
      </c>
      <c r="W15" s="76" t="s">
        <v>1711</v>
      </c>
      <c r="X15" s="68"/>
      <c r="Y15" s="68"/>
      <c r="Z15" s="130"/>
      <c r="AA15" s="130"/>
      <c r="AB15" s="130"/>
      <c r="AC15" s="130"/>
      <c r="AD15" s="130"/>
      <c r="AE15" s="130"/>
      <c r="AF15" s="130"/>
      <c r="AG15" s="130"/>
      <c r="AH15" s="130"/>
      <c r="AI15" s="130"/>
    </row>
    <row r="16" ht="14.25" customHeight="1">
      <c r="A16" s="68">
        <v>11.0</v>
      </c>
      <c r="B16" s="68" t="s">
        <v>1712</v>
      </c>
      <c r="C16" s="68" t="s">
        <v>1713</v>
      </c>
      <c r="D16" s="68" t="s">
        <v>1714</v>
      </c>
      <c r="E16" s="68" t="s">
        <v>1715</v>
      </c>
      <c r="F16" s="68" t="s">
        <v>1716</v>
      </c>
      <c r="G16" s="68" t="s">
        <v>1702</v>
      </c>
      <c r="H16" s="68">
        <v>2026.0</v>
      </c>
      <c r="I16" s="68" t="s">
        <v>696</v>
      </c>
      <c r="J16" s="68" t="s">
        <v>1717</v>
      </c>
      <c r="K16" s="68">
        <v>8.2146234465E10</v>
      </c>
      <c r="L16" s="68">
        <v>2038.0</v>
      </c>
      <c r="M16" s="68" t="s">
        <v>53</v>
      </c>
      <c r="N16" s="68" t="s">
        <v>53</v>
      </c>
      <c r="O16" s="68" t="s">
        <v>1718</v>
      </c>
      <c r="P16" s="68" t="s">
        <v>1719</v>
      </c>
      <c r="Q16" s="68" t="s">
        <v>1720</v>
      </c>
      <c r="R16" s="68" t="s">
        <v>1721</v>
      </c>
      <c r="S16" s="68" t="s">
        <v>1722</v>
      </c>
      <c r="T16" s="68" t="s">
        <v>1723</v>
      </c>
      <c r="U16" s="68" t="s">
        <v>1724</v>
      </c>
      <c r="V16" s="68" t="s">
        <v>1725</v>
      </c>
      <c r="W16" s="68" t="s">
        <v>1726</v>
      </c>
      <c r="X16" s="68" t="s">
        <v>53</v>
      </c>
      <c r="Y16" s="68"/>
      <c r="Z16" s="131" t="s">
        <v>146</v>
      </c>
      <c r="AA16" s="131" t="s">
        <v>54</v>
      </c>
      <c r="AB16" s="131" t="s">
        <v>54</v>
      </c>
      <c r="AC16" s="131" t="s">
        <v>54</v>
      </c>
      <c r="AD16" s="131" t="s">
        <v>54</v>
      </c>
      <c r="AE16" s="131" t="s">
        <v>54</v>
      </c>
      <c r="AF16" s="131" t="s">
        <v>145</v>
      </c>
      <c r="AG16" s="131" t="s">
        <v>54</v>
      </c>
      <c r="AH16" s="131" t="s">
        <v>145</v>
      </c>
      <c r="AI16" s="131">
        <v>49.0</v>
      </c>
    </row>
    <row r="17" ht="14.25" customHeight="1">
      <c r="A17" s="68">
        <v>12.0</v>
      </c>
      <c r="B17" s="68" t="s">
        <v>1727</v>
      </c>
      <c r="C17" s="68" t="s">
        <v>1728</v>
      </c>
      <c r="D17" s="68" t="s">
        <v>1729</v>
      </c>
      <c r="E17" s="68" t="s">
        <v>1730</v>
      </c>
      <c r="F17" s="68" t="s">
        <v>1731</v>
      </c>
      <c r="G17" s="68" t="s">
        <v>1732</v>
      </c>
      <c r="H17" s="68"/>
      <c r="I17" s="68" t="s">
        <v>696</v>
      </c>
      <c r="J17" s="68" t="s">
        <v>1733</v>
      </c>
      <c r="K17" s="68">
        <v>8.2267082472E10</v>
      </c>
      <c r="L17" s="68">
        <v>0.0</v>
      </c>
      <c r="M17" s="68"/>
      <c r="N17" s="68"/>
      <c r="O17" s="68"/>
      <c r="P17" s="68"/>
      <c r="Q17" s="68"/>
      <c r="R17" s="68"/>
      <c r="S17" s="68"/>
      <c r="T17" s="68"/>
      <c r="U17" s="68"/>
      <c r="V17" s="68"/>
      <c r="W17" s="68"/>
      <c r="X17" s="68"/>
      <c r="Y17" s="68"/>
      <c r="Z17" s="130"/>
      <c r="AA17" s="130"/>
      <c r="AB17" s="130"/>
      <c r="AC17" s="130"/>
      <c r="AD17" s="130"/>
      <c r="AE17" s="130"/>
      <c r="AF17" s="130"/>
      <c r="AG17" s="130"/>
      <c r="AH17" s="130"/>
      <c r="AI17" s="130"/>
    </row>
    <row r="18" ht="14.25" customHeight="1">
      <c r="A18" s="68">
        <v>13.0</v>
      </c>
      <c r="B18" s="68" t="s">
        <v>1734</v>
      </c>
      <c r="C18" s="68" t="s">
        <v>1735</v>
      </c>
      <c r="D18" s="68"/>
      <c r="E18" s="68" t="s">
        <v>1736</v>
      </c>
      <c r="F18" s="68" t="s">
        <v>1737</v>
      </c>
      <c r="G18" s="68" t="s">
        <v>1738</v>
      </c>
      <c r="H18" s="68"/>
      <c r="I18" s="68" t="s">
        <v>1739</v>
      </c>
      <c r="J18" s="68" t="s">
        <v>1740</v>
      </c>
      <c r="K18" s="80" t="s">
        <v>1741</v>
      </c>
      <c r="L18" s="68">
        <v>0.0</v>
      </c>
      <c r="M18" s="68"/>
      <c r="N18" s="68"/>
      <c r="O18" s="68"/>
      <c r="P18" s="68"/>
      <c r="Q18" s="68"/>
      <c r="R18" s="68"/>
      <c r="S18" s="68"/>
      <c r="T18" s="68"/>
      <c r="U18" s="68"/>
      <c r="V18" s="68"/>
      <c r="W18" s="68"/>
      <c r="X18" s="68"/>
      <c r="Y18" s="68"/>
      <c r="Z18" s="130" t="s">
        <v>145</v>
      </c>
      <c r="AA18" s="130" t="s">
        <v>145</v>
      </c>
      <c r="AB18" s="130" t="s">
        <v>145</v>
      </c>
      <c r="AC18" s="130"/>
      <c r="AD18" s="130"/>
      <c r="AE18" s="130"/>
      <c r="AF18" s="130"/>
      <c r="AG18" s="130"/>
      <c r="AH18" s="130"/>
      <c r="AI18" s="130"/>
    </row>
    <row r="19" ht="14.25" customHeight="1">
      <c r="Z19" s="25"/>
      <c r="AA19" s="25"/>
      <c r="AB19" s="25"/>
      <c r="AC19" s="25"/>
      <c r="AD19" s="25"/>
      <c r="AE19" s="25"/>
      <c r="AF19" s="25"/>
      <c r="AG19" s="25"/>
      <c r="AH19" s="25"/>
      <c r="AI19" s="25"/>
    </row>
    <row r="20" ht="14.25" customHeight="1">
      <c r="Z20" s="26"/>
      <c r="AA20" s="26"/>
      <c r="AB20" s="26"/>
      <c r="AC20" s="26"/>
      <c r="AD20" s="26"/>
      <c r="AE20" s="26"/>
      <c r="AF20" s="26"/>
      <c r="AG20" s="26"/>
      <c r="AH20" s="26"/>
      <c r="AI20" s="26"/>
    </row>
    <row r="21" ht="14.25" customHeight="1">
      <c r="Z21" s="25"/>
      <c r="AA21" s="25"/>
      <c r="AB21" s="25"/>
      <c r="AC21" s="25"/>
      <c r="AD21" s="25"/>
      <c r="AE21" s="25"/>
      <c r="AF21" s="25"/>
      <c r="AG21" s="25"/>
      <c r="AH21" s="25"/>
      <c r="AI21" s="25"/>
    </row>
    <row r="22" ht="14.25" customHeight="1">
      <c r="Z22" s="26"/>
      <c r="AA22" s="26"/>
      <c r="AB22" s="26"/>
      <c r="AC22" s="26"/>
      <c r="AD22" s="26"/>
      <c r="AE22" s="26"/>
      <c r="AF22" s="26"/>
      <c r="AG22" s="26"/>
      <c r="AH22" s="26"/>
      <c r="AI22" s="26"/>
    </row>
    <row r="23" ht="14.25" customHeight="1">
      <c r="Z23" s="25"/>
      <c r="AA23" s="25"/>
      <c r="AB23" s="25"/>
      <c r="AC23" s="25"/>
      <c r="AD23" s="25"/>
      <c r="AE23" s="25"/>
      <c r="AF23" s="25"/>
      <c r="AG23" s="25"/>
      <c r="AH23" s="25"/>
      <c r="AI23" s="25"/>
    </row>
    <row r="24" ht="14.25" customHeight="1">
      <c r="C24" s="62" t="s">
        <v>216</v>
      </c>
      <c r="D24" s="62">
        <v>8.0</v>
      </c>
      <c r="Z24" s="62"/>
      <c r="AA24" s="62"/>
      <c r="AB24" s="62"/>
      <c r="AC24" s="62"/>
      <c r="AD24" s="62"/>
      <c r="AE24" s="62"/>
      <c r="AF24" s="62"/>
      <c r="AG24" s="62"/>
      <c r="AH24" s="62"/>
      <c r="AI24" s="62"/>
    </row>
    <row r="25" ht="14.25" customHeight="1">
      <c r="C25" s="62" t="s">
        <v>217</v>
      </c>
      <c r="D25" s="62">
        <v>1.0</v>
      </c>
      <c r="Z25" s="62"/>
      <c r="AA25" s="62"/>
      <c r="AB25" s="62"/>
      <c r="AC25" s="62"/>
      <c r="AD25" s="62"/>
      <c r="AE25" s="62"/>
      <c r="AF25" s="62"/>
      <c r="AG25" s="62"/>
      <c r="AH25" s="62"/>
      <c r="AI25" s="62"/>
    </row>
    <row r="26" ht="14.25" customHeight="1">
      <c r="Z26" s="62"/>
      <c r="AA26" s="62"/>
      <c r="AB26" s="62"/>
      <c r="AC26" s="62"/>
      <c r="AD26" s="62"/>
      <c r="AE26" s="62"/>
      <c r="AF26" s="62"/>
      <c r="AG26" s="62"/>
      <c r="AH26" s="62"/>
      <c r="AI26" s="62"/>
    </row>
    <row r="27" ht="14.25" customHeight="1">
      <c r="Z27" s="62"/>
      <c r="AA27" s="62"/>
      <c r="AB27" s="62"/>
      <c r="AC27" s="62"/>
      <c r="AD27" s="62"/>
      <c r="AE27" s="62"/>
      <c r="AF27" s="62"/>
      <c r="AG27" s="62"/>
      <c r="AH27" s="62"/>
      <c r="AI27" s="62"/>
    </row>
    <row r="28" ht="14.25" customHeight="1">
      <c r="Z28" s="62"/>
      <c r="AA28" s="62"/>
      <c r="AB28" s="62"/>
      <c r="AC28" s="62"/>
      <c r="AD28" s="62"/>
      <c r="AE28" s="62"/>
      <c r="AF28" s="62"/>
      <c r="AG28" s="62"/>
      <c r="AH28" s="62"/>
      <c r="AI28" s="62"/>
    </row>
    <row r="29" ht="14.25" customHeight="1">
      <c r="Z29" s="62"/>
      <c r="AA29" s="62"/>
      <c r="AB29" s="62"/>
      <c r="AC29" s="62"/>
      <c r="AD29" s="62"/>
      <c r="AE29" s="62"/>
      <c r="AF29" s="62"/>
      <c r="AG29" s="62"/>
      <c r="AH29" s="62"/>
      <c r="AI29" s="62"/>
    </row>
    <row r="30" ht="14.25" customHeight="1">
      <c r="Z30" s="62"/>
      <c r="AA30" s="62"/>
      <c r="AB30" s="62"/>
      <c r="AC30" s="62"/>
      <c r="AD30" s="62"/>
      <c r="AE30" s="62"/>
      <c r="AF30" s="62"/>
      <c r="AG30" s="62"/>
      <c r="AH30" s="62"/>
      <c r="AI30" s="62"/>
    </row>
    <row r="31" ht="14.25" customHeight="1">
      <c r="Z31" s="62"/>
      <c r="AA31" s="62"/>
      <c r="AB31" s="62"/>
      <c r="AC31" s="62"/>
      <c r="AD31" s="62"/>
      <c r="AE31" s="62"/>
      <c r="AF31" s="62"/>
      <c r="AG31" s="62"/>
      <c r="AH31" s="62"/>
      <c r="AI31" s="62"/>
    </row>
    <row r="32" ht="14.25" customHeight="1">
      <c r="Z32" s="62"/>
      <c r="AA32" s="62"/>
      <c r="AB32" s="62"/>
      <c r="AC32" s="62"/>
      <c r="AD32" s="62"/>
      <c r="AE32" s="62"/>
      <c r="AF32" s="62"/>
      <c r="AG32" s="62"/>
      <c r="AH32" s="62"/>
      <c r="AI32" s="62"/>
    </row>
    <row r="33" ht="14.25" customHeight="1">
      <c r="Z33" s="62"/>
      <c r="AA33" s="62"/>
      <c r="AB33" s="62"/>
      <c r="AC33" s="62"/>
      <c r="AD33" s="62"/>
      <c r="AE33" s="62"/>
      <c r="AF33" s="62"/>
      <c r="AG33" s="62"/>
      <c r="AH33" s="62"/>
      <c r="AI33" s="62"/>
    </row>
    <row r="34" ht="14.25" customHeight="1">
      <c r="Z34" s="62"/>
      <c r="AA34" s="62"/>
      <c r="AB34" s="62"/>
      <c r="AC34" s="62"/>
      <c r="AD34" s="62"/>
      <c r="AE34" s="62"/>
      <c r="AF34" s="62"/>
      <c r="AG34" s="62"/>
      <c r="AH34" s="62"/>
      <c r="AI34" s="62"/>
    </row>
    <row r="35" ht="14.25" customHeight="1">
      <c r="Z35" s="62"/>
      <c r="AA35" s="62"/>
      <c r="AB35" s="62"/>
      <c r="AC35" s="62"/>
      <c r="AD35" s="62"/>
      <c r="AE35" s="62"/>
      <c r="AF35" s="62"/>
      <c r="AG35" s="62"/>
      <c r="AH35" s="62"/>
      <c r="AI35" s="62"/>
    </row>
    <row r="36" ht="14.25" customHeight="1">
      <c r="Z36" s="62"/>
      <c r="AA36" s="62"/>
      <c r="AB36" s="62"/>
      <c r="AC36" s="62"/>
      <c r="AD36" s="62"/>
      <c r="AE36" s="62"/>
      <c r="AF36" s="62"/>
      <c r="AG36" s="62"/>
      <c r="AH36" s="62"/>
      <c r="AI36" s="62"/>
    </row>
    <row r="37" ht="14.25" customHeight="1">
      <c r="Z37" s="62"/>
      <c r="AA37" s="62"/>
      <c r="AB37" s="62"/>
      <c r="AC37" s="62"/>
      <c r="AD37" s="62"/>
      <c r="AE37" s="62"/>
      <c r="AF37" s="62"/>
      <c r="AG37" s="62"/>
      <c r="AH37" s="62"/>
      <c r="AI37" s="62"/>
    </row>
    <row r="38" ht="14.25" customHeight="1">
      <c r="Z38" s="62"/>
      <c r="AA38" s="62"/>
      <c r="AB38" s="62"/>
      <c r="AC38" s="62"/>
      <c r="AD38" s="62"/>
      <c r="AE38" s="62"/>
      <c r="AF38" s="62"/>
      <c r="AG38" s="62"/>
      <c r="AH38" s="62"/>
      <c r="AI38" s="62"/>
    </row>
    <row r="39" ht="14.25" customHeight="1">
      <c r="Z39" s="62"/>
      <c r="AA39" s="62"/>
      <c r="AB39" s="62"/>
      <c r="AC39" s="62"/>
      <c r="AD39" s="62"/>
      <c r="AE39" s="62"/>
      <c r="AF39" s="62"/>
      <c r="AG39" s="62"/>
      <c r="AH39" s="62"/>
      <c r="AI39" s="62"/>
    </row>
    <row r="40" ht="14.25" customHeight="1">
      <c r="Z40" s="62"/>
      <c r="AA40" s="62"/>
      <c r="AB40" s="62"/>
      <c r="AC40" s="62"/>
      <c r="AD40" s="62"/>
      <c r="AE40" s="62"/>
      <c r="AF40" s="62"/>
      <c r="AG40" s="62"/>
      <c r="AH40" s="62"/>
      <c r="AI40" s="62"/>
    </row>
    <row r="41" ht="14.25" customHeight="1">
      <c r="Z41" s="62"/>
      <c r="AA41" s="62"/>
      <c r="AB41" s="62"/>
      <c r="AC41" s="62"/>
      <c r="AD41" s="62"/>
      <c r="AE41" s="62"/>
      <c r="AF41" s="62"/>
      <c r="AG41" s="62"/>
      <c r="AH41" s="62"/>
      <c r="AI41" s="62"/>
    </row>
    <row r="42" ht="14.25" customHeight="1">
      <c r="Z42" s="62"/>
      <c r="AA42" s="62"/>
      <c r="AB42" s="62"/>
      <c r="AC42" s="62"/>
      <c r="AD42" s="62"/>
      <c r="AE42" s="62"/>
      <c r="AF42" s="62"/>
      <c r="AG42" s="62"/>
      <c r="AH42" s="62"/>
      <c r="AI42" s="62"/>
    </row>
    <row r="43" ht="14.25" customHeight="1">
      <c r="Z43" s="62"/>
      <c r="AA43" s="62"/>
      <c r="AB43" s="62"/>
      <c r="AC43" s="62"/>
      <c r="AD43" s="62"/>
      <c r="AE43" s="62"/>
      <c r="AF43" s="62"/>
      <c r="AG43" s="62"/>
      <c r="AH43" s="62"/>
      <c r="AI43" s="62"/>
    </row>
    <row r="44" ht="14.25" customHeight="1">
      <c r="Z44" s="62"/>
      <c r="AA44" s="62"/>
      <c r="AB44" s="62"/>
      <c r="AC44" s="62"/>
      <c r="AD44" s="62"/>
      <c r="AE44" s="62"/>
      <c r="AF44" s="62"/>
      <c r="AG44" s="62"/>
      <c r="AH44" s="62"/>
      <c r="AI44" s="62"/>
    </row>
    <row r="45" ht="14.25" customHeight="1">
      <c r="Z45" s="62"/>
      <c r="AA45" s="62"/>
      <c r="AB45" s="62"/>
      <c r="AC45" s="62"/>
      <c r="AD45" s="62"/>
      <c r="AE45" s="62"/>
      <c r="AF45" s="62"/>
      <c r="AG45" s="62"/>
      <c r="AH45" s="62"/>
      <c r="AI45" s="62"/>
    </row>
    <row r="46" ht="14.25" customHeight="1">
      <c r="Z46" s="62"/>
      <c r="AA46" s="62"/>
      <c r="AB46" s="62"/>
      <c r="AC46" s="62"/>
      <c r="AD46" s="62"/>
      <c r="AE46" s="62"/>
      <c r="AF46" s="62"/>
      <c r="AG46" s="62"/>
      <c r="AH46" s="62"/>
      <c r="AI46" s="62"/>
    </row>
    <row r="47" ht="14.25" customHeight="1">
      <c r="Z47" s="62"/>
      <c r="AA47" s="62"/>
      <c r="AB47" s="62"/>
      <c r="AC47" s="62"/>
      <c r="AD47" s="62"/>
      <c r="AE47" s="62"/>
      <c r="AF47" s="62"/>
      <c r="AG47" s="62"/>
      <c r="AH47" s="62"/>
      <c r="AI47" s="62"/>
    </row>
    <row r="48" ht="14.25" customHeight="1">
      <c r="Z48" s="62"/>
      <c r="AA48" s="62"/>
      <c r="AB48" s="62"/>
      <c r="AC48" s="62"/>
      <c r="AD48" s="62"/>
      <c r="AE48" s="62"/>
      <c r="AF48" s="62"/>
      <c r="AG48" s="62"/>
      <c r="AH48" s="62"/>
      <c r="AI48" s="62"/>
    </row>
    <row r="49" ht="14.25" customHeight="1">
      <c r="Z49" s="62"/>
      <c r="AA49" s="62"/>
      <c r="AB49" s="62"/>
      <c r="AC49" s="62"/>
      <c r="AD49" s="62"/>
      <c r="AE49" s="62"/>
      <c r="AF49" s="62"/>
      <c r="AG49" s="62"/>
      <c r="AH49" s="62"/>
      <c r="AI49" s="62"/>
    </row>
    <row r="50" ht="14.25" customHeight="1">
      <c r="Z50" s="62"/>
      <c r="AA50" s="62"/>
      <c r="AB50" s="62"/>
      <c r="AC50" s="62"/>
      <c r="AD50" s="62"/>
      <c r="AE50" s="62"/>
      <c r="AF50" s="62"/>
      <c r="AG50" s="62"/>
      <c r="AH50" s="62"/>
      <c r="AI50" s="62"/>
    </row>
    <row r="51" ht="14.25" customHeight="1">
      <c r="Z51" s="62"/>
      <c r="AA51" s="62"/>
      <c r="AB51" s="62"/>
      <c r="AC51" s="62"/>
      <c r="AD51" s="62"/>
      <c r="AE51" s="62"/>
      <c r="AF51" s="62"/>
      <c r="AG51" s="62"/>
      <c r="AH51" s="62"/>
      <c r="AI51" s="62"/>
    </row>
    <row r="52" ht="14.25" customHeight="1">
      <c r="Z52" s="62"/>
      <c r="AA52" s="62"/>
      <c r="AB52" s="62"/>
      <c r="AC52" s="62"/>
      <c r="AD52" s="62"/>
      <c r="AE52" s="62"/>
      <c r="AF52" s="62"/>
      <c r="AG52" s="62"/>
      <c r="AH52" s="62"/>
      <c r="AI52" s="62"/>
    </row>
    <row r="53" ht="14.25" customHeight="1">
      <c r="Z53" s="62"/>
      <c r="AA53" s="62"/>
      <c r="AB53" s="62"/>
      <c r="AC53" s="62"/>
      <c r="AD53" s="62"/>
      <c r="AE53" s="62"/>
      <c r="AF53" s="62"/>
      <c r="AG53" s="62"/>
      <c r="AH53" s="62"/>
      <c r="AI53" s="62"/>
    </row>
    <row r="54" ht="14.25" customHeight="1">
      <c r="Z54" s="62"/>
      <c r="AA54" s="62"/>
      <c r="AB54" s="62"/>
      <c r="AC54" s="62"/>
      <c r="AD54" s="62"/>
      <c r="AE54" s="62"/>
      <c r="AF54" s="62"/>
      <c r="AG54" s="62"/>
      <c r="AH54" s="62"/>
      <c r="AI54" s="62"/>
    </row>
    <row r="55" ht="14.25" customHeight="1">
      <c r="Z55" s="62"/>
      <c r="AA55" s="62"/>
      <c r="AB55" s="62"/>
      <c r="AC55" s="62"/>
      <c r="AD55" s="62"/>
      <c r="AE55" s="62"/>
      <c r="AF55" s="62"/>
      <c r="AG55" s="62"/>
      <c r="AH55" s="62"/>
      <c r="AI55" s="62"/>
    </row>
    <row r="56" ht="14.25" customHeight="1">
      <c r="Z56" s="62"/>
      <c r="AA56" s="62"/>
      <c r="AB56" s="62"/>
      <c r="AC56" s="62"/>
      <c r="AD56" s="62"/>
      <c r="AE56" s="62"/>
      <c r="AF56" s="62"/>
      <c r="AG56" s="62"/>
      <c r="AH56" s="62"/>
      <c r="AI56" s="62"/>
    </row>
    <row r="57" ht="14.25" customHeight="1">
      <c r="Z57" s="62"/>
      <c r="AA57" s="62"/>
      <c r="AB57" s="62"/>
      <c r="AC57" s="62"/>
      <c r="AD57" s="62"/>
      <c r="AE57" s="62"/>
      <c r="AF57" s="62"/>
      <c r="AG57" s="62"/>
      <c r="AH57" s="62"/>
      <c r="AI57" s="62"/>
    </row>
    <row r="58" ht="14.25" customHeight="1">
      <c r="Z58" s="62"/>
      <c r="AA58" s="62"/>
      <c r="AB58" s="62"/>
      <c r="AC58" s="62"/>
      <c r="AD58" s="62"/>
      <c r="AE58" s="62"/>
      <c r="AF58" s="62"/>
      <c r="AG58" s="62"/>
      <c r="AH58" s="62"/>
      <c r="AI58" s="62"/>
    </row>
    <row r="59" ht="14.25" customHeight="1">
      <c r="Z59" s="62"/>
      <c r="AA59" s="62"/>
      <c r="AB59" s="62"/>
      <c r="AC59" s="62"/>
      <c r="AD59" s="62"/>
      <c r="AE59" s="62"/>
      <c r="AF59" s="62"/>
      <c r="AG59" s="62"/>
      <c r="AH59" s="62"/>
      <c r="AI59" s="62"/>
    </row>
    <row r="60" ht="14.25" customHeight="1">
      <c r="Z60" s="62"/>
      <c r="AA60" s="62"/>
      <c r="AB60" s="62"/>
      <c r="AC60" s="62"/>
      <c r="AD60" s="62"/>
      <c r="AE60" s="62"/>
      <c r="AF60" s="62"/>
      <c r="AG60" s="62"/>
      <c r="AH60" s="62"/>
      <c r="AI60" s="62"/>
    </row>
    <row r="61" ht="14.25" customHeight="1">
      <c r="Z61" s="62"/>
      <c r="AA61" s="62"/>
      <c r="AB61" s="62"/>
      <c r="AC61" s="62"/>
      <c r="AD61" s="62"/>
      <c r="AE61" s="62"/>
      <c r="AF61" s="62"/>
      <c r="AG61" s="62"/>
      <c r="AH61" s="62"/>
      <c r="AI61" s="62"/>
    </row>
    <row r="62" ht="14.25" customHeight="1">
      <c r="Z62" s="62"/>
      <c r="AA62" s="62"/>
      <c r="AB62" s="62"/>
      <c r="AC62" s="62"/>
      <c r="AD62" s="62"/>
      <c r="AE62" s="62"/>
      <c r="AF62" s="62"/>
      <c r="AG62" s="62"/>
      <c r="AH62" s="62"/>
      <c r="AI62" s="62"/>
    </row>
    <row r="63" ht="14.25" customHeight="1">
      <c r="Z63" s="62"/>
      <c r="AA63" s="62"/>
      <c r="AB63" s="62"/>
      <c r="AC63" s="62"/>
      <c r="AD63" s="62"/>
      <c r="AE63" s="62"/>
      <c r="AF63" s="62"/>
      <c r="AG63" s="62"/>
      <c r="AH63" s="62"/>
      <c r="AI63" s="62"/>
    </row>
    <row r="64" ht="14.25" customHeight="1">
      <c r="Z64" s="62"/>
      <c r="AA64" s="62"/>
      <c r="AB64" s="62"/>
      <c r="AC64" s="62"/>
      <c r="AD64" s="62"/>
      <c r="AE64" s="62"/>
      <c r="AF64" s="62"/>
      <c r="AG64" s="62"/>
      <c r="AH64" s="62"/>
      <c r="AI64" s="62"/>
    </row>
    <row r="65" ht="14.25" customHeight="1">
      <c r="Z65" s="62"/>
      <c r="AA65" s="62"/>
      <c r="AB65" s="62"/>
      <c r="AC65" s="62"/>
      <c r="AD65" s="62"/>
      <c r="AE65" s="62"/>
      <c r="AF65" s="62"/>
      <c r="AG65" s="62"/>
      <c r="AH65" s="62"/>
      <c r="AI65" s="62"/>
    </row>
    <row r="66" ht="14.25" customHeight="1">
      <c r="Z66" s="62"/>
      <c r="AA66" s="62"/>
      <c r="AB66" s="62"/>
      <c r="AC66" s="62"/>
      <c r="AD66" s="62"/>
      <c r="AE66" s="62"/>
      <c r="AF66" s="62"/>
      <c r="AG66" s="62"/>
      <c r="AH66" s="62"/>
      <c r="AI66" s="62"/>
    </row>
    <row r="67" ht="14.25" customHeight="1">
      <c r="Z67" s="62"/>
      <c r="AA67" s="62"/>
      <c r="AB67" s="62"/>
      <c r="AC67" s="62"/>
      <c r="AD67" s="62"/>
      <c r="AE67" s="62"/>
      <c r="AF67" s="62"/>
      <c r="AG67" s="62"/>
      <c r="AH67" s="62"/>
      <c r="AI67" s="62"/>
    </row>
    <row r="68" ht="14.25" customHeight="1">
      <c r="Z68" s="62"/>
      <c r="AA68" s="62"/>
      <c r="AB68" s="62"/>
      <c r="AC68" s="62"/>
      <c r="AD68" s="62"/>
      <c r="AE68" s="62"/>
      <c r="AF68" s="62"/>
      <c r="AG68" s="62"/>
      <c r="AH68" s="62"/>
      <c r="AI68" s="62"/>
    </row>
    <row r="69" ht="14.25" customHeight="1">
      <c r="Z69" s="62"/>
      <c r="AA69" s="62"/>
      <c r="AB69" s="62"/>
      <c r="AC69" s="62"/>
      <c r="AD69" s="62"/>
      <c r="AE69" s="62"/>
      <c r="AF69" s="62"/>
      <c r="AG69" s="62"/>
      <c r="AH69" s="62"/>
      <c r="AI69" s="62"/>
    </row>
    <row r="70" ht="14.25" customHeight="1">
      <c r="Z70" s="62"/>
      <c r="AA70" s="62"/>
      <c r="AB70" s="62"/>
      <c r="AC70" s="62"/>
      <c r="AD70" s="62"/>
      <c r="AE70" s="62"/>
      <c r="AF70" s="62"/>
      <c r="AG70" s="62"/>
      <c r="AH70" s="62"/>
      <c r="AI70" s="62"/>
    </row>
    <row r="71" ht="14.25" customHeight="1">
      <c r="Z71" s="62"/>
      <c r="AA71" s="62"/>
      <c r="AB71" s="62"/>
      <c r="AC71" s="62"/>
      <c r="AD71" s="62"/>
      <c r="AE71" s="62"/>
      <c r="AF71" s="62"/>
      <c r="AG71" s="62"/>
      <c r="AH71" s="62"/>
      <c r="AI71" s="62"/>
    </row>
    <row r="72" ht="14.25" customHeight="1">
      <c r="Z72" s="62"/>
      <c r="AA72" s="62"/>
      <c r="AB72" s="62"/>
      <c r="AC72" s="62"/>
      <c r="AD72" s="62"/>
      <c r="AE72" s="62"/>
      <c r="AF72" s="62"/>
      <c r="AG72" s="62"/>
      <c r="AH72" s="62"/>
      <c r="AI72" s="62"/>
    </row>
    <row r="73" ht="14.25" customHeight="1">
      <c r="Z73" s="62"/>
      <c r="AA73" s="62"/>
      <c r="AB73" s="62"/>
      <c r="AC73" s="62"/>
      <c r="AD73" s="62"/>
      <c r="AE73" s="62"/>
      <c r="AF73" s="62"/>
      <c r="AG73" s="62"/>
      <c r="AH73" s="62"/>
      <c r="AI73" s="62"/>
    </row>
    <row r="74" ht="14.25" customHeight="1">
      <c r="Z74" s="62"/>
      <c r="AA74" s="62"/>
      <c r="AB74" s="62"/>
      <c r="AC74" s="62"/>
      <c r="AD74" s="62"/>
      <c r="AE74" s="62"/>
      <c r="AF74" s="62"/>
      <c r="AG74" s="62"/>
      <c r="AH74" s="62"/>
      <c r="AI74" s="62"/>
    </row>
    <row r="75" ht="14.25" customHeight="1">
      <c r="Z75" s="62"/>
      <c r="AA75" s="62"/>
      <c r="AB75" s="62"/>
      <c r="AC75" s="62"/>
      <c r="AD75" s="62"/>
      <c r="AE75" s="62"/>
      <c r="AF75" s="62"/>
      <c r="AG75" s="62"/>
      <c r="AH75" s="62"/>
      <c r="AI75" s="62"/>
    </row>
    <row r="76" ht="14.25" customHeight="1">
      <c r="Z76" s="62"/>
      <c r="AA76" s="62"/>
      <c r="AB76" s="62"/>
      <c r="AC76" s="62"/>
      <c r="AD76" s="62"/>
      <c r="AE76" s="62"/>
      <c r="AF76" s="62"/>
      <c r="AG76" s="62"/>
      <c r="AH76" s="62"/>
      <c r="AI76" s="62"/>
    </row>
    <row r="77" ht="14.25" customHeight="1">
      <c r="Z77" s="62"/>
      <c r="AA77" s="62"/>
      <c r="AB77" s="62"/>
      <c r="AC77" s="62"/>
      <c r="AD77" s="62"/>
      <c r="AE77" s="62"/>
      <c r="AF77" s="62"/>
      <c r="AG77" s="62"/>
      <c r="AH77" s="62"/>
      <c r="AI77" s="62"/>
    </row>
    <row r="78" ht="14.25" customHeight="1">
      <c r="Z78" s="62"/>
      <c r="AA78" s="62"/>
      <c r="AB78" s="62"/>
      <c r="AC78" s="62"/>
      <c r="AD78" s="62"/>
      <c r="AE78" s="62"/>
      <c r="AF78" s="62"/>
      <c r="AG78" s="62"/>
      <c r="AH78" s="62"/>
      <c r="AI78" s="62"/>
    </row>
    <row r="79" ht="14.25" customHeight="1">
      <c r="Z79" s="62"/>
      <c r="AA79" s="62"/>
      <c r="AB79" s="62"/>
      <c r="AC79" s="62"/>
      <c r="AD79" s="62"/>
      <c r="AE79" s="62"/>
      <c r="AF79" s="62"/>
      <c r="AG79" s="62"/>
      <c r="AH79" s="62"/>
      <c r="AI79" s="62"/>
    </row>
    <row r="80" ht="14.25" customHeight="1">
      <c r="Z80" s="62"/>
      <c r="AA80" s="62"/>
      <c r="AB80" s="62"/>
      <c r="AC80" s="62"/>
      <c r="AD80" s="62"/>
      <c r="AE80" s="62"/>
      <c r="AF80" s="62"/>
      <c r="AG80" s="62"/>
      <c r="AH80" s="62"/>
      <c r="AI80" s="62"/>
    </row>
    <row r="81" ht="14.25" customHeight="1">
      <c r="Z81" s="62"/>
      <c r="AA81" s="62"/>
      <c r="AB81" s="62"/>
      <c r="AC81" s="62"/>
      <c r="AD81" s="62"/>
      <c r="AE81" s="62"/>
      <c r="AF81" s="62"/>
      <c r="AG81" s="62"/>
      <c r="AH81" s="62"/>
      <c r="AI81" s="62"/>
    </row>
    <row r="82" ht="14.25" customHeight="1">
      <c r="Z82" s="62"/>
      <c r="AA82" s="62"/>
      <c r="AB82" s="62"/>
      <c r="AC82" s="62"/>
      <c r="AD82" s="62"/>
      <c r="AE82" s="62"/>
      <c r="AF82" s="62"/>
      <c r="AG82" s="62"/>
      <c r="AH82" s="62"/>
      <c r="AI82" s="62"/>
    </row>
    <row r="83" ht="14.25" customHeight="1">
      <c r="Z83" s="62"/>
      <c r="AA83" s="62"/>
      <c r="AB83" s="62"/>
      <c r="AC83" s="62"/>
      <c r="AD83" s="62"/>
      <c r="AE83" s="62"/>
      <c r="AF83" s="62"/>
      <c r="AG83" s="62"/>
      <c r="AH83" s="62"/>
      <c r="AI83" s="62"/>
    </row>
    <row r="84" ht="14.25" customHeight="1">
      <c r="Z84" s="62"/>
      <c r="AA84" s="62"/>
      <c r="AB84" s="62"/>
      <c r="AC84" s="62"/>
      <c r="AD84" s="62"/>
      <c r="AE84" s="62"/>
      <c r="AF84" s="62"/>
      <c r="AG84" s="62"/>
      <c r="AH84" s="62"/>
      <c r="AI84" s="62"/>
    </row>
    <row r="85" ht="14.25" customHeight="1">
      <c r="Z85" s="62"/>
      <c r="AA85" s="62"/>
      <c r="AB85" s="62"/>
      <c r="AC85" s="62"/>
      <c r="AD85" s="62"/>
      <c r="AE85" s="62"/>
      <c r="AF85" s="62"/>
      <c r="AG85" s="62"/>
      <c r="AH85" s="62"/>
      <c r="AI85" s="62"/>
    </row>
    <row r="86" ht="14.25" customHeight="1">
      <c r="Z86" s="62"/>
      <c r="AA86" s="62"/>
      <c r="AB86" s="62"/>
      <c r="AC86" s="62"/>
      <c r="AD86" s="62"/>
      <c r="AE86" s="62"/>
      <c r="AF86" s="62"/>
      <c r="AG86" s="62"/>
      <c r="AH86" s="62"/>
      <c r="AI86" s="62"/>
    </row>
    <row r="87" ht="14.25" customHeight="1">
      <c r="Z87" s="62"/>
      <c r="AA87" s="62"/>
      <c r="AB87" s="62"/>
      <c r="AC87" s="62"/>
      <c r="AD87" s="62"/>
      <c r="AE87" s="62"/>
      <c r="AF87" s="62"/>
      <c r="AG87" s="62"/>
      <c r="AH87" s="62"/>
      <c r="AI87" s="62"/>
    </row>
    <row r="88" ht="14.25" customHeight="1">
      <c r="Z88" s="62"/>
      <c r="AA88" s="62"/>
      <c r="AB88" s="62"/>
      <c r="AC88" s="62"/>
      <c r="AD88" s="62"/>
      <c r="AE88" s="62"/>
      <c r="AF88" s="62"/>
      <c r="AG88" s="62"/>
      <c r="AH88" s="62"/>
      <c r="AI88" s="62"/>
    </row>
    <row r="89" ht="14.25" customHeight="1">
      <c r="Z89" s="62"/>
      <c r="AA89" s="62"/>
      <c r="AB89" s="62"/>
      <c r="AC89" s="62"/>
      <c r="AD89" s="62"/>
      <c r="AE89" s="62"/>
      <c r="AF89" s="62"/>
      <c r="AG89" s="62"/>
      <c r="AH89" s="62"/>
      <c r="AI89" s="62"/>
    </row>
    <row r="90" ht="14.25" customHeight="1">
      <c r="Z90" s="62"/>
      <c r="AA90" s="62"/>
      <c r="AB90" s="62"/>
      <c r="AC90" s="62"/>
      <c r="AD90" s="62"/>
      <c r="AE90" s="62"/>
      <c r="AF90" s="62"/>
      <c r="AG90" s="62"/>
      <c r="AH90" s="62"/>
      <c r="AI90" s="62"/>
    </row>
    <row r="91" ht="14.25" customHeight="1">
      <c r="Z91" s="62"/>
      <c r="AA91" s="62"/>
      <c r="AB91" s="62"/>
      <c r="AC91" s="62"/>
      <c r="AD91" s="62"/>
      <c r="AE91" s="62"/>
      <c r="AF91" s="62"/>
      <c r="AG91" s="62"/>
      <c r="AH91" s="62"/>
      <c r="AI91" s="62"/>
    </row>
    <row r="92" ht="14.25" customHeight="1">
      <c r="Z92" s="62"/>
      <c r="AA92" s="62"/>
      <c r="AB92" s="62"/>
      <c r="AC92" s="62"/>
      <c r="AD92" s="62"/>
      <c r="AE92" s="62"/>
      <c r="AF92" s="62"/>
      <c r="AG92" s="62"/>
      <c r="AH92" s="62"/>
      <c r="AI92" s="62"/>
    </row>
    <row r="93" ht="14.25" customHeight="1">
      <c r="Z93" s="62"/>
      <c r="AA93" s="62"/>
      <c r="AB93" s="62"/>
      <c r="AC93" s="62"/>
      <c r="AD93" s="62"/>
      <c r="AE93" s="62"/>
      <c r="AF93" s="62"/>
      <c r="AG93" s="62"/>
      <c r="AH93" s="62"/>
      <c r="AI93" s="62"/>
    </row>
    <row r="94" ht="14.25" customHeight="1">
      <c r="Z94" s="62"/>
      <c r="AA94" s="62"/>
      <c r="AB94" s="62"/>
      <c r="AC94" s="62"/>
      <c r="AD94" s="62"/>
      <c r="AE94" s="62"/>
      <c r="AF94" s="62"/>
      <c r="AG94" s="62"/>
      <c r="AH94" s="62"/>
      <c r="AI94" s="62"/>
    </row>
    <row r="95" ht="14.25" customHeight="1">
      <c r="Z95" s="62"/>
      <c r="AA95" s="62"/>
      <c r="AB95" s="62"/>
      <c r="AC95" s="62"/>
      <c r="AD95" s="62"/>
      <c r="AE95" s="62"/>
      <c r="AF95" s="62"/>
      <c r="AG95" s="62"/>
      <c r="AH95" s="62"/>
      <c r="AI95" s="62"/>
    </row>
    <row r="96" ht="14.25" customHeight="1">
      <c r="Z96" s="62"/>
      <c r="AA96" s="62"/>
      <c r="AB96" s="62"/>
      <c r="AC96" s="62"/>
      <c r="AD96" s="62"/>
      <c r="AE96" s="62"/>
      <c r="AF96" s="62"/>
      <c r="AG96" s="62"/>
      <c r="AH96" s="62"/>
      <c r="AI96" s="62"/>
    </row>
    <row r="97" ht="14.25" customHeight="1">
      <c r="Z97" s="62"/>
      <c r="AA97" s="62"/>
      <c r="AB97" s="62"/>
      <c r="AC97" s="62"/>
      <c r="AD97" s="62"/>
      <c r="AE97" s="62"/>
      <c r="AF97" s="62"/>
      <c r="AG97" s="62"/>
      <c r="AH97" s="62"/>
      <c r="AI97" s="62"/>
    </row>
    <row r="98" ht="14.25" customHeight="1">
      <c r="Z98" s="62"/>
      <c r="AA98" s="62"/>
      <c r="AB98" s="62"/>
      <c r="AC98" s="62"/>
      <c r="AD98" s="62"/>
      <c r="AE98" s="62"/>
      <c r="AF98" s="62"/>
      <c r="AG98" s="62"/>
      <c r="AH98" s="62"/>
      <c r="AI98" s="62"/>
    </row>
    <row r="99" ht="14.25" customHeight="1">
      <c r="Z99" s="62"/>
      <c r="AA99" s="62"/>
      <c r="AB99" s="62"/>
      <c r="AC99" s="62"/>
      <c r="AD99" s="62"/>
      <c r="AE99" s="62"/>
      <c r="AF99" s="62"/>
      <c r="AG99" s="62"/>
      <c r="AH99" s="62"/>
      <c r="AI99" s="62"/>
    </row>
    <row r="100" ht="14.25" customHeight="1">
      <c r="Z100" s="62"/>
      <c r="AA100" s="62"/>
      <c r="AB100" s="62"/>
      <c r="AC100" s="62"/>
      <c r="AD100" s="62"/>
      <c r="AE100" s="62"/>
      <c r="AF100" s="62"/>
      <c r="AG100" s="62"/>
      <c r="AH100" s="62"/>
      <c r="AI100" s="62"/>
    </row>
    <row r="101" ht="14.25" customHeight="1">
      <c r="Z101" s="62"/>
      <c r="AA101" s="62"/>
      <c r="AB101" s="62"/>
      <c r="AC101" s="62"/>
      <c r="AD101" s="62"/>
      <c r="AE101" s="62"/>
      <c r="AF101" s="62"/>
      <c r="AG101" s="62"/>
      <c r="AH101" s="62"/>
      <c r="AI101" s="62"/>
    </row>
    <row r="102" ht="14.25" customHeight="1">
      <c r="Z102" s="62"/>
      <c r="AA102" s="62"/>
      <c r="AB102" s="62"/>
      <c r="AC102" s="62"/>
      <c r="AD102" s="62"/>
      <c r="AE102" s="62"/>
      <c r="AF102" s="62"/>
      <c r="AG102" s="62"/>
      <c r="AH102" s="62"/>
      <c r="AI102" s="62"/>
    </row>
    <row r="103" ht="14.25" customHeight="1">
      <c r="Z103" s="62"/>
      <c r="AA103" s="62"/>
      <c r="AB103" s="62"/>
      <c r="AC103" s="62"/>
      <c r="AD103" s="62"/>
      <c r="AE103" s="62"/>
      <c r="AF103" s="62"/>
      <c r="AG103" s="62"/>
      <c r="AH103" s="62"/>
      <c r="AI103" s="62"/>
    </row>
    <row r="104" ht="14.25" customHeight="1">
      <c r="Z104" s="62"/>
      <c r="AA104" s="62"/>
      <c r="AB104" s="62"/>
      <c r="AC104" s="62"/>
      <c r="AD104" s="62"/>
      <c r="AE104" s="62"/>
      <c r="AF104" s="62"/>
      <c r="AG104" s="62"/>
      <c r="AH104" s="62"/>
      <c r="AI104" s="62"/>
    </row>
    <row r="105" ht="14.25" customHeight="1">
      <c r="Z105" s="62"/>
      <c r="AA105" s="62"/>
      <c r="AB105" s="62"/>
      <c r="AC105" s="62"/>
      <c r="AD105" s="62"/>
      <c r="AE105" s="62"/>
      <c r="AF105" s="62"/>
      <c r="AG105" s="62"/>
      <c r="AH105" s="62"/>
      <c r="AI105" s="62"/>
    </row>
    <row r="106" ht="14.25" customHeight="1">
      <c r="Z106" s="62"/>
      <c r="AA106" s="62"/>
      <c r="AB106" s="62"/>
      <c r="AC106" s="62"/>
      <c r="AD106" s="62"/>
      <c r="AE106" s="62"/>
      <c r="AF106" s="62"/>
      <c r="AG106" s="62"/>
      <c r="AH106" s="62"/>
      <c r="AI106" s="62"/>
    </row>
    <row r="107" ht="14.25" customHeight="1">
      <c r="Z107" s="62"/>
      <c r="AA107" s="62"/>
      <c r="AB107" s="62"/>
      <c r="AC107" s="62"/>
      <c r="AD107" s="62"/>
      <c r="AE107" s="62"/>
      <c r="AF107" s="62"/>
      <c r="AG107" s="62"/>
      <c r="AH107" s="62"/>
      <c r="AI107" s="62"/>
    </row>
    <row r="108" ht="14.25" customHeight="1">
      <c r="Z108" s="62"/>
      <c r="AA108" s="62"/>
      <c r="AB108" s="62"/>
      <c r="AC108" s="62"/>
      <c r="AD108" s="62"/>
      <c r="AE108" s="62"/>
      <c r="AF108" s="62"/>
      <c r="AG108" s="62"/>
      <c r="AH108" s="62"/>
      <c r="AI108" s="62"/>
    </row>
    <row r="109" ht="14.25" customHeight="1">
      <c r="Z109" s="62"/>
      <c r="AA109" s="62"/>
      <c r="AB109" s="62"/>
      <c r="AC109" s="62"/>
      <c r="AD109" s="62"/>
      <c r="AE109" s="62"/>
      <c r="AF109" s="62"/>
      <c r="AG109" s="62"/>
      <c r="AH109" s="62"/>
      <c r="AI109" s="62"/>
    </row>
    <row r="110" ht="14.25" customHeight="1">
      <c r="Z110" s="62"/>
      <c r="AA110" s="62"/>
      <c r="AB110" s="62"/>
      <c r="AC110" s="62"/>
      <c r="AD110" s="62"/>
      <c r="AE110" s="62"/>
      <c r="AF110" s="62"/>
      <c r="AG110" s="62"/>
      <c r="AH110" s="62"/>
      <c r="AI110" s="62"/>
    </row>
    <row r="111" ht="14.25" customHeight="1">
      <c r="Z111" s="62"/>
      <c r="AA111" s="62"/>
      <c r="AB111" s="62"/>
      <c r="AC111" s="62"/>
      <c r="AD111" s="62"/>
      <c r="AE111" s="62"/>
      <c r="AF111" s="62"/>
      <c r="AG111" s="62"/>
      <c r="AH111" s="62"/>
      <c r="AI111" s="62"/>
    </row>
    <row r="112" ht="14.25" customHeight="1">
      <c r="Z112" s="62"/>
      <c r="AA112" s="62"/>
      <c r="AB112" s="62"/>
      <c r="AC112" s="62"/>
      <c r="AD112" s="62"/>
      <c r="AE112" s="62"/>
      <c r="AF112" s="62"/>
      <c r="AG112" s="62"/>
      <c r="AH112" s="62"/>
      <c r="AI112" s="62"/>
    </row>
    <row r="113" ht="14.25" customHeight="1">
      <c r="Z113" s="62"/>
      <c r="AA113" s="62"/>
      <c r="AB113" s="62"/>
      <c r="AC113" s="62"/>
      <c r="AD113" s="62"/>
      <c r="AE113" s="62"/>
      <c r="AF113" s="62"/>
      <c r="AG113" s="62"/>
      <c r="AH113" s="62"/>
      <c r="AI113" s="62"/>
    </row>
    <row r="114" ht="14.25" customHeight="1">
      <c r="Z114" s="62"/>
      <c r="AA114" s="62"/>
      <c r="AB114" s="62"/>
      <c r="AC114" s="62"/>
      <c r="AD114" s="62"/>
      <c r="AE114" s="62"/>
      <c r="AF114" s="62"/>
      <c r="AG114" s="62"/>
      <c r="AH114" s="62"/>
      <c r="AI114" s="62"/>
    </row>
    <row r="115" ht="14.25" customHeight="1">
      <c r="Z115" s="62"/>
      <c r="AA115" s="62"/>
      <c r="AB115" s="62"/>
      <c r="AC115" s="62"/>
      <c r="AD115" s="62"/>
      <c r="AE115" s="62"/>
      <c r="AF115" s="62"/>
      <c r="AG115" s="62"/>
      <c r="AH115" s="62"/>
      <c r="AI115" s="62"/>
    </row>
    <row r="116" ht="14.25" customHeight="1">
      <c r="Z116" s="62"/>
      <c r="AA116" s="62"/>
      <c r="AB116" s="62"/>
      <c r="AC116" s="62"/>
      <c r="AD116" s="62"/>
      <c r="AE116" s="62"/>
      <c r="AF116" s="62"/>
      <c r="AG116" s="62"/>
      <c r="AH116" s="62"/>
      <c r="AI116" s="62"/>
    </row>
    <row r="117" ht="14.25" customHeight="1">
      <c r="Z117" s="62"/>
      <c r="AA117" s="62"/>
      <c r="AB117" s="62"/>
      <c r="AC117" s="62"/>
      <c r="AD117" s="62"/>
      <c r="AE117" s="62"/>
      <c r="AF117" s="62"/>
      <c r="AG117" s="62"/>
      <c r="AH117" s="62"/>
      <c r="AI117" s="62"/>
    </row>
    <row r="118" ht="14.25" customHeight="1">
      <c r="Z118" s="62"/>
      <c r="AA118" s="62"/>
      <c r="AB118" s="62"/>
      <c r="AC118" s="62"/>
      <c r="AD118" s="62"/>
      <c r="AE118" s="62"/>
      <c r="AF118" s="62"/>
      <c r="AG118" s="62"/>
      <c r="AH118" s="62"/>
      <c r="AI118" s="62"/>
    </row>
    <row r="119" ht="14.25" customHeight="1">
      <c r="Z119" s="62"/>
      <c r="AA119" s="62"/>
      <c r="AB119" s="62"/>
      <c r="AC119" s="62"/>
      <c r="AD119" s="62"/>
      <c r="AE119" s="62"/>
      <c r="AF119" s="62"/>
      <c r="AG119" s="62"/>
      <c r="AH119" s="62"/>
      <c r="AI119" s="62"/>
    </row>
    <row r="120" ht="14.25" customHeight="1">
      <c r="Z120" s="62"/>
      <c r="AA120" s="62"/>
      <c r="AB120" s="62"/>
      <c r="AC120" s="62"/>
      <c r="AD120" s="62"/>
      <c r="AE120" s="62"/>
      <c r="AF120" s="62"/>
      <c r="AG120" s="62"/>
      <c r="AH120" s="62"/>
      <c r="AI120" s="62"/>
    </row>
    <row r="121" ht="14.25" customHeight="1">
      <c r="Z121" s="62"/>
      <c r="AA121" s="62"/>
      <c r="AB121" s="62"/>
      <c r="AC121" s="62"/>
      <c r="AD121" s="62"/>
      <c r="AE121" s="62"/>
      <c r="AF121" s="62"/>
      <c r="AG121" s="62"/>
      <c r="AH121" s="62"/>
      <c r="AI121" s="62"/>
    </row>
    <row r="122" ht="14.25" customHeight="1">
      <c r="Z122" s="62"/>
      <c r="AA122" s="62"/>
      <c r="AB122" s="62"/>
      <c r="AC122" s="62"/>
      <c r="AD122" s="62"/>
      <c r="AE122" s="62"/>
      <c r="AF122" s="62"/>
      <c r="AG122" s="62"/>
      <c r="AH122" s="62"/>
      <c r="AI122" s="62"/>
    </row>
    <row r="123" ht="14.25" customHeight="1">
      <c r="Z123" s="62"/>
      <c r="AA123" s="62"/>
      <c r="AB123" s="62"/>
      <c r="AC123" s="62"/>
      <c r="AD123" s="62"/>
      <c r="AE123" s="62"/>
      <c r="AF123" s="62"/>
      <c r="AG123" s="62"/>
      <c r="AH123" s="62"/>
      <c r="AI123" s="62"/>
    </row>
    <row r="124" ht="14.25" customHeight="1">
      <c r="Z124" s="62"/>
      <c r="AA124" s="62"/>
      <c r="AB124" s="62"/>
      <c r="AC124" s="62"/>
      <c r="AD124" s="62"/>
      <c r="AE124" s="62"/>
      <c r="AF124" s="62"/>
      <c r="AG124" s="62"/>
      <c r="AH124" s="62"/>
      <c r="AI124" s="62"/>
    </row>
    <row r="125" ht="14.25" customHeight="1">
      <c r="Z125" s="62"/>
      <c r="AA125" s="62"/>
      <c r="AB125" s="62"/>
      <c r="AC125" s="62"/>
      <c r="AD125" s="62"/>
      <c r="AE125" s="62"/>
      <c r="AF125" s="62"/>
      <c r="AG125" s="62"/>
      <c r="AH125" s="62"/>
      <c r="AI125" s="62"/>
    </row>
    <row r="126" ht="14.25" customHeight="1">
      <c r="Z126" s="62"/>
      <c r="AA126" s="62"/>
      <c r="AB126" s="62"/>
      <c r="AC126" s="62"/>
      <c r="AD126" s="62"/>
      <c r="AE126" s="62"/>
      <c r="AF126" s="62"/>
      <c r="AG126" s="62"/>
      <c r="AH126" s="62"/>
      <c r="AI126" s="62"/>
    </row>
    <row r="127" ht="14.25" customHeight="1">
      <c r="Z127" s="62"/>
      <c r="AA127" s="62"/>
      <c r="AB127" s="62"/>
      <c r="AC127" s="62"/>
      <c r="AD127" s="62"/>
      <c r="AE127" s="62"/>
      <c r="AF127" s="62"/>
      <c r="AG127" s="62"/>
      <c r="AH127" s="62"/>
      <c r="AI127" s="62"/>
    </row>
    <row r="128" ht="14.25" customHeight="1">
      <c r="Z128" s="62"/>
      <c r="AA128" s="62"/>
      <c r="AB128" s="62"/>
      <c r="AC128" s="62"/>
      <c r="AD128" s="62"/>
      <c r="AE128" s="62"/>
      <c r="AF128" s="62"/>
      <c r="AG128" s="62"/>
      <c r="AH128" s="62"/>
      <c r="AI128" s="62"/>
    </row>
    <row r="129" ht="14.25" customHeight="1">
      <c r="Z129" s="62"/>
      <c r="AA129" s="62"/>
      <c r="AB129" s="62"/>
      <c r="AC129" s="62"/>
      <c r="AD129" s="62"/>
      <c r="AE129" s="62"/>
      <c r="AF129" s="62"/>
      <c r="AG129" s="62"/>
      <c r="AH129" s="62"/>
      <c r="AI129" s="62"/>
    </row>
    <row r="130" ht="14.25" customHeight="1">
      <c r="Z130" s="62"/>
      <c r="AA130" s="62"/>
      <c r="AB130" s="62"/>
      <c r="AC130" s="62"/>
      <c r="AD130" s="62"/>
      <c r="AE130" s="62"/>
      <c r="AF130" s="62"/>
      <c r="AG130" s="62"/>
      <c r="AH130" s="62"/>
      <c r="AI130" s="62"/>
    </row>
    <row r="131" ht="14.25" customHeight="1">
      <c r="Z131" s="62"/>
      <c r="AA131" s="62"/>
      <c r="AB131" s="62"/>
      <c r="AC131" s="62"/>
      <c r="AD131" s="62"/>
      <c r="AE131" s="62"/>
      <c r="AF131" s="62"/>
      <c r="AG131" s="62"/>
      <c r="AH131" s="62"/>
      <c r="AI131" s="62"/>
    </row>
    <row r="132" ht="14.25" customHeight="1">
      <c r="Z132" s="62"/>
      <c r="AA132" s="62"/>
      <c r="AB132" s="62"/>
      <c r="AC132" s="62"/>
      <c r="AD132" s="62"/>
      <c r="AE132" s="62"/>
      <c r="AF132" s="62"/>
      <c r="AG132" s="62"/>
      <c r="AH132" s="62"/>
      <c r="AI132" s="62"/>
    </row>
    <row r="133" ht="14.25" customHeight="1">
      <c r="Z133" s="62"/>
      <c r="AA133" s="62"/>
      <c r="AB133" s="62"/>
      <c r="AC133" s="62"/>
      <c r="AD133" s="62"/>
      <c r="AE133" s="62"/>
      <c r="AF133" s="62"/>
      <c r="AG133" s="62"/>
      <c r="AH133" s="62"/>
      <c r="AI133" s="62"/>
    </row>
    <row r="134" ht="14.25" customHeight="1">
      <c r="Z134" s="62"/>
      <c r="AA134" s="62"/>
      <c r="AB134" s="62"/>
      <c r="AC134" s="62"/>
      <c r="AD134" s="62"/>
      <c r="AE134" s="62"/>
      <c r="AF134" s="62"/>
      <c r="AG134" s="62"/>
      <c r="AH134" s="62"/>
      <c r="AI134" s="62"/>
    </row>
    <row r="135" ht="14.25" customHeight="1">
      <c r="Z135" s="62"/>
      <c r="AA135" s="62"/>
      <c r="AB135" s="62"/>
      <c r="AC135" s="62"/>
      <c r="AD135" s="62"/>
      <c r="AE135" s="62"/>
      <c r="AF135" s="62"/>
      <c r="AG135" s="62"/>
      <c r="AH135" s="62"/>
      <c r="AI135" s="62"/>
    </row>
    <row r="136" ht="14.25" customHeight="1">
      <c r="Z136" s="62"/>
      <c r="AA136" s="62"/>
      <c r="AB136" s="62"/>
      <c r="AC136" s="62"/>
      <c r="AD136" s="62"/>
      <c r="AE136" s="62"/>
      <c r="AF136" s="62"/>
      <c r="AG136" s="62"/>
      <c r="AH136" s="62"/>
      <c r="AI136" s="62"/>
    </row>
    <row r="137" ht="14.25" customHeight="1">
      <c r="Z137" s="62"/>
      <c r="AA137" s="62"/>
      <c r="AB137" s="62"/>
      <c r="AC137" s="62"/>
      <c r="AD137" s="62"/>
      <c r="AE137" s="62"/>
      <c r="AF137" s="62"/>
      <c r="AG137" s="62"/>
      <c r="AH137" s="62"/>
      <c r="AI137" s="62"/>
    </row>
    <row r="138" ht="14.25" customHeight="1">
      <c r="Z138" s="62"/>
      <c r="AA138" s="62"/>
      <c r="AB138" s="62"/>
      <c r="AC138" s="62"/>
      <c r="AD138" s="62"/>
      <c r="AE138" s="62"/>
      <c r="AF138" s="62"/>
      <c r="AG138" s="62"/>
      <c r="AH138" s="62"/>
      <c r="AI138" s="62"/>
    </row>
    <row r="139" ht="14.25" customHeight="1">
      <c r="Z139" s="62"/>
      <c r="AA139" s="62"/>
      <c r="AB139" s="62"/>
      <c r="AC139" s="62"/>
      <c r="AD139" s="62"/>
      <c r="AE139" s="62"/>
      <c r="AF139" s="62"/>
      <c r="AG139" s="62"/>
      <c r="AH139" s="62"/>
      <c r="AI139" s="62"/>
    </row>
    <row r="140" ht="14.25" customHeight="1">
      <c r="Z140" s="62"/>
      <c r="AA140" s="62"/>
      <c r="AB140" s="62"/>
      <c r="AC140" s="62"/>
      <c r="AD140" s="62"/>
      <c r="AE140" s="62"/>
      <c r="AF140" s="62"/>
      <c r="AG140" s="62"/>
      <c r="AH140" s="62"/>
      <c r="AI140" s="62"/>
    </row>
    <row r="141" ht="14.25" customHeight="1">
      <c r="Z141" s="62"/>
      <c r="AA141" s="62"/>
      <c r="AB141" s="62"/>
      <c r="AC141" s="62"/>
      <c r="AD141" s="62"/>
      <c r="AE141" s="62"/>
      <c r="AF141" s="62"/>
      <c r="AG141" s="62"/>
      <c r="AH141" s="62"/>
      <c r="AI141" s="62"/>
    </row>
    <row r="142" ht="14.25" customHeight="1">
      <c r="Z142" s="62"/>
      <c r="AA142" s="62"/>
      <c r="AB142" s="62"/>
      <c r="AC142" s="62"/>
      <c r="AD142" s="62"/>
      <c r="AE142" s="62"/>
      <c r="AF142" s="62"/>
      <c r="AG142" s="62"/>
      <c r="AH142" s="62"/>
      <c r="AI142" s="62"/>
    </row>
    <row r="143" ht="14.25" customHeight="1">
      <c r="Z143" s="62"/>
      <c r="AA143" s="62"/>
      <c r="AB143" s="62"/>
      <c r="AC143" s="62"/>
      <c r="AD143" s="62"/>
      <c r="AE143" s="62"/>
      <c r="AF143" s="62"/>
      <c r="AG143" s="62"/>
      <c r="AH143" s="62"/>
      <c r="AI143" s="62"/>
    </row>
    <row r="144" ht="14.25" customHeight="1">
      <c r="Z144" s="62"/>
      <c r="AA144" s="62"/>
      <c r="AB144" s="62"/>
      <c r="AC144" s="62"/>
      <c r="AD144" s="62"/>
      <c r="AE144" s="62"/>
      <c r="AF144" s="62"/>
      <c r="AG144" s="62"/>
      <c r="AH144" s="62"/>
      <c r="AI144" s="62"/>
    </row>
    <row r="145" ht="14.25" customHeight="1">
      <c r="Z145" s="62"/>
      <c r="AA145" s="62"/>
      <c r="AB145" s="62"/>
      <c r="AC145" s="62"/>
      <c r="AD145" s="62"/>
      <c r="AE145" s="62"/>
      <c r="AF145" s="62"/>
      <c r="AG145" s="62"/>
      <c r="AH145" s="62"/>
      <c r="AI145" s="62"/>
    </row>
    <row r="146" ht="14.25" customHeight="1">
      <c r="Z146" s="62"/>
      <c r="AA146" s="62"/>
      <c r="AB146" s="62"/>
      <c r="AC146" s="62"/>
      <c r="AD146" s="62"/>
      <c r="AE146" s="62"/>
      <c r="AF146" s="62"/>
      <c r="AG146" s="62"/>
      <c r="AH146" s="62"/>
      <c r="AI146" s="62"/>
    </row>
    <row r="147" ht="14.25" customHeight="1">
      <c r="Z147" s="62"/>
      <c r="AA147" s="62"/>
      <c r="AB147" s="62"/>
      <c r="AC147" s="62"/>
      <c r="AD147" s="62"/>
      <c r="AE147" s="62"/>
      <c r="AF147" s="62"/>
      <c r="AG147" s="62"/>
      <c r="AH147" s="62"/>
      <c r="AI147" s="62"/>
    </row>
    <row r="148" ht="14.25" customHeight="1">
      <c r="Z148" s="62"/>
      <c r="AA148" s="62"/>
      <c r="AB148" s="62"/>
      <c r="AC148" s="62"/>
      <c r="AD148" s="62"/>
      <c r="AE148" s="62"/>
      <c r="AF148" s="62"/>
      <c r="AG148" s="62"/>
      <c r="AH148" s="62"/>
      <c r="AI148" s="62"/>
    </row>
    <row r="149" ht="14.25" customHeight="1">
      <c r="Z149" s="62"/>
      <c r="AA149" s="62"/>
      <c r="AB149" s="62"/>
      <c r="AC149" s="62"/>
      <c r="AD149" s="62"/>
      <c r="AE149" s="62"/>
      <c r="AF149" s="62"/>
      <c r="AG149" s="62"/>
      <c r="AH149" s="62"/>
      <c r="AI149" s="62"/>
    </row>
    <row r="150" ht="14.25" customHeight="1">
      <c r="Z150" s="62"/>
      <c r="AA150" s="62"/>
      <c r="AB150" s="62"/>
      <c r="AC150" s="62"/>
      <c r="AD150" s="62"/>
      <c r="AE150" s="62"/>
      <c r="AF150" s="62"/>
      <c r="AG150" s="62"/>
      <c r="AH150" s="62"/>
      <c r="AI150" s="62"/>
    </row>
    <row r="151" ht="14.25" customHeight="1">
      <c r="Z151" s="62"/>
      <c r="AA151" s="62"/>
      <c r="AB151" s="62"/>
      <c r="AC151" s="62"/>
      <c r="AD151" s="62"/>
      <c r="AE151" s="62"/>
      <c r="AF151" s="62"/>
      <c r="AG151" s="62"/>
      <c r="AH151" s="62"/>
      <c r="AI151" s="62"/>
    </row>
    <row r="152" ht="14.25" customHeight="1">
      <c r="Z152" s="62"/>
      <c r="AA152" s="62"/>
      <c r="AB152" s="62"/>
      <c r="AC152" s="62"/>
      <c r="AD152" s="62"/>
      <c r="AE152" s="62"/>
      <c r="AF152" s="62"/>
      <c r="AG152" s="62"/>
      <c r="AH152" s="62"/>
      <c r="AI152" s="62"/>
    </row>
    <row r="153" ht="14.25" customHeight="1">
      <c r="Z153" s="62"/>
      <c r="AA153" s="62"/>
      <c r="AB153" s="62"/>
      <c r="AC153" s="62"/>
      <c r="AD153" s="62"/>
      <c r="AE153" s="62"/>
      <c r="AF153" s="62"/>
      <c r="AG153" s="62"/>
      <c r="AH153" s="62"/>
      <c r="AI153" s="62"/>
    </row>
    <row r="154" ht="14.25" customHeight="1">
      <c r="Z154" s="62"/>
      <c r="AA154" s="62"/>
      <c r="AB154" s="62"/>
      <c r="AC154" s="62"/>
      <c r="AD154" s="62"/>
      <c r="AE154" s="62"/>
      <c r="AF154" s="62"/>
      <c r="AG154" s="62"/>
      <c r="AH154" s="62"/>
      <c r="AI154" s="62"/>
    </row>
    <row r="155" ht="14.25" customHeight="1">
      <c r="Z155" s="62"/>
      <c r="AA155" s="62"/>
      <c r="AB155" s="62"/>
      <c r="AC155" s="62"/>
      <c r="AD155" s="62"/>
      <c r="AE155" s="62"/>
      <c r="AF155" s="62"/>
      <c r="AG155" s="62"/>
      <c r="AH155" s="62"/>
      <c r="AI155" s="62"/>
    </row>
    <row r="156" ht="14.25" customHeight="1">
      <c r="Z156" s="62"/>
      <c r="AA156" s="62"/>
      <c r="AB156" s="62"/>
      <c r="AC156" s="62"/>
      <c r="AD156" s="62"/>
      <c r="AE156" s="62"/>
      <c r="AF156" s="62"/>
      <c r="AG156" s="62"/>
      <c r="AH156" s="62"/>
      <c r="AI156" s="62"/>
    </row>
    <row r="157" ht="14.25" customHeight="1">
      <c r="Z157" s="62"/>
      <c r="AA157" s="62"/>
      <c r="AB157" s="62"/>
      <c r="AC157" s="62"/>
      <c r="AD157" s="62"/>
      <c r="AE157" s="62"/>
      <c r="AF157" s="62"/>
      <c r="AG157" s="62"/>
      <c r="AH157" s="62"/>
      <c r="AI157" s="62"/>
    </row>
    <row r="158" ht="14.25" customHeight="1">
      <c r="Z158" s="62"/>
      <c r="AA158" s="62"/>
      <c r="AB158" s="62"/>
      <c r="AC158" s="62"/>
      <c r="AD158" s="62"/>
      <c r="AE158" s="62"/>
      <c r="AF158" s="62"/>
      <c r="AG158" s="62"/>
      <c r="AH158" s="62"/>
      <c r="AI158" s="62"/>
    </row>
    <row r="159" ht="14.25" customHeight="1">
      <c r="Z159" s="62"/>
      <c r="AA159" s="62"/>
      <c r="AB159" s="62"/>
      <c r="AC159" s="62"/>
      <c r="AD159" s="62"/>
      <c r="AE159" s="62"/>
      <c r="AF159" s="62"/>
      <c r="AG159" s="62"/>
      <c r="AH159" s="62"/>
      <c r="AI159" s="62"/>
    </row>
    <row r="160" ht="14.25" customHeight="1">
      <c r="Z160" s="62"/>
      <c r="AA160" s="62"/>
      <c r="AB160" s="62"/>
      <c r="AC160" s="62"/>
      <c r="AD160" s="62"/>
      <c r="AE160" s="62"/>
      <c r="AF160" s="62"/>
      <c r="AG160" s="62"/>
      <c r="AH160" s="62"/>
      <c r="AI160" s="62"/>
    </row>
    <row r="161" ht="14.25" customHeight="1">
      <c r="Z161" s="62"/>
      <c r="AA161" s="62"/>
      <c r="AB161" s="62"/>
      <c r="AC161" s="62"/>
      <c r="AD161" s="62"/>
      <c r="AE161" s="62"/>
      <c r="AF161" s="62"/>
      <c r="AG161" s="62"/>
      <c r="AH161" s="62"/>
      <c r="AI161" s="62"/>
    </row>
    <row r="162" ht="14.25" customHeight="1">
      <c r="Z162" s="62"/>
      <c r="AA162" s="62"/>
      <c r="AB162" s="62"/>
      <c r="AC162" s="62"/>
      <c r="AD162" s="62"/>
      <c r="AE162" s="62"/>
      <c r="AF162" s="62"/>
      <c r="AG162" s="62"/>
      <c r="AH162" s="62"/>
      <c r="AI162" s="62"/>
    </row>
    <row r="163" ht="14.25" customHeight="1">
      <c r="Z163" s="62"/>
      <c r="AA163" s="62"/>
      <c r="AB163" s="62"/>
      <c r="AC163" s="62"/>
      <c r="AD163" s="62"/>
      <c r="AE163" s="62"/>
      <c r="AF163" s="62"/>
      <c r="AG163" s="62"/>
      <c r="AH163" s="62"/>
      <c r="AI163" s="62"/>
    </row>
    <row r="164" ht="14.25" customHeight="1">
      <c r="Z164" s="62"/>
      <c r="AA164" s="62"/>
      <c r="AB164" s="62"/>
      <c r="AC164" s="62"/>
      <c r="AD164" s="62"/>
      <c r="AE164" s="62"/>
      <c r="AF164" s="62"/>
      <c r="AG164" s="62"/>
      <c r="AH164" s="62"/>
      <c r="AI164" s="62"/>
    </row>
    <row r="165" ht="14.25" customHeight="1">
      <c r="Z165" s="62"/>
      <c r="AA165" s="62"/>
      <c r="AB165" s="62"/>
      <c r="AC165" s="62"/>
      <c r="AD165" s="62"/>
      <c r="AE165" s="62"/>
      <c r="AF165" s="62"/>
      <c r="AG165" s="62"/>
      <c r="AH165" s="62"/>
      <c r="AI165" s="62"/>
    </row>
    <row r="166" ht="14.25" customHeight="1">
      <c r="Z166" s="62"/>
      <c r="AA166" s="62"/>
      <c r="AB166" s="62"/>
      <c r="AC166" s="62"/>
      <c r="AD166" s="62"/>
      <c r="AE166" s="62"/>
      <c r="AF166" s="62"/>
      <c r="AG166" s="62"/>
      <c r="AH166" s="62"/>
      <c r="AI166" s="62"/>
    </row>
    <row r="167" ht="14.25" customHeight="1">
      <c r="Z167" s="62"/>
      <c r="AA167" s="62"/>
      <c r="AB167" s="62"/>
      <c r="AC167" s="62"/>
      <c r="AD167" s="62"/>
      <c r="AE167" s="62"/>
      <c r="AF167" s="62"/>
      <c r="AG167" s="62"/>
      <c r="AH167" s="62"/>
      <c r="AI167" s="62"/>
    </row>
    <row r="168" ht="14.25" customHeight="1">
      <c r="Z168" s="62"/>
      <c r="AA168" s="62"/>
      <c r="AB168" s="62"/>
      <c r="AC168" s="62"/>
      <c r="AD168" s="62"/>
      <c r="AE168" s="62"/>
      <c r="AF168" s="62"/>
      <c r="AG168" s="62"/>
      <c r="AH168" s="62"/>
      <c r="AI168" s="62"/>
    </row>
    <row r="169" ht="14.25" customHeight="1">
      <c r="Z169" s="62"/>
      <c r="AA169" s="62"/>
      <c r="AB169" s="62"/>
      <c r="AC169" s="62"/>
      <c r="AD169" s="62"/>
      <c r="AE169" s="62"/>
      <c r="AF169" s="62"/>
      <c r="AG169" s="62"/>
      <c r="AH169" s="62"/>
      <c r="AI169" s="62"/>
    </row>
    <row r="170" ht="14.25" customHeight="1">
      <c r="Z170" s="62"/>
      <c r="AA170" s="62"/>
      <c r="AB170" s="62"/>
      <c r="AC170" s="62"/>
      <c r="AD170" s="62"/>
      <c r="AE170" s="62"/>
      <c r="AF170" s="62"/>
      <c r="AG170" s="62"/>
      <c r="AH170" s="62"/>
      <c r="AI170" s="62"/>
    </row>
    <row r="171" ht="14.25" customHeight="1">
      <c r="Z171" s="62"/>
      <c r="AA171" s="62"/>
      <c r="AB171" s="62"/>
      <c r="AC171" s="62"/>
      <c r="AD171" s="62"/>
      <c r="AE171" s="62"/>
      <c r="AF171" s="62"/>
      <c r="AG171" s="62"/>
      <c r="AH171" s="62"/>
      <c r="AI171" s="62"/>
    </row>
    <row r="172" ht="14.25" customHeight="1">
      <c r="Z172" s="62"/>
      <c r="AA172" s="62"/>
      <c r="AB172" s="62"/>
      <c r="AC172" s="62"/>
      <c r="AD172" s="62"/>
      <c r="AE172" s="62"/>
      <c r="AF172" s="62"/>
      <c r="AG172" s="62"/>
      <c r="AH172" s="62"/>
      <c r="AI172" s="62"/>
    </row>
    <row r="173" ht="14.25" customHeight="1">
      <c r="Z173" s="62"/>
      <c r="AA173" s="62"/>
      <c r="AB173" s="62"/>
      <c r="AC173" s="62"/>
      <c r="AD173" s="62"/>
      <c r="AE173" s="62"/>
      <c r="AF173" s="62"/>
      <c r="AG173" s="62"/>
      <c r="AH173" s="62"/>
      <c r="AI173" s="62"/>
    </row>
    <row r="174" ht="14.25" customHeight="1">
      <c r="Z174" s="62"/>
      <c r="AA174" s="62"/>
      <c r="AB174" s="62"/>
      <c r="AC174" s="62"/>
      <c r="AD174" s="62"/>
      <c r="AE174" s="62"/>
      <c r="AF174" s="62"/>
      <c r="AG174" s="62"/>
      <c r="AH174" s="62"/>
      <c r="AI174" s="62"/>
    </row>
    <row r="175" ht="14.25" customHeight="1">
      <c r="Z175" s="62"/>
      <c r="AA175" s="62"/>
      <c r="AB175" s="62"/>
      <c r="AC175" s="62"/>
      <c r="AD175" s="62"/>
      <c r="AE175" s="62"/>
      <c r="AF175" s="62"/>
      <c r="AG175" s="62"/>
      <c r="AH175" s="62"/>
      <c r="AI175" s="62"/>
    </row>
    <row r="176" ht="14.25" customHeight="1">
      <c r="Z176" s="62"/>
      <c r="AA176" s="62"/>
      <c r="AB176" s="62"/>
      <c r="AC176" s="62"/>
      <c r="AD176" s="62"/>
      <c r="AE176" s="62"/>
      <c r="AF176" s="62"/>
      <c r="AG176" s="62"/>
      <c r="AH176" s="62"/>
      <c r="AI176" s="62"/>
    </row>
    <row r="177" ht="14.25" customHeight="1">
      <c r="Z177" s="62"/>
      <c r="AA177" s="62"/>
      <c r="AB177" s="62"/>
      <c r="AC177" s="62"/>
      <c r="AD177" s="62"/>
      <c r="AE177" s="62"/>
      <c r="AF177" s="62"/>
      <c r="AG177" s="62"/>
      <c r="AH177" s="62"/>
      <c r="AI177" s="62"/>
    </row>
    <row r="178" ht="14.25" customHeight="1">
      <c r="Z178" s="62"/>
      <c r="AA178" s="62"/>
      <c r="AB178" s="62"/>
      <c r="AC178" s="62"/>
      <c r="AD178" s="62"/>
      <c r="AE178" s="62"/>
      <c r="AF178" s="62"/>
      <c r="AG178" s="62"/>
      <c r="AH178" s="62"/>
      <c r="AI178" s="62"/>
    </row>
    <row r="179" ht="14.25" customHeight="1">
      <c r="Z179" s="62"/>
      <c r="AA179" s="62"/>
      <c r="AB179" s="62"/>
      <c r="AC179" s="62"/>
      <c r="AD179" s="62"/>
      <c r="AE179" s="62"/>
      <c r="AF179" s="62"/>
      <c r="AG179" s="62"/>
      <c r="AH179" s="62"/>
      <c r="AI179" s="62"/>
    </row>
    <row r="180" ht="14.25" customHeight="1">
      <c r="Z180" s="62"/>
      <c r="AA180" s="62"/>
      <c r="AB180" s="62"/>
      <c r="AC180" s="62"/>
      <c r="AD180" s="62"/>
      <c r="AE180" s="62"/>
      <c r="AF180" s="62"/>
      <c r="AG180" s="62"/>
      <c r="AH180" s="62"/>
      <c r="AI180" s="62"/>
    </row>
    <row r="181" ht="14.25" customHeight="1">
      <c r="Z181" s="62"/>
      <c r="AA181" s="62"/>
      <c r="AB181" s="62"/>
      <c r="AC181" s="62"/>
      <c r="AD181" s="62"/>
      <c r="AE181" s="62"/>
      <c r="AF181" s="62"/>
      <c r="AG181" s="62"/>
      <c r="AH181" s="62"/>
      <c r="AI181" s="62"/>
    </row>
    <row r="182" ht="14.25" customHeight="1">
      <c r="Z182" s="62"/>
      <c r="AA182" s="62"/>
      <c r="AB182" s="62"/>
      <c r="AC182" s="62"/>
      <c r="AD182" s="62"/>
      <c r="AE182" s="62"/>
      <c r="AF182" s="62"/>
      <c r="AG182" s="62"/>
      <c r="AH182" s="62"/>
      <c r="AI182" s="62"/>
    </row>
    <row r="183" ht="14.25" customHeight="1">
      <c r="Z183" s="62"/>
      <c r="AA183" s="62"/>
      <c r="AB183" s="62"/>
      <c r="AC183" s="62"/>
      <c r="AD183" s="62"/>
      <c r="AE183" s="62"/>
      <c r="AF183" s="62"/>
      <c r="AG183" s="62"/>
      <c r="AH183" s="62"/>
      <c r="AI183" s="62"/>
    </row>
    <row r="184" ht="14.25" customHeight="1">
      <c r="Z184" s="62"/>
      <c r="AA184" s="62"/>
      <c r="AB184" s="62"/>
      <c r="AC184" s="62"/>
      <c r="AD184" s="62"/>
      <c r="AE184" s="62"/>
      <c r="AF184" s="62"/>
      <c r="AG184" s="62"/>
      <c r="AH184" s="62"/>
      <c r="AI184" s="62"/>
    </row>
    <row r="185" ht="14.25" customHeight="1">
      <c r="Z185" s="62"/>
      <c r="AA185" s="62"/>
      <c r="AB185" s="62"/>
      <c r="AC185" s="62"/>
      <c r="AD185" s="62"/>
      <c r="AE185" s="62"/>
      <c r="AF185" s="62"/>
      <c r="AG185" s="62"/>
      <c r="AH185" s="62"/>
      <c r="AI185" s="62"/>
    </row>
    <row r="186" ht="14.25" customHeight="1">
      <c r="Z186" s="62"/>
      <c r="AA186" s="62"/>
      <c r="AB186" s="62"/>
      <c r="AC186" s="62"/>
      <c r="AD186" s="62"/>
      <c r="AE186" s="62"/>
      <c r="AF186" s="62"/>
      <c r="AG186" s="62"/>
      <c r="AH186" s="62"/>
      <c r="AI186" s="62"/>
    </row>
    <row r="187" ht="14.25" customHeight="1">
      <c r="Z187" s="62"/>
      <c r="AA187" s="62"/>
      <c r="AB187" s="62"/>
      <c r="AC187" s="62"/>
      <c r="AD187" s="62"/>
      <c r="AE187" s="62"/>
      <c r="AF187" s="62"/>
      <c r="AG187" s="62"/>
      <c r="AH187" s="62"/>
      <c r="AI187" s="62"/>
    </row>
    <row r="188" ht="14.25" customHeight="1">
      <c r="Z188" s="62"/>
      <c r="AA188" s="62"/>
      <c r="AB188" s="62"/>
      <c r="AC188" s="62"/>
      <c r="AD188" s="62"/>
      <c r="AE188" s="62"/>
      <c r="AF188" s="62"/>
      <c r="AG188" s="62"/>
      <c r="AH188" s="62"/>
      <c r="AI188" s="62"/>
    </row>
    <row r="189" ht="14.25" customHeight="1">
      <c r="Z189" s="62"/>
      <c r="AA189" s="62"/>
      <c r="AB189" s="62"/>
      <c r="AC189" s="62"/>
      <c r="AD189" s="62"/>
      <c r="AE189" s="62"/>
      <c r="AF189" s="62"/>
      <c r="AG189" s="62"/>
      <c r="AH189" s="62"/>
      <c r="AI189" s="62"/>
    </row>
    <row r="190" ht="14.25" customHeight="1">
      <c r="Z190" s="62"/>
      <c r="AA190" s="62"/>
      <c r="AB190" s="62"/>
      <c r="AC190" s="62"/>
      <c r="AD190" s="62"/>
      <c r="AE190" s="62"/>
      <c r="AF190" s="62"/>
      <c r="AG190" s="62"/>
      <c r="AH190" s="62"/>
      <c r="AI190" s="62"/>
    </row>
    <row r="191" ht="14.25" customHeight="1">
      <c r="Z191" s="62"/>
      <c r="AA191" s="62"/>
      <c r="AB191" s="62"/>
      <c r="AC191" s="62"/>
      <c r="AD191" s="62"/>
      <c r="AE191" s="62"/>
      <c r="AF191" s="62"/>
      <c r="AG191" s="62"/>
      <c r="AH191" s="62"/>
      <c r="AI191" s="62"/>
    </row>
    <row r="192" ht="14.25" customHeight="1">
      <c r="Z192" s="62"/>
      <c r="AA192" s="62"/>
      <c r="AB192" s="62"/>
      <c r="AC192" s="62"/>
      <c r="AD192" s="62"/>
      <c r="AE192" s="62"/>
      <c r="AF192" s="62"/>
      <c r="AG192" s="62"/>
      <c r="AH192" s="62"/>
      <c r="AI192" s="62"/>
    </row>
    <row r="193" ht="14.25" customHeight="1">
      <c r="Z193" s="62"/>
      <c r="AA193" s="62"/>
      <c r="AB193" s="62"/>
      <c r="AC193" s="62"/>
      <c r="AD193" s="62"/>
      <c r="AE193" s="62"/>
      <c r="AF193" s="62"/>
      <c r="AG193" s="62"/>
      <c r="AH193" s="62"/>
      <c r="AI193" s="62"/>
    </row>
    <row r="194" ht="14.25" customHeight="1">
      <c r="Z194" s="62"/>
      <c r="AA194" s="62"/>
      <c r="AB194" s="62"/>
      <c r="AC194" s="62"/>
      <c r="AD194" s="62"/>
      <c r="AE194" s="62"/>
      <c r="AF194" s="62"/>
      <c r="AG194" s="62"/>
      <c r="AH194" s="62"/>
      <c r="AI194" s="62"/>
    </row>
    <row r="195" ht="14.25" customHeight="1">
      <c r="Z195" s="62"/>
      <c r="AA195" s="62"/>
      <c r="AB195" s="62"/>
      <c r="AC195" s="62"/>
      <c r="AD195" s="62"/>
      <c r="AE195" s="62"/>
      <c r="AF195" s="62"/>
      <c r="AG195" s="62"/>
      <c r="AH195" s="62"/>
      <c r="AI195" s="62"/>
    </row>
    <row r="196" ht="14.25" customHeight="1">
      <c r="Z196" s="62"/>
      <c r="AA196" s="62"/>
      <c r="AB196" s="62"/>
      <c r="AC196" s="62"/>
      <c r="AD196" s="62"/>
      <c r="AE196" s="62"/>
      <c r="AF196" s="62"/>
      <c r="AG196" s="62"/>
      <c r="AH196" s="62"/>
      <c r="AI196" s="62"/>
    </row>
    <row r="197" ht="14.25" customHeight="1">
      <c r="Z197" s="62"/>
      <c r="AA197" s="62"/>
      <c r="AB197" s="62"/>
      <c r="AC197" s="62"/>
      <c r="AD197" s="62"/>
      <c r="AE197" s="62"/>
      <c r="AF197" s="62"/>
      <c r="AG197" s="62"/>
      <c r="AH197" s="62"/>
      <c r="AI197" s="62"/>
    </row>
    <row r="198" ht="14.25" customHeight="1">
      <c r="Z198" s="62"/>
      <c r="AA198" s="62"/>
      <c r="AB198" s="62"/>
      <c r="AC198" s="62"/>
      <c r="AD198" s="62"/>
      <c r="AE198" s="62"/>
      <c r="AF198" s="62"/>
      <c r="AG198" s="62"/>
      <c r="AH198" s="62"/>
      <c r="AI198" s="62"/>
    </row>
    <row r="199" ht="14.25" customHeight="1">
      <c r="Z199" s="62"/>
      <c r="AA199" s="62"/>
      <c r="AB199" s="62"/>
      <c r="AC199" s="62"/>
      <c r="AD199" s="62"/>
      <c r="AE199" s="62"/>
      <c r="AF199" s="62"/>
      <c r="AG199" s="62"/>
      <c r="AH199" s="62"/>
      <c r="AI199" s="62"/>
    </row>
    <row r="200" ht="14.25" customHeight="1">
      <c r="Z200" s="62"/>
      <c r="AA200" s="62"/>
      <c r="AB200" s="62"/>
      <c r="AC200" s="62"/>
      <c r="AD200" s="62"/>
      <c r="AE200" s="62"/>
      <c r="AF200" s="62"/>
      <c r="AG200" s="62"/>
      <c r="AH200" s="62"/>
      <c r="AI200" s="62"/>
    </row>
    <row r="201" ht="14.25" customHeight="1">
      <c r="Z201" s="62"/>
      <c r="AA201" s="62"/>
      <c r="AB201" s="62"/>
      <c r="AC201" s="62"/>
      <c r="AD201" s="62"/>
      <c r="AE201" s="62"/>
      <c r="AF201" s="62"/>
      <c r="AG201" s="62"/>
      <c r="AH201" s="62"/>
      <c r="AI201" s="62"/>
    </row>
    <row r="202" ht="14.25" customHeight="1">
      <c r="Z202" s="62"/>
      <c r="AA202" s="62"/>
      <c r="AB202" s="62"/>
      <c r="AC202" s="62"/>
      <c r="AD202" s="62"/>
      <c r="AE202" s="62"/>
      <c r="AF202" s="62"/>
      <c r="AG202" s="62"/>
      <c r="AH202" s="62"/>
      <c r="AI202" s="62"/>
    </row>
    <row r="203" ht="14.25" customHeight="1">
      <c r="Z203" s="62"/>
      <c r="AA203" s="62"/>
      <c r="AB203" s="62"/>
      <c r="AC203" s="62"/>
      <c r="AD203" s="62"/>
      <c r="AE203" s="62"/>
      <c r="AF203" s="62"/>
      <c r="AG203" s="62"/>
      <c r="AH203" s="62"/>
      <c r="AI203" s="62"/>
    </row>
    <row r="204" ht="14.25" customHeight="1">
      <c r="Z204" s="62"/>
      <c r="AA204" s="62"/>
      <c r="AB204" s="62"/>
      <c r="AC204" s="62"/>
      <c r="AD204" s="62"/>
      <c r="AE204" s="62"/>
      <c r="AF204" s="62"/>
      <c r="AG204" s="62"/>
      <c r="AH204" s="62"/>
      <c r="AI204" s="62"/>
    </row>
    <row r="205" ht="14.25" customHeight="1">
      <c r="Z205" s="62"/>
      <c r="AA205" s="62"/>
      <c r="AB205" s="62"/>
      <c r="AC205" s="62"/>
      <c r="AD205" s="62"/>
      <c r="AE205" s="62"/>
      <c r="AF205" s="62"/>
      <c r="AG205" s="62"/>
      <c r="AH205" s="62"/>
      <c r="AI205" s="62"/>
    </row>
    <row r="206" ht="14.25" customHeight="1">
      <c r="Z206" s="62"/>
      <c r="AA206" s="62"/>
      <c r="AB206" s="62"/>
      <c r="AC206" s="62"/>
      <c r="AD206" s="62"/>
      <c r="AE206" s="62"/>
      <c r="AF206" s="62"/>
      <c r="AG206" s="62"/>
      <c r="AH206" s="62"/>
      <c r="AI206" s="62"/>
    </row>
    <row r="207" ht="14.25" customHeight="1">
      <c r="Z207" s="62"/>
      <c r="AA207" s="62"/>
      <c r="AB207" s="62"/>
      <c r="AC207" s="62"/>
      <c r="AD207" s="62"/>
      <c r="AE207" s="62"/>
      <c r="AF207" s="62"/>
      <c r="AG207" s="62"/>
      <c r="AH207" s="62"/>
      <c r="AI207" s="62"/>
    </row>
    <row r="208" ht="14.25" customHeight="1">
      <c r="Z208" s="62"/>
      <c r="AA208" s="62"/>
      <c r="AB208" s="62"/>
      <c r="AC208" s="62"/>
      <c r="AD208" s="62"/>
      <c r="AE208" s="62"/>
      <c r="AF208" s="62"/>
      <c r="AG208" s="62"/>
      <c r="AH208" s="62"/>
      <c r="AI208" s="62"/>
    </row>
    <row r="209" ht="14.25" customHeight="1">
      <c r="Z209" s="62"/>
      <c r="AA209" s="62"/>
      <c r="AB209" s="62"/>
      <c r="AC209" s="62"/>
      <c r="AD209" s="62"/>
      <c r="AE209" s="62"/>
      <c r="AF209" s="62"/>
      <c r="AG209" s="62"/>
      <c r="AH209" s="62"/>
      <c r="AI209" s="62"/>
    </row>
    <row r="210" ht="14.25" customHeight="1">
      <c r="Z210" s="62"/>
      <c r="AA210" s="62"/>
      <c r="AB210" s="62"/>
      <c r="AC210" s="62"/>
      <c r="AD210" s="62"/>
      <c r="AE210" s="62"/>
      <c r="AF210" s="62"/>
      <c r="AG210" s="62"/>
      <c r="AH210" s="62"/>
      <c r="AI210" s="62"/>
    </row>
    <row r="211" ht="14.25" customHeight="1">
      <c r="Z211" s="62"/>
      <c r="AA211" s="62"/>
      <c r="AB211" s="62"/>
      <c r="AC211" s="62"/>
      <c r="AD211" s="62"/>
      <c r="AE211" s="62"/>
      <c r="AF211" s="62"/>
      <c r="AG211" s="62"/>
      <c r="AH211" s="62"/>
      <c r="AI211" s="62"/>
    </row>
    <row r="212" ht="14.25" customHeight="1">
      <c r="Z212" s="62"/>
      <c r="AA212" s="62"/>
      <c r="AB212" s="62"/>
      <c r="AC212" s="62"/>
      <c r="AD212" s="62"/>
      <c r="AE212" s="62"/>
      <c r="AF212" s="62"/>
      <c r="AG212" s="62"/>
      <c r="AH212" s="62"/>
      <c r="AI212" s="62"/>
    </row>
    <row r="213" ht="14.25" customHeight="1">
      <c r="Z213" s="62"/>
      <c r="AA213" s="62"/>
      <c r="AB213" s="62"/>
      <c r="AC213" s="62"/>
      <c r="AD213" s="62"/>
      <c r="AE213" s="62"/>
      <c r="AF213" s="62"/>
      <c r="AG213" s="62"/>
      <c r="AH213" s="62"/>
      <c r="AI213" s="62"/>
    </row>
    <row r="214" ht="14.25" customHeight="1">
      <c r="Z214" s="62"/>
      <c r="AA214" s="62"/>
      <c r="AB214" s="62"/>
      <c r="AC214" s="62"/>
      <c r="AD214" s="62"/>
      <c r="AE214" s="62"/>
      <c r="AF214" s="62"/>
      <c r="AG214" s="62"/>
      <c r="AH214" s="62"/>
      <c r="AI214" s="62"/>
    </row>
    <row r="215" ht="14.25" customHeight="1">
      <c r="Z215" s="62"/>
      <c r="AA215" s="62"/>
      <c r="AB215" s="62"/>
      <c r="AC215" s="62"/>
      <c r="AD215" s="62"/>
      <c r="AE215" s="62"/>
      <c r="AF215" s="62"/>
      <c r="AG215" s="62"/>
      <c r="AH215" s="62"/>
      <c r="AI215" s="62"/>
    </row>
    <row r="216" ht="14.25" customHeight="1">
      <c r="Z216" s="62"/>
      <c r="AA216" s="62"/>
      <c r="AB216" s="62"/>
      <c r="AC216" s="62"/>
      <c r="AD216" s="62"/>
      <c r="AE216" s="62"/>
      <c r="AF216" s="62"/>
      <c r="AG216" s="62"/>
      <c r="AH216" s="62"/>
      <c r="AI216" s="62"/>
    </row>
    <row r="217" ht="14.25" customHeight="1">
      <c r="Z217" s="62"/>
      <c r="AA217" s="62"/>
      <c r="AB217" s="62"/>
      <c r="AC217" s="62"/>
      <c r="AD217" s="62"/>
      <c r="AE217" s="62"/>
      <c r="AF217" s="62"/>
      <c r="AG217" s="62"/>
      <c r="AH217" s="62"/>
      <c r="AI217" s="62"/>
    </row>
    <row r="218" ht="14.25" customHeight="1">
      <c r="Z218" s="62"/>
      <c r="AA218" s="62"/>
      <c r="AB218" s="62"/>
      <c r="AC218" s="62"/>
      <c r="AD218" s="62"/>
      <c r="AE218" s="62"/>
      <c r="AF218" s="62"/>
      <c r="AG218" s="62"/>
      <c r="AH218" s="62"/>
      <c r="AI218" s="62"/>
    </row>
    <row r="219" ht="14.25" customHeight="1">
      <c r="Z219" s="62"/>
      <c r="AA219" s="62"/>
      <c r="AB219" s="62"/>
      <c r="AC219" s="62"/>
      <c r="AD219" s="62"/>
      <c r="AE219" s="62"/>
      <c r="AF219" s="62"/>
      <c r="AG219" s="62"/>
      <c r="AH219" s="62"/>
      <c r="AI219" s="62"/>
    </row>
    <row r="220" ht="14.25" customHeight="1">
      <c r="Z220" s="62"/>
      <c r="AA220" s="62"/>
      <c r="AB220" s="62"/>
      <c r="AC220" s="62"/>
      <c r="AD220" s="62"/>
      <c r="AE220" s="62"/>
      <c r="AF220" s="62"/>
      <c r="AG220" s="62"/>
      <c r="AH220" s="62"/>
      <c r="AI220" s="62"/>
    </row>
    <row r="221" ht="14.25" customHeight="1">
      <c r="Z221" s="62"/>
      <c r="AA221" s="62"/>
      <c r="AB221" s="62"/>
      <c r="AC221" s="62"/>
      <c r="AD221" s="62"/>
      <c r="AE221" s="62"/>
      <c r="AF221" s="62"/>
      <c r="AG221" s="62"/>
      <c r="AH221" s="62"/>
      <c r="AI221" s="62"/>
    </row>
    <row r="222" ht="14.25" customHeight="1">
      <c r="Z222" s="62"/>
      <c r="AA222" s="62"/>
      <c r="AB222" s="62"/>
      <c r="AC222" s="62"/>
      <c r="AD222" s="62"/>
      <c r="AE222" s="62"/>
      <c r="AF222" s="62"/>
      <c r="AG222" s="62"/>
      <c r="AH222" s="62"/>
      <c r="AI222" s="62"/>
    </row>
    <row r="223" ht="14.25" customHeight="1">
      <c r="Z223" s="62"/>
      <c r="AA223" s="62"/>
      <c r="AB223" s="62"/>
      <c r="AC223" s="62"/>
      <c r="AD223" s="62"/>
      <c r="AE223" s="62"/>
      <c r="AF223" s="62"/>
      <c r="AG223" s="62"/>
      <c r="AH223" s="62"/>
      <c r="AI223" s="62"/>
    </row>
    <row r="224" ht="14.25" customHeight="1">
      <c r="Z224" s="62"/>
      <c r="AA224" s="62"/>
      <c r="AB224" s="62"/>
      <c r="AC224" s="62"/>
      <c r="AD224" s="62"/>
      <c r="AE224" s="62"/>
      <c r="AF224" s="62"/>
      <c r="AG224" s="62"/>
      <c r="AH224" s="62"/>
      <c r="AI224" s="62"/>
    </row>
    <row r="225" ht="14.25" customHeight="1">
      <c r="Z225" s="62"/>
      <c r="AA225" s="62"/>
      <c r="AB225" s="62"/>
      <c r="AC225" s="62"/>
      <c r="AD225" s="62"/>
      <c r="AE225" s="62"/>
      <c r="AF225" s="62"/>
      <c r="AG225" s="62"/>
      <c r="AH225" s="62"/>
      <c r="AI225" s="62"/>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H28">
      <formula1>"Ada,Belum Ada,Proses,Belum mengurus"</formula1>
    </dataValidation>
    <dataValidation type="list" allowBlank="1" showErrorMessage="1" sqref="G5:G8">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21.86"/>
    <col customWidth="1" min="3" max="3" width="32.29"/>
    <col customWidth="1" min="4" max="4" width="15.0"/>
    <col customWidth="1" min="5" max="5" width="32.0"/>
    <col customWidth="1" min="6" max="6" width="27.29"/>
    <col customWidth="1" min="7" max="7" width="26.86"/>
    <col customWidth="1" min="8" max="11" width="21.14"/>
    <col customWidth="1" min="12" max="12" width="27.0"/>
    <col customWidth="1" min="13" max="13" width="38.43"/>
    <col customWidth="1" min="14" max="15" width="27.0"/>
    <col customWidth="1" min="16" max="16" width="33.14"/>
    <col customWidth="1" min="17" max="17" width="39.57"/>
    <col customWidth="1" min="18" max="18" width="38.14"/>
    <col customWidth="1" min="19" max="19" width="30.43"/>
    <col customWidth="1" min="20" max="20" width="53.71"/>
    <col customWidth="1" min="21" max="21" width="56.14"/>
    <col customWidth="1" min="22" max="22" width="55.0"/>
    <col customWidth="1" min="23" max="24" width="26.43"/>
    <col customWidth="1" min="25" max="25" width="18.43"/>
    <col customWidth="1" min="26" max="26" width="10.14"/>
    <col customWidth="1" min="27" max="27" width="10.71"/>
    <col customWidth="1" min="28" max="29" width="11.14"/>
    <col customWidth="1" min="30" max="30" width="11.0"/>
    <col customWidth="1" min="31" max="31" width="13.43"/>
    <col customWidth="1" min="32" max="32" width="11.29"/>
    <col customWidth="1" min="33" max="33" width="10.29"/>
    <col customWidth="1" min="34" max="34" width="25.29"/>
    <col customWidth="1" min="35" max="35" width="8.71"/>
  </cols>
  <sheetData>
    <row r="1" ht="14.25" customHeight="1">
      <c r="L1" s="63" t="s">
        <v>1</v>
      </c>
      <c r="Z1" s="62"/>
      <c r="AA1" s="62"/>
      <c r="AB1" s="62"/>
      <c r="AC1" s="62"/>
      <c r="AD1" s="62"/>
      <c r="AE1" s="62"/>
      <c r="AF1" s="62"/>
      <c r="AG1" s="62"/>
      <c r="AH1" s="62"/>
      <c r="AI1" s="62"/>
    </row>
    <row r="2" ht="14.25" customHeight="1">
      <c r="L2" s="64" t="s">
        <v>2</v>
      </c>
      <c r="Z2" s="62"/>
      <c r="AA2" s="62"/>
      <c r="AB2" s="62"/>
      <c r="AC2" s="62"/>
      <c r="AD2" s="62"/>
      <c r="AE2" s="62"/>
      <c r="AF2" s="62"/>
      <c r="AG2" s="62"/>
      <c r="AH2" s="62"/>
      <c r="AI2" s="62"/>
    </row>
    <row r="3" ht="14.25" customHeight="1">
      <c r="Z3" s="62"/>
      <c r="AA3" s="62"/>
      <c r="AB3" s="62"/>
      <c r="AC3" s="62"/>
      <c r="AD3" s="62"/>
      <c r="AE3" s="62"/>
      <c r="AF3" s="62"/>
      <c r="AG3" s="62"/>
      <c r="AH3" s="62"/>
      <c r="AI3" s="62"/>
    </row>
    <row r="4" ht="40.5" customHeight="1">
      <c r="A4" s="65" t="s">
        <v>3</v>
      </c>
      <c r="B4" s="65" t="s">
        <v>4</v>
      </c>
      <c r="C4" s="65" t="s">
        <v>5</v>
      </c>
      <c r="D4" s="65" t="s">
        <v>6</v>
      </c>
      <c r="E4" s="65" t="s">
        <v>7</v>
      </c>
      <c r="F4" s="65" t="s">
        <v>8</v>
      </c>
      <c r="G4" s="65" t="s">
        <v>9</v>
      </c>
      <c r="H4" s="65" t="s">
        <v>1084</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167.25" customHeight="1">
      <c r="A5" s="67">
        <v>1.0</v>
      </c>
      <c r="B5" s="67" t="s">
        <v>1742</v>
      </c>
      <c r="C5" s="67" t="s">
        <v>1743</v>
      </c>
      <c r="D5" s="67" t="s">
        <v>1744</v>
      </c>
      <c r="E5" s="67" t="s">
        <v>1745</v>
      </c>
      <c r="F5" s="67" t="s">
        <v>1746</v>
      </c>
      <c r="G5" s="67" t="s">
        <v>43</v>
      </c>
      <c r="H5" s="67" t="s">
        <v>1747</v>
      </c>
      <c r="I5" s="68" t="s">
        <v>44</v>
      </c>
      <c r="J5" s="68" t="s">
        <v>1748</v>
      </c>
      <c r="K5" s="68">
        <v>8.9646920295E10</v>
      </c>
      <c r="L5" s="68">
        <v>2253.0</v>
      </c>
      <c r="M5" s="67" t="s">
        <v>1749</v>
      </c>
      <c r="N5" s="67" t="s">
        <v>1750</v>
      </c>
      <c r="O5" s="67"/>
      <c r="P5" s="67"/>
      <c r="Q5" s="67" t="s">
        <v>1751</v>
      </c>
      <c r="R5" s="67" t="s">
        <v>1752</v>
      </c>
      <c r="S5" s="67" t="s">
        <v>1753</v>
      </c>
      <c r="T5" s="90" t="s">
        <v>1754</v>
      </c>
      <c r="U5" s="90" t="s">
        <v>1755</v>
      </c>
      <c r="V5" s="90" t="s">
        <v>1756</v>
      </c>
      <c r="W5" s="67"/>
      <c r="X5" s="67"/>
      <c r="Y5" s="68"/>
      <c r="Z5" s="54" t="s">
        <v>54</v>
      </c>
      <c r="AA5" s="130" t="s">
        <v>54</v>
      </c>
      <c r="AB5" s="130" t="s">
        <v>54</v>
      </c>
      <c r="AC5" s="130" t="s">
        <v>145</v>
      </c>
      <c r="AD5" s="130" t="s">
        <v>145</v>
      </c>
      <c r="AE5" s="130" t="s">
        <v>146</v>
      </c>
      <c r="AF5" s="130" t="s">
        <v>146</v>
      </c>
      <c r="AG5" s="130" t="s">
        <v>54</v>
      </c>
      <c r="AH5" s="130" t="s">
        <v>146</v>
      </c>
      <c r="AI5" s="130">
        <v>48.0</v>
      </c>
    </row>
    <row r="6" ht="174.0" customHeight="1">
      <c r="A6" s="67">
        <v>2.0</v>
      </c>
      <c r="B6" s="67" t="s">
        <v>1757</v>
      </c>
      <c r="C6" s="70" t="s">
        <v>1758</v>
      </c>
      <c r="D6" s="68" t="s">
        <v>1759</v>
      </c>
      <c r="E6" s="71" t="s">
        <v>234</v>
      </c>
      <c r="F6" s="67" t="s">
        <v>1760</v>
      </c>
      <c r="G6" s="67" t="s">
        <v>43</v>
      </c>
      <c r="H6" s="68" t="s">
        <v>1761</v>
      </c>
      <c r="I6" s="68" t="s">
        <v>44</v>
      </c>
      <c r="J6" s="68" t="s">
        <v>1762</v>
      </c>
      <c r="K6" s="116">
        <v>8.2285259854E10</v>
      </c>
      <c r="L6" s="85">
        <v>2471.0</v>
      </c>
      <c r="M6" s="67" t="s">
        <v>1763</v>
      </c>
      <c r="N6" s="67"/>
      <c r="O6" s="67"/>
      <c r="P6" s="67" t="s">
        <v>1764</v>
      </c>
      <c r="Q6" s="69" t="s">
        <v>1765</v>
      </c>
      <c r="R6" s="67" t="s">
        <v>1766</v>
      </c>
      <c r="S6" s="67" t="s">
        <v>1767</v>
      </c>
      <c r="T6" s="67" t="s">
        <v>1768</v>
      </c>
      <c r="U6" s="67" t="s">
        <v>1769</v>
      </c>
      <c r="V6" s="67" t="s">
        <v>1770</v>
      </c>
      <c r="W6" s="67"/>
      <c r="X6" s="67"/>
      <c r="Y6" s="67"/>
      <c r="Z6" s="131" t="s">
        <v>54</v>
      </c>
      <c r="AA6" s="131" t="s">
        <v>54</v>
      </c>
      <c r="AB6" s="131" t="s">
        <v>54</v>
      </c>
      <c r="AC6" s="131" t="s">
        <v>54</v>
      </c>
      <c r="AD6" s="131" t="s">
        <v>54</v>
      </c>
      <c r="AE6" s="131" t="s">
        <v>145</v>
      </c>
      <c r="AF6" s="131" t="s">
        <v>54</v>
      </c>
      <c r="AG6" s="131" t="s">
        <v>54</v>
      </c>
      <c r="AH6" s="131" t="s">
        <v>190</v>
      </c>
      <c r="AI6" s="131">
        <v>47.0</v>
      </c>
    </row>
    <row r="7" ht="120.75" customHeight="1">
      <c r="A7" s="68">
        <v>3.0</v>
      </c>
      <c r="B7" s="68" t="s">
        <v>1771</v>
      </c>
      <c r="C7" s="70" t="s">
        <v>1772</v>
      </c>
      <c r="D7" s="68" t="s">
        <v>1773</v>
      </c>
      <c r="E7" s="68" t="s">
        <v>1774</v>
      </c>
      <c r="F7" s="67" t="s">
        <v>1775</v>
      </c>
      <c r="G7" s="67" t="s">
        <v>43</v>
      </c>
      <c r="H7" s="68" t="s">
        <v>1776</v>
      </c>
      <c r="I7" s="68" t="s">
        <v>44</v>
      </c>
      <c r="J7" s="68" t="s">
        <v>1777</v>
      </c>
      <c r="K7" s="68">
        <v>8.7788752961E10</v>
      </c>
      <c r="L7" s="76">
        <v>2526.0</v>
      </c>
      <c r="M7" s="90" t="s">
        <v>1778</v>
      </c>
      <c r="N7" s="90" t="s">
        <v>1779</v>
      </c>
      <c r="O7" s="68"/>
      <c r="P7" s="68"/>
      <c r="Q7" s="90" t="s">
        <v>1780</v>
      </c>
      <c r="R7" s="90" t="s">
        <v>1781</v>
      </c>
      <c r="S7" s="67" t="s">
        <v>1782</v>
      </c>
      <c r="T7" s="76" t="s">
        <v>1783</v>
      </c>
      <c r="U7" s="76" t="s">
        <v>1784</v>
      </c>
      <c r="V7" s="76" t="s">
        <v>1785</v>
      </c>
      <c r="W7" s="68"/>
      <c r="X7" s="68"/>
      <c r="Y7" s="68"/>
      <c r="Z7" s="139" t="s">
        <v>54</v>
      </c>
      <c r="AA7" s="139" t="s">
        <v>54</v>
      </c>
      <c r="AB7" s="139" t="s">
        <v>54</v>
      </c>
      <c r="AC7" s="139" t="s">
        <v>54</v>
      </c>
      <c r="AD7" s="139" t="s">
        <v>54</v>
      </c>
      <c r="AE7" s="139" t="s">
        <v>145</v>
      </c>
      <c r="AF7" s="139" t="s">
        <v>145</v>
      </c>
      <c r="AG7" s="139" t="s">
        <v>54</v>
      </c>
      <c r="AH7" s="139" t="s">
        <v>145</v>
      </c>
      <c r="AI7" s="139">
        <v>47.0</v>
      </c>
    </row>
    <row r="8" ht="14.25" customHeight="1">
      <c r="A8" s="68">
        <v>4.0</v>
      </c>
      <c r="B8" s="68" t="s">
        <v>1786</v>
      </c>
      <c r="C8" s="68" t="s">
        <v>1787</v>
      </c>
      <c r="D8" s="68" t="s">
        <v>1788</v>
      </c>
      <c r="E8" s="68" t="s">
        <v>1789</v>
      </c>
      <c r="F8" s="68" t="s">
        <v>1790</v>
      </c>
      <c r="G8" s="67" t="s">
        <v>949</v>
      </c>
      <c r="H8" s="68"/>
      <c r="I8" s="68"/>
      <c r="J8" s="68"/>
      <c r="K8" s="68"/>
      <c r="L8" s="68"/>
      <c r="M8" s="68"/>
      <c r="N8" s="68"/>
      <c r="O8" s="68"/>
      <c r="P8" s="68"/>
      <c r="Q8" s="73"/>
      <c r="R8" s="68"/>
      <c r="S8" s="68"/>
      <c r="T8" s="68"/>
      <c r="U8" s="68"/>
      <c r="V8" s="68"/>
      <c r="W8" s="68"/>
      <c r="X8" s="68"/>
      <c r="Y8" s="68"/>
      <c r="Z8" s="131"/>
      <c r="AA8" s="131"/>
      <c r="AB8" s="131"/>
      <c r="AC8" s="131"/>
      <c r="AD8" s="131"/>
      <c r="AE8" s="131"/>
      <c r="AF8" s="131"/>
      <c r="AG8" s="131"/>
      <c r="AH8" s="131"/>
      <c r="AI8" s="131"/>
    </row>
    <row r="9" ht="14.25" customHeight="1">
      <c r="A9" s="68">
        <v>5.0</v>
      </c>
      <c r="B9" s="68" t="s">
        <v>1791</v>
      </c>
      <c r="C9" s="68" t="s">
        <v>1792</v>
      </c>
      <c r="D9" s="68" t="s">
        <v>1793</v>
      </c>
      <c r="E9" s="68" t="s">
        <v>1794</v>
      </c>
      <c r="F9" s="68" t="s">
        <v>1795</v>
      </c>
      <c r="G9" s="67" t="s">
        <v>949</v>
      </c>
      <c r="H9" s="68"/>
      <c r="I9" s="68"/>
      <c r="J9" s="68"/>
      <c r="K9" s="68"/>
      <c r="L9" s="68"/>
      <c r="M9" s="68"/>
      <c r="N9" s="68"/>
      <c r="O9" s="68"/>
      <c r="P9" s="68"/>
      <c r="Q9" s="83"/>
      <c r="R9" s="68"/>
      <c r="S9" s="68"/>
      <c r="T9" s="68"/>
      <c r="U9" s="68"/>
      <c r="V9" s="68"/>
      <c r="W9" s="68"/>
      <c r="X9" s="68"/>
      <c r="Y9" s="68"/>
      <c r="Z9" s="130"/>
      <c r="AA9" s="130"/>
      <c r="AB9" s="130"/>
      <c r="AC9" s="130"/>
      <c r="AD9" s="130"/>
      <c r="AE9" s="130"/>
      <c r="AF9" s="130"/>
      <c r="AG9" s="130"/>
      <c r="AH9" s="130"/>
      <c r="AI9" s="130"/>
    </row>
    <row r="10" ht="14.25" customHeight="1">
      <c r="A10" s="68">
        <v>6.0</v>
      </c>
      <c r="B10" s="68" t="s">
        <v>1796</v>
      </c>
      <c r="C10" s="68" t="s">
        <v>827</v>
      </c>
      <c r="D10" s="68"/>
      <c r="E10" s="68"/>
      <c r="F10" s="68" t="s">
        <v>1797</v>
      </c>
      <c r="G10" s="68" t="s">
        <v>1798</v>
      </c>
      <c r="H10" s="68"/>
      <c r="I10" s="68"/>
      <c r="J10" s="68"/>
      <c r="K10" s="68"/>
      <c r="L10" s="68"/>
      <c r="M10" s="68"/>
      <c r="N10" s="68"/>
      <c r="O10" s="68"/>
      <c r="P10" s="68"/>
      <c r="Q10" s="73"/>
      <c r="R10" s="68"/>
      <c r="S10" s="68"/>
      <c r="T10" s="68"/>
      <c r="U10" s="68"/>
      <c r="V10" s="68"/>
      <c r="W10" s="68"/>
      <c r="X10" s="68"/>
      <c r="Y10" s="68"/>
      <c r="Z10" s="131"/>
      <c r="AA10" s="131"/>
      <c r="AB10" s="131"/>
      <c r="AC10" s="131"/>
      <c r="AD10" s="131"/>
      <c r="AE10" s="131"/>
      <c r="AF10" s="131"/>
      <c r="AG10" s="131"/>
      <c r="AH10" s="131"/>
      <c r="AI10" s="131"/>
    </row>
    <row r="11" ht="14.25" customHeight="1">
      <c r="A11" s="68">
        <v>7.0</v>
      </c>
      <c r="B11" s="68" t="s">
        <v>1799</v>
      </c>
      <c r="C11" s="68" t="s">
        <v>827</v>
      </c>
      <c r="D11" s="68"/>
      <c r="E11" s="68"/>
      <c r="F11" s="68" t="s">
        <v>1800</v>
      </c>
      <c r="G11" s="68" t="s">
        <v>1801</v>
      </c>
      <c r="H11" s="68"/>
      <c r="I11" s="68"/>
      <c r="J11" s="68"/>
      <c r="K11" s="68"/>
      <c r="L11" s="68"/>
      <c r="M11" s="68"/>
      <c r="N11" s="68"/>
      <c r="O11" s="68"/>
      <c r="P11" s="68"/>
      <c r="Q11" s="83"/>
      <c r="R11" s="68"/>
      <c r="S11" s="68"/>
      <c r="T11" s="68"/>
      <c r="U11" s="68"/>
      <c r="V11" s="68"/>
      <c r="W11" s="68"/>
      <c r="X11" s="68"/>
      <c r="Y11" s="68"/>
      <c r="Z11" s="130"/>
      <c r="AA11" s="130"/>
      <c r="AB11" s="130"/>
      <c r="AC11" s="130"/>
      <c r="AD11" s="130"/>
      <c r="AE11" s="130"/>
      <c r="AF11" s="130"/>
      <c r="AG11" s="130"/>
      <c r="AH11" s="130"/>
      <c r="AI11" s="130"/>
    </row>
    <row r="12" ht="14.25" customHeight="1">
      <c r="A12" s="68">
        <v>8.0</v>
      </c>
      <c r="B12" s="68"/>
      <c r="C12" s="68"/>
      <c r="D12" s="68"/>
      <c r="E12" s="68"/>
      <c r="F12" s="68"/>
      <c r="G12" s="68"/>
      <c r="H12" s="68"/>
      <c r="I12" s="68"/>
      <c r="J12" s="68"/>
      <c r="K12" s="68"/>
      <c r="L12" s="68"/>
      <c r="M12" s="68"/>
      <c r="N12" s="68"/>
      <c r="O12" s="68"/>
      <c r="P12" s="68"/>
      <c r="Q12" s="68"/>
      <c r="R12" s="68"/>
      <c r="S12" s="68"/>
      <c r="T12" s="68"/>
      <c r="U12" s="68"/>
      <c r="V12" s="68"/>
      <c r="W12" s="68"/>
      <c r="X12" s="68"/>
      <c r="Y12" s="68"/>
      <c r="Z12" s="131"/>
      <c r="AA12" s="131"/>
      <c r="AB12" s="131"/>
      <c r="AC12" s="131"/>
      <c r="AD12" s="131"/>
      <c r="AE12" s="131"/>
      <c r="AF12" s="131"/>
      <c r="AG12" s="131"/>
      <c r="AH12" s="131"/>
      <c r="AI12" s="131"/>
    </row>
    <row r="13" ht="14.25" customHeight="1">
      <c r="A13" s="68">
        <v>9.0</v>
      </c>
      <c r="B13" s="68"/>
      <c r="C13" s="68"/>
      <c r="D13" s="68"/>
      <c r="E13" s="68"/>
      <c r="F13" s="68"/>
      <c r="G13" s="68"/>
      <c r="H13" s="68"/>
      <c r="I13" s="68"/>
      <c r="J13" s="68"/>
      <c r="K13" s="68"/>
      <c r="L13" s="68"/>
      <c r="M13" s="68"/>
      <c r="N13" s="68"/>
      <c r="O13" s="68"/>
      <c r="P13" s="68"/>
      <c r="Q13" s="68"/>
      <c r="R13" s="68"/>
      <c r="S13" s="68"/>
      <c r="T13" s="68"/>
      <c r="U13" s="68"/>
      <c r="V13" s="68"/>
      <c r="W13" s="68"/>
      <c r="X13" s="68"/>
      <c r="Y13" s="68"/>
      <c r="Z13" s="130"/>
      <c r="AA13" s="130"/>
      <c r="AB13" s="130"/>
      <c r="AC13" s="130"/>
      <c r="AD13" s="130"/>
      <c r="AE13" s="130"/>
      <c r="AF13" s="130"/>
      <c r="AG13" s="130"/>
      <c r="AH13" s="130"/>
      <c r="AI13" s="130"/>
    </row>
    <row r="14" ht="14.25" customHeight="1">
      <c r="A14" s="68">
        <v>10.0</v>
      </c>
      <c r="B14" s="68"/>
      <c r="C14" s="68"/>
      <c r="D14" s="68"/>
      <c r="E14" s="68"/>
      <c r="F14" s="68"/>
      <c r="G14" s="68"/>
      <c r="H14" s="68"/>
      <c r="I14" s="68"/>
      <c r="J14" s="68"/>
      <c r="K14" s="68"/>
      <c r="L14" s="68"/>
      <c r="M14" s="68"/>
      <c r="N14" s="68"/>
      <c r="O14" s="68"/>
      <c r="P14" s="68"/>
      <c r="Q14" s="68"/>
      <c r="R14" s="68"/>
      <c r="S14" s="68"/>
      <c r="T14" s="68"/>
      <c r="U14" s="68"/>
      <c r="V14" s="68"/>
      <c r="W14" s="68"/>
      <c r="X14" s="68"/>
      <c r="Y14" s="68"/>
      <c r="Z14" s="131"/>
      <c r="AA14" s="131"/>
      <c r="AB14" s="131"/>
      <c r="AC14" s="131"/>
      <c r="AD14" s="131"/>
      <c r="AE14" s="131"/>
      <c r="AF14" s="131"/>
      <c r="AG14" s="131"/>
      <c r="AH14" s="131"/>
      <c r="AI14" s="131"/>
    </row>
    <row r="15" ht="14.25" customHeight="1">
      <c r="Z15" s="25"/>
      <c r="AA15" s="25"/>
      <c r="AB15" s="25"/>
      <c r="AC15" s="25"/>
      <c r="AD15" s="25"/>
      <c r="AE15" s="25"/>
      <c r="AF15" s="25"/>
      <c r="AG15" s="25"/>
      <c r="AH15" s="25"/>
      <c r="AI15" s="25"/>
    </row>
    <row r="16" ht="14.25" customHeight="1">
      <c r="Z16" s="26"/>
      <c r="AA16" s="26"/>
      <c r="AB16" s="26"/>
      <c r="AC16" s="26"/>
      <c r="AD16" s="26"/>
      <c r="AE16" s="26"/>
      <c r="AF16" s="26"/>
      <c r="AG16" s="26"/>
      <c r="AH16" s="26"/>
      <c r="AI16" s="26"/>
    </row>
    <row r="17" ht="14.25" customHeight="1">
      <c r="Z17" s="25"/>
      <c r="AA17" s="25"/>
      <c r="AB17" s="25"/>
      <c r="AC17" s="25"/>
      <c r="AD17" s="25"/>
      <c r="AE17" s="25"/>
      <c r="AF17" s="25"/>
      <c r="AG17" s="25"/>
      <c r="AH17" s="25"/>
      <c r="AI17" s="25"/>
    </row>
    <row r="18" ht="14.25" customHeight="1">
      <c r="C18" s="62" t="s">
        <v>216</v>
      </c>
      <c r="D18" s="62">
        <v>3.0</v>
      </c>
      <c r="Z18" s="26"/>
      <c r="AA18" s="26"/>
      <c r="AB18" s="26"/>
      <c r="AC18" s="26"/>
      <c r="AD18" s="26"/>
      <c r="AE18" s="26"/>
      <c r="AF18" s="26"/>
      <c r="AG18" s="26"/>
      <c r="AH18" s="26"/>
      <c r="AI18" s="26"/>
    </row>
    <row r="19" ht="14.25" customHeight="1">
      <c r="C19" s="62" t="s">
        <v>1802</v>
      </c>
      <c r="D19" s="62">
        <v>2.0</v>
      </c>
      <c r="Z19" s="25"/>
      <c r="AA19" s="25"/>
      <c r="AB19" s="25"/>
      <c r="AC19" s="25"/>
      <c r="AD19" s="25"/>
      <c r="AE19" s="25"/>
      <c r="AF19" s="25"/>
      <c r="AG19" s="25"/>
      <c r="AH19" s="25"/>
      <c r="AI19" s="25"/>
    </row>
    <row r="20" ht="14.25" customHeight="1">
      <c r="Z20" s="26"/>
      <c r="AA20" s="26"/>
      <c r="AB20" s="26"/>
      <c r="AC20" s="26"/>
      <c r="AD20" s="26"/>
      <c r="AE20" s="26"/>
      <c r="AF20" s="26"/>
      <c r="AG20" s="26"/>
      <c r="AH20" s="26"/>
      <c r="AI20" s="26"/>
    </row>
    <row r="21" ht="14.25" customHeight="1">
      <c r="Z21" s="25"/>
      <c r="AA21" s="25"/>
      <c r="AB21" s="25"/>
      <c r="AC21" s="25"/>
      <c r="AD21" s="25"/>
      <c r="AE21" s="25"/>
      <c r="AF21" s="25"/>
      <c r="AG21" s="25"/>
      <c r="AH21" s="25"/>
      <c r="AI21" s="25"/>
    </row>
    <row r="22" ht="14.25" customHeight="1">
      <c r="Z22" s="26"/>
      <c r="AA22" s="26"/>
      <c r="AB22" s="26"/>
      <c r="AC22" s="26"/>
      <c r="AD22" s="26"/>
      <c r="AE22" s="26"/>
      <c r="AF22" s="26"/>
      <c r="AG22" s="26"/>
      <c r="AH22" s="26"/>
      <c r="AI22" s="26"/>
    </row>
    <row r="23" ht="14.25" customHeight="1">
      <c r="Z23" s="25"/>
      <c r="AA23" s="25"/>
      <c r="AB23" s="25"/>
      <c r="AC23" s="25"/>
      <c r="AD23" s="25"/>
      <c r="AE23" s="25"/>
      <c r="AF23" s="25"/>
      <c r="AG23" s="25"/>
      <c r="AH23" s="25"/>
      <c r="AI23" s="25"/>
    </row>
    <row r="24" ht="14.25" customHeight="1">
      <c r="Z24" s="62"/>
      <c r="AA24" s="62"/>
      <c r="AB24" s="62"/>
      <c r="AC24" s="62"/>
      <c r="AD24" s="62"/>
      <c r="AE24" s="62"/>
      <c r="AF24" s="62"/>
      <c r="AG24" s="62"/>
      <c r="AH24" s="62"/>
      <c r="AI24" s="62"/>
    </row>
    <row r="25" ht="14.25" customHeight="1">
      <c r="Z25" s="62"/>
      <c r="AA25" s="62"/>
      <c r="AB25" s="62"/>
      <c r="AC25" s="62"/>
      <c r="AD25" s="62"/>
      <c r="AE25" s="62"/>
      <c r="AF25" s="62"/>
      <c r="AG25" s="62"/>
      <c r="AH25" s="62"/>
      <c r="AI25" s="62"/>
    </row>
    <row r="26" ht="14.25" customHeight="1">
      <c r="Z26" s="62"/>
      <c r="AA26" s="62"/>
      <c r="AB26" s="62"/>
      <c r="AC26" s="62"/>
      <c r="AD26" s="62"/>
      <c r="AE26" s="62"/>
      <c r="AF26" s="62"/>
      <c r="AG26" s="62"/>
      <c r="AH26" s="62"/>
      <c r="AI26" s="62"/>
    </row>
    <row r="27" ht="14.25" customHeight="1">
      <c r="Z27" s="62"/>
      <c r="AA27" s="62"/>
      <c r="AB27" s="62"/>
      <c r="AC27" s="62"/>
      <c r="AD27" s="62"/>
      <c r="AE27" s="62"/>
      <c r="AF27" s="62"/>
      <c r="AG27" s="62"/>
      <c r="AH27" s="62"/>
      <c r="AI27" s="62"/>
    </row>
    <row r="28" ht="14.25" customHeight="1">
      <c r="Z28" s="62"/>
      <c r="AA28" s="62"/>
      <c r="AB28" s="62"/>
      <c r="AC28" s="62"/>
      <c r="AD28" s="62"/>
      <c r="AE28" s="62"/>
      <c r="AF28" s="62"/>
      <c r="AG28" s="62"/>
      <c r="AH28" s="62"/>
      <c r="AI28" s="62"/>
    </row>
    <row r="29" ht="14.25" customHeight="1">
      <c r="Z29" s="62"/>
      <c r="AA29" s="62"/>
      <c r="AB29" s="62"/>
      <c r="AC29" s="62"/>
      <c r="AD29" s="62"/>
      <c r="AE29" s="62"/>
      <c r="AF29" s="62"/>
      <c r="AG29" s="62"/>
      <c r="AH29" s="62"/>
      <c r="AI29" s="62"/>
    </row>
    <row r="30" ht="14.25" customHeight="1">
      <c r="Z30" s="62"/>
      <c r="AA30" s="62"/>
      <c r="AB30" s="62"/>
      <c r="AC30" s="62"/>
      <c r="AD30" s="62"/>
      <c r="AE30" s="62"/>
      <c r="AF30" s="62"/>
      <c r="AG30" s="62"/>
      <c r="AH30" s="62"/>
      <c r="AI30" s="62"/>
    </row>
    <row r="31" ht="14.25" customHeight="1">
      <c r="Z31" s="62"/>
      <c r="AA31" s="62"/>
      <c r="AB31" s="62"/>
      <c r="AC31" s="62"/>
      <c r="AD31" s="62"/>
      <c r="AE31" s="62"/>
      <c r="AF31" s="62"/>
      <c r="AG31" s="62"/>
      <c r="AH31" s="62"/>
      <c r="AI31" s="62"/>
    </row>
    <row r="32" ht="14.25" customHeight="1">
      <c r="Z32" s="62"/>
      <c r="AA32" s="62"/>
      <c r="AB32" s="62"/>
      <c r="AC32" s="62"/>
      <c r="AD32" s="62"/>
      <c r="AE32" s="62"/>
      <c r="AF32" s="62"/>
      <c r="AG32" s="62"/>
      <c r="AH32" s="62"/>
      <c r="AI32" s="62"/>
    </row>
    <row r="33" ht="14.25" customHeight="1">
      <c r="Z33" s="62"/>
      <c r="AA33" s="62"/>
      <c r="AB33" s="62"/>
      <c r="AC33" s="62"/>
      <c r="AD33" s="62"/>
      <c r="AE33" s="62"/>
      <c r="AF33" s="62"/>
      <c r="AG33" s="62"/>
      <c r="AH33" s="62"/>
      <c r="AI33" s="62"/>
    </row>
    <row r="34" ht="14.25" customHeight="1">
      <c r="Z34" s="62"/>
      <c r="AA34" s="62"/>
      <c r="AB34" s="62"/>
      <c r="AC34" s="62"/>
      <c r="AD34" s="62"/>
      <c r="AE34" s="62"/>
      <c r="AF34" s="62"/>
      <c r="AG34" s="62"/>
      <c r="AH34" s="62"/>
      <c r="AI34" s="62"/>
    </row>
    <row r="35" ht="14.25" customHeight="1">
      <c r="Z35" s="62"/>
      <c r="AA35" s="62"/>
      <c r="AB35" s="62"/>
      <c r="AC35" s="62"/>
      <c r="AD35" s="62"/>
      <c r="AE35" s="62"/>
      <c r="AF35" s="62"/>
      <c r="AG35" s="62"/>
      <c r="AH35" s="62"/>
      <c r="AI35" s="62"/>
    </row>
    <row r="36" ht="14.25" customHeight="1">
      <c r="Z36" s="62"/>
      <c r="AA36" s="62"/>
      <c r="AB36" s="62"/>
      <c r="AC36" s="62"/>
      <c r="AD36" s="62"/>
      <c r="AE36" s="62"/>
      <c r="AF36" s="62"/>
      <c r="AG36" s="62"/>
      <c r="AH36" s="62"/>
      <c r="AI36" s="62"/>
    </row>
    <row r="37" ht="14.25" customHeight="1">
      <c r="Z37" s="62"/>
      <c r="AA37" s="62"/>
      <c r="AB37" s="62"/>
      <c r="AC37" s="62"/>
      <c r="AD37" s="62"/>
      <c r="AE37" s="62"/>
      <c r="AF37" s="62"/>
      <c r="AG37" s="62"/>
      <c r="AH37" s="62"/>
      <c r="AI37" s="62"/>
    </row>
    <row r="38" ht="14.25" customHeight="1">
      <c r="Z38" s="62"/>
      <c r="AA38" s="62"/>
      <c r="AB38" s="62"/>
      <c r="AC38" s="62"/>
      <c r="AD38" s="62"/>
      <c r="AE38" s="62"/>
      <c r="AF38" s="62"/>
      <c r="AG38" s="62"/>
      <c r="AH38" s="62"/>
      <c r="AI38" s="62"/>
    </row>
    <row r="39" ht="14.25" customHeight="1">
      <c r="Z39" s="62"/>
      <c r="AA39" s="62"/>
      <c r="AB39" s="62"/>
      <c r="AC39" s="62"/>
      <c r="AD39" s="62"/>
      <c r="AE39" s="62"/>
      <c r="AF39" s="62"/>
      <c r="AG39" s="62"/>
      <c r="AH39" s="62"/>
      <c r="AI39" s="62"/>
    </row>
    <row r="40" ht="14.25" customHeight="1">
      <c r="Z40" s="62"/>
      <c r="AA40" s="62"/>
      <c r="AB40" s="62"/>
      <c r="AC40" s="62"/>
      <c r="AD40" s="62"/>
      <c r="AE40" s="62"/>
      <c r="AF40" s="62"/>
      <c r="AG40" s="62"/>
      <c r="AH40" s="62"/>
      <c r="AI40" s="62"/>
    </row>
    <row r="41" ht="14.25" customHeight="1">
      <c r="Z41" s="62"/>
      <c r="AA41" s="62"/>
      <c r="AB41" s="62"/>
      <c r="AC41" s="62"/>
      <c r="AD41" s="62"/>
      <c r="AE41" s="62"/>
      <c r="AF41" s="62"/>
      <c r="AG41" s="62"/>
      <c r="AH41" s="62"/>
      <c r="AI41" s="62"/>
    </row>
    <row r="42" ht="14.25" customHeight="1">
      <c r="Z42" s="62"/>
      <c r="AA42" s="62"/>
      <c r="AB42" s="62"/>
      <c r="AC42" s="62"/>
      <c r="AD42" s="62"/>
      <c r="AE42" s="62"/>
      <c r="AF42" s="62"/>
      <c r="AG42" s="62"/>
      <c r="AH42" s="62"/>
      <c r="AI42" s="62"/>
    </row>
    <row r="43" ht="14.25" customHeight="1">
      <c r="Z43" s="62"/>
      <c r="AA43" s="62"/>
      <c r="AB43" s="62"/>
      <c r="AC43" s="62"/>
      <c r="AD43" s="62"/>
      <c r="AE43" s="62"/>
      <c r="AF43" s="62"/>
      <c r="AG43" s="62"/>
      <c r="AH43" s="62"/>
      <c r="AI43" s="62"/>
    </row>
    <row r="44" ht="14.25" customHeight="1">
      <c r="Z44" s="62"/>
      <c r="AA44" s="62"/>
      <c r="AB44" s="62"/>
      <c r="AC44" s="62"/>
      <c r="AD44" s="62"/>
      <c r="AE44" s="62"/>
      <c r="AF44" s="62"/>
      <c r="AG44" s="62"/>
      <c r="AH44" s="62"/>
      <c r="AI44" s="62"/>
    </row>
    <row r="45" ht="14.25" customHeight="1">
      <c r="Z45" s="62"/>
      <c r="AA45" s="62"/>
      <c r="AB45" s="62"/>
      <c r="AC45" s="62"/>
      <c r="AD45" s="62"/>
      <c r="AE45" s="62"/>
      <c r="AF45" s="62"/>
      <c r="AG45" s="62"/>
      <c r="AH45" s="62"/>
      <c r="AI45" s="62"/>
    </row>
    <row r="46" ht="14.25" customHeight="1">
      <c r="Z46" s="62"/>
      <c r="AA46" s="62"/>
      <c r="AB46" s="62"/>
      <c r="AC46" s="62"/>
      <c r="AD46" s="62"/>
      <c r="AE46" s="62"/>
      <c r="AF46" s="62"/>
      <c r="AG46" s="62"/>
      <c r="AH46" s="62"/>
      <c r="AI46" s="62"/>
    </row>
    <row r="47" ht="14.25" customHeight="1">
      <c r="Z47" s="62"/>
      <c r="AA47" s="62"/>
      <c r="AB47" s="62"/>
      <c r="AC47" s="62"/>
      <c r="AD47" s="62"/>
      <c r="AE47" s="62"/>
      <c r="AF47" s="62"/>
      <c r="AG47" s="62"/>
      <c r="AH47" s="62"/>
      <c r="AI47" s="62"/>
    </row>
    <row r="48" ht="14.25" customHeight="1">
      <c r="Z48" s="62"/>
      <c r="AA48" s="62"/>
      <c r="AB48" s="62"/>
      <c r="AC48" s="62"/>
      <c r="AD48" s="62"/>
      <c r="AE48" s="62"/>
      <c r="AF48" s="62"/>
      <c r="AG48" s="62"/>
      <c r="AH48" s="62"/>
      <c r="AI48" s="62"/>
    </row>
    <row r="49" ht="14.25" customHeight="1">
      <c r="Z49" s="62"/>
      <c r="AA49" s="62"/>
      <c r="AB49" s="62"/>
      <c r="AC49" s="62"/>
      <c r="AD49" s="62"/>
      <c r="AE49" s="62"/>
      <c r="AF49" s="62"/>
      <c r="AG49" s="62"/>
      <c r="AH49" s="62"/>
      <c r="AI49" s="62"/>
    </row>
    <row r="50" ht="14.25" customHeight="1">
      <c r="Z50" s="62"/>
      <c r="AA50" s="62"/>
      <c r="AB50" s="62"/>
      <c r="AC50" s="62"/>
      <c r="AD50" s="62"/>
      <c r="AE50" s="62"/>
      <c r="AF50" s="62"/>
      <c r="AG50" s="62"/>
      <c r="AH50" s="62"/>
      <c r="AI50" s="62"/>
    </row>
    <row r="51" ht="14.25" customHeight="1">
      <c r="Z51" s="62"/>
      <c r="AA51" s="62"/>
      <c r="AB51" s="62"/>
      <c r="AC51" s="62"/>
      <c r="AD51" s="62"/>
      <c r="AE51" s="62"/>
      <c r="AF51" s="62"/>
      <c r="AG51" s="62"/>
      <c r="AH51" s="62"/>
      <c r="AI51" s="62"/>
    </row>
    <row r="52" ht="14.25" customHeight="1">
      <c r="Z52" s="62"/>
      <c r="AA52" s="62"/>
      <c r="AB52" s="62"/>
      <c r="AC52" s="62"/>
      <c r="AD52" s="62"/>
      <c r="AE52" s="62"/>
      <c r="AF52" s="62"/>
      <c r="AG52" s="62"/>
      <c r="AH52" s="62"/>
      <c r="AI52" s="62"/>
    </row>
    <row r="53" ht="14.25" customHeight="1">
      <c r="Z53" s="62"/>
      <c r="AA53" s="62"/>
      <c r="AB53" s="62"/>
      <c r="AC53" s="62"/>
      <c r="AD53" s="62"/>
      <c r="AE53" s="62"/>
      <c r="AF53" s="62"/>
      <c r="AG53" s="62"/>
      <c r="AH53" s="62"/>
      <c r="AI53" s="62"/>
    </row>
    <row r="54" ht="14.25" customHeight="1">
      <c r="Z54" s="62"/>
      <c r="AA54" s="62"/>
      <c r="AB54" s="62"/>
      <c r="AC54" s="62"/>
      <c r="AD54" s="62"/>
      <c r="AE54" s="62"/>
      <c r="AF54" s="62"/>
      <c r="AG54" s="62"/>
      <c r="AH54" s="62"/>
      <c r="AI54" s="62"/>
    </row>
    <row r="55" ht="14.25" customHeight="1">
      <c r="Z55" s="62"/>
      <c r="AA55" s="62"/>
      <c r="AB55" s="62"/>
      <c r="AC55" s="62"/>
      <c r="AD55" s="62"/>
      <c r="AE55" s="62"/>
      <c r="AF55" s="62"/>
      <c r="AG55" s="62"/>
      <c r="AH55" s="62"/>
      <c r="AI55" s="62"/>
    </row>
    <row r="56" ht="14.25" customHeight="1">
      <c r="Z56" s="62"/>
      <c r="AA56" s="62"/>
      <c r="AB56" s="62"/>
      <c r="AC56" s="62"/>
      <c r="AD56" s="62"/>
      <c r="AE56" s="62"/>
      <c r="AF56" s="62"/>
      <c r="AG56" s="62"/>
      <c r="AH56" s="62"/>
      <c r="AI56" s="62"/>
    </row>
    <row r="57" ht="14.25" customHeight="1">
      <c r="Z57" s="62"/>
      <c r="AA57" s="62"/>
      <c r="AB57" s="62"/>
      <c r="AC57" s="62"/>
      <c r="AD57" s="62"/>
      <c r="AE57" s="62"/>
      <c r="AF57" s="62"/>
      <c r="AG57" s="62"/>
      <c r="AH57" s="62"/>
      <c r="AI57" s="62"/>
    </row>
    <row r="58" ht="14.25" customHeight="1">
      <c r="Z58" s="62"/>
      <c r="AA58" s="62"/>
      <c r="AB58" s="62"/>
      <c r="AC58" s="62"/>
      <c r="AD58" s="62"/>
      <c r="AE58" s="62"/>
      <c r="AF58" s="62"/>
      <c r="AG58" s="62"/>
      <c r="AH58" s="62"/>
      <c r="AI58" s="62"/>
    </row>
    <row r="59" ht="14.25" customHeight="1">
      <c r="Z59" s="62"/>
      <c r="AA59" s="62"/>
      <c r="AB59" s="62"/>
      <c r="AC59" s="62"/>
      <c r="AD59" s="62"/>
      <c r="AE59" s="62"/>
      <c r="AF59" s="62"/>
      <c r="AG59" s="62"/>
      <c r="AH59" s="62"/>
      <c r="AI59" s="62"/>
    </row>
    <row r="60" ht="14.25" customHeight="1">
      <c r="Z60" s="62"/>
      <c r="AA60" s="62"/>
      <c r="AB60" s="62"/>
      <c r="AC60" s="62"/>
      <c r="AD60" s="62"/>
      <c r="AE60" s="62"/>
      <c r="AF60" s="62"/>
      <c r="AG60" s="62"/>
      <c r="AH60" s="62"/>
      <c r="AI60" s="62"/>
    </row>
    <row r="61" ht="14.25" customHeight="1">
      <c r="Z61" s="62"/>
      <c r="AA61" s="62"/>
      <c r="AB61" s="62"/>
      <c r="AC61" s="62"/>
      <c r="AD61" s="62"/>
      <c r="AE61" s="62"/>
      <c r="AF61" s="62"/>
      <c r="AG61" s="62"/>
      <c r="AH61" s="62"/>
      <c r="AI61" s="62"/>
    </row>
    <row r="62" ht="14.25" customHeight="1">
      <c r="Z62" s="62"/>
      <c r="AA62" s="62"/>
      <c r="AB62" s="62"/>
      <c r="AC62" s="62"/>
      <c r="AD62" s="62"/>
      <c r="AE62" s="62"/>
      <c r="AF62" s="62"/>
      <c r="AG62" s="62"/>
      <c r="AH62" s="62"/>
      <c r="AI62" s="62"/>
    </row>
    <row r="63" ht="14.25" customHeight="1">
      <c r="Z63" s="62"/>
      <c r="AA63" s="62"/>
      <c r="AB63" s="62"/>
      <c r="AC63" s="62"/>
      <c r="AD63" s="62"/>
      <c r="AE63" s="62"/>
      <c r="AF63" s="62"/>
      <c r="AG63" s="62"/>
      <c r="AH63" s="62"/>
      <c r="AI63" s="62"/>
    </row>
    <row r="64" ht="14.25" customHeight="1">
      <c r="Z64" s="62"/>
      <c r="AA64" s="62"/>
      <c r="AB64" s="62"/>
      <c r="AC64" s="62"/>
      <c r="AD64" s="62"/>
      <c r="AE64" s="62"/>
      <c r="AF64" s="62"/>
      <c r="AG64" s="62"/>
      <c r="AH64" s="62"/>
      <c r="AI64" s="62"/>
    </row>
    <row r="65" ht="14.25" customHeight="1">
      <c r="Z65" s="62"/>
      <c r="AA65" s="62"/>
      <c r="AB65" s="62"/>
      <c r="AC65" s="62"/>
      <c r="AD65" s="62"/>
      <c r="AE65" s="62"/>
      <c r="AF65" s="62"/>
      <c r="AG65" s="62"/>
      <c r="AH65" s="62"/>
      <c r="AI65" s="62"/>
    </row>
    <row r="66" ht="14.25" customHeight="1">
      <c r="Z66" s="62"/>
      <c r="AA66" s="62"/>
      <c r="AB66" s="62"/>
      <c r="AC66" s="62"/>
      <c r="AD66" s="62"/>
      <c r="AE66" s="62"/>
      <c r="AF66" s="62"/>
      <c r="AG66" s="62"/>
      <c r="AH66" s="62"/>
      <c r="AI66" s="62"/>
    </row>
    <row r="67" ht="14.25" customHeight="1">
      <c r="Z67" s="62"/>
      <c r="AA67" s="62"/>
      <c r="AB67" s="62"/>
      <c r="AC67" s="62"/>
      <c r="AD67" s="62"/>
      <c r="AE67" s="62"/>
      <c r="AF67" s="62"/>
      <c r="AG67" s="62"/>
      <c r="AH67" s="62"/>
      <c r="AI67" s="62"/>
    </row>
    <row r="68" ht="14.25" customHeight="1">
      <c r="Z68" s="62"/>
      <c r="AA68" s="62"/>
      <c r="AB68" s="62"/>
      <c r="AC68" s="62"/>
      <c r="AD68" s="62"/>
      <c r="AE68" s="62"/>
      <c r="AF68" s="62"/>
      <c r="AG68" s="62"/>
      <c r="AH68" s="62"/>
      <c r="AI68" s="62"/>
    </row>
    <row r="69" ht="14.25" customHeight="1">
      <c r="Z69" s="62"/>
      <c r="AA69" s="62"/>
      <c r="AB69" s="62"/>
      <c r="AC69" s="62"/>
      <c r="AD69" s="62"/>
      <c r="AE69" s="62"/>
      <c r="AF69" s="62"/>
      <c r="AG69" s="62"/>
      <c r="AH69" s="62"/>
      <c r="AI69" s="62"/>
    </row>
    <row r="70" ht="14.25" customHeight="1">
      <c r="Z70" s="62"/>
      <c r="AA70" s="62"/>
      <c r="AB70" s="62"/>
      <c r="AC70" s="62"/>
      <c r="AD70" s="62"/>
      <c r="AE70" s="62"/>
      <c r="AF70" s="62"/>
      <c r="AG70" s="62"/>
      <c r="AH70" s="62"/>
      <c r="AI70" s="62"/>
    </row>
    <row r="71" ht="14.25" customHeight="1">
      <c r="Z71" s="62"/>
      <c r="AA71" s="62"/>
      <c r="AB71" s="62"/>
      <c r="AC71" s="62"/>
      <c r="AD71" s="62"/>
      <c r="AE71" s="62"/>
      <c r="AF71" s="62"/>
      <c r="AG71" s="62"/>
      <c r="AH71" s="62"/>
      <c r="AI71" s="62"/>
    </row>
    <row r="72" ht="14.25" customHeight="1">
      <c r="Z72" s="62"/>
      <c r="AA72" s="62"/>
      <c r="AB72" s="62"/>
      <c r="AC72" s="62"/>
      <c r="AD72" s="62"/>
      <c r="AE72" s="62"/>
      <c r="AF72" s="62"/>
      <c r="AG72" s="62"/>
      <c r="AH72" s="62"/>
      <c r="AI72" s="62"/>
    </row>
    <row r="73" ht="14.25" customHeight="1">
      <c r="Z73" s="62"/>
      <c r="AA73" s="62"/>
      <c r="AB73" s="62"/>
      <c r="AC73" s="62"/>
      <c r="AD73" s="62"/>
      <c r="AE73" s="62"/>
      <c r="AF73" s="62"/>
      <c r="AG73" s="62"/>
      <c r="AH73" s="62"/>
      <c r="AI73" s="62"/>
    </row>
    <row r="74" ht="14.25" customHeight="1">
      <c r="Z74" s="62"/>
      <c r="AA74" s="62"/>
      <c r="AB74" s="62"/>
      <c r="AC74" s="62"/>
      <c r="AD74" s="62"/>
      <c r="AE74" s="62"/>
      <c r="AF74" s="62"/>
      <c r="AG74" s="62"/>
      <c r="AH74" s="62"/>
      <c r="AI74" s="62"/>
    </row>
    <row r="75" ht="14.25" customHeight="1">
      <c r="Z75" s="62"/>
      <c r="AA75" s="62"/>
      <c r="AB75" s="62"/>
      <c r="AC75" s="62"/>
      <c r="AD75" s="62"/>
      <c r="AE75" s="62"/>
      <c r="AF75" s="62"/>
      <c r="AG75" s="62"/>
      <c r="AH75" s="62"/>
      <c r="AI75" s="62"/>
    </row>
    <row r="76" ht="14.25" customHeight="1">
      <c r="Z76" s="62"/>
      <c r="AA76" s="62"/>
      <c r="AB76" s="62"/>
      <c r="AC76" s="62"/>
      <c r="AD76" s="62"/>
      <c r="AE76" s="62"/>
      <c r="AF76" s="62"/>
      <c r="AG76" s="62"/>
      <c r="AH76" s="62"/>
      <c r="AI76" s="62"/>
    </row>
    <row r="77" ht="14.25" customHeight="1">
      <c r="Z77" s="62"/>
      <c r="AA77" s="62"/>
      <c r="AB77" s="62"/>
      <c r="AC77" s="62"/>
      <c r="AD77" s="62"/>
      <c r="AE77" s="62"/>
      <c r="AF77" s="62"/>
      <c r="AG77" s="62"/>
      <c r="AH77" s="62"/>
      <c r="AI77" s="62"/>
    </row>
    <row r="78" ht="14.25" customHeight="1">
      <c r="Z78" s="62"/>
      <c r="AA78" s="62"/>
      <c r="AB78" s="62"/>
      <c r="AC78" s="62"/>
      <c r="AD78" s="62"/>
      <c r="AE78" s="62"/>
      <c r="AF78" s="62"/>
      <c r="AG78" s="62"/>
      <c r="AH78" s="62"/>
      <c r="AI78" s="62"/>
    </row>
    <row r="79" ht="14.25" customHeight="1">
      <c r="Z79" s="62"/>
      <c r="AA79" s="62"/>
      <c r="AB79" s="62"/>
      <c r="AC79" s="62"/>
      <c r="AD79" s="62"/>
      <c r="AE79" s="62"/>
      <c r="AF79" s="62"/>
      <c r="AG79" s="62"/>
      <c r="AH79" s="62"/>
      <c r="AI79" s="62"/>
    </row>
    <row r="80" ht="14.25" customHeight="1">
      <c r="Z80" s="62"/>
      <c r="AA80" s="62"/>
      <c r="AB80" s="62"/>
      <c r="AC80" s="62"/>
      <c r="AD80" s="62"/>
      <c r="AE80" s="62"/>
      <c r="AF80" s="62"/>
      <c r="AG80" s="62"/>
      <c r="AH80" s="62"/>
      <c r="AI80" s="62"/>
    </row>
    <row r="81" ht="14.25" customHeight="1">
      <c r="Z81" s="62"/>
      <c r="AA81" s="62"/>
      <c r="AB81" s="62"/>
      <c r="AC81" s="62"/>
      <c r="AD81" s="62"/>
      <c r="AE81" s="62"/>
      <c r="AF81" s="62"/>
      <c r="AG81" s="62"/>
      <c r="AH81" s="62"/>
      <c r="AI81" s="62"/>
    </row>
    <row r="82" ht="14.25" customHeight="1">
      <c r="Z82" s="62"/>
      <c r="AA82" s="62"/>
      <c r="AB82" s="62"/>
      <c r="AC82" s="62"/>
      <c r="AD82" s="62"/>
      <c r="AE82" s="62"/>
      <c r="AF82" s="62"/>
      <c r="AG82" s="62"/>
      <c r="AH82" s="62"/>
      <c r="AI82" s="62"/>
    </row>
    <row r="83" ht="14.25" customHeight="1">
      <c r="Z83" s="62"/>
      <c r="AA83" s="62"/>
      <c r="AB83" s="62"/>
      <c r="AC83" s="62"/>
      <c r="AD83" s="62"/>
      <c r="AE83" s="62"/>
      <c r="AF83" s="62"/>
      <c r="AG83" s="62"/>
      <c r="AH83" s="62"/>
      <c r="AI83" s="62"/>
    </row>
    <row r="84" ht="14.25" customHeight="1">
      <c r="Z84" s="62"/>
      <c r="AA84" s="62"/>
      <c r="AB84" s="62"/>
      <c r="AC84" s="62"/>
      <c r="AD84" s="62"/>
      <c r="AE84" s="62"/>
      <c r="AF84" s="62"/>
      <c r="AG84" s="62"/>
      <c r="AH84" s="62"/>
      <c r="AI84" s="62"/>
    </row>
    <row r="85" ht="14.25" customHeight="1">
      <c r="Z85" s="62"/>
      <c r="AA85" s="62"/>
      <c r="AB85" s="62"/>
      <c r="AC85" s="62"/>
      <c r="AD85" s="62"/>
      <c r="AE85" s="62"/>
      <c r="AF85" s="62"/>
      <c r="AG85" s="62"/>
      <c r="AH85" s="62"/>
      <c r="AI85" s="62"/>
    </row>
    <row r="86" ht="14.25" customHeight="1">
      <c r="Z86" s="62"/>
      <c r="AA86" s="62"/>
      <c r="AB86" s="62"/>
      <c r="AC86" s="62"/>
      <c r="AD86" s="62"/>
      <c r="AE86" s="62"/>
      <c r="AF86" s="62"/>
      <c r="AG86" s="62"/>
      <c r="AH86" s="62"/>
      <c r="AI86" s="62"/>
    </row>
    <row r="87" ht="14.25" customHeight="1">
      <c r="Z87" s="62"/>
      <c r="AA87" s="62"/>
      <c r="AB87" s="62"/>
      <c r="AC87" s="62"/>
      <c r="AD87" s="62"/>
      <c r="AE87" s="62"/>
      <c r="AF87" s="62"/>
      <c r="AG87" s="62"/>
      <c r="AH87" s="62"/>
      <c r="AI87" s="62"/>
    </row>
    <row r="88" ht="14.25" customHeight="1">
      <c r="Z88" s="62"/>
      <c r="AA88" s="62"/>
      <c r="AB88" s="62"/>
      <c r="AC88" s="62"/>
      <c r="AD88" s="62"/>
      <c r="AE88" s="62"/>
      <c r="AF88" s="62"/>
      <c r="AG88" s="62"/>
      <c r="AH88" s="62"/>
      <c r="AI88" s="62"/>
    </row>
    <row r="89" ht="14.25" customHeight="1">
      <c r="Z89" s="62"/>
      <c r="AA89" s="62"/>
      <c r="AB89" s="62"/>
      <c r="AC89" s="62"/>
      <c r="AD89" s="62"/>
      <c r="AE89" s="62"/>
      <c r="AF89" s="62"/>
      <c r="AG89" s="62"/>
      <c r="AH89" s="62"/>
      <c r="AI89" s="62"/>
    </row>
    <row r="90" ht="14.25" customHeight="1">
      <c r="Z90" s="62"/>
      <c r="AA90" s="62"/>
      <c r="AB90" s="62"/>
      <c r="AC90" s="62"/>
      <c r="AD90" s="62"/>
      <c r="AE90" s="62"/>
      <c r="AF90" s="62"/>
      <c r="AG90" s="62"/>
      <c r="AH90" s="62"/>
      <c r="AI90" s="62"/>
    </row>
    <row r="91" ht="14.25" customHeight="1">
      <c r="Z91" s="62"/>
      <c r="AA91" s="62"/>
      <c r="AB91" s="62"/>
      <c r="AC91" s="62"/>
      <c r="AD91" s="62"/>
      <c r="AE91" s="62"/>
      <c r="AF91" s="62"/>
      <c r="AG91" s="62"/>
      <c r="AH91" s="62"/>
      <c r="AI91" s="62"/>
    </row>
    <row r="92" ht="14.25" customHeight="1">
      <c r="Z92" s="62"/>
      <c r="AA92" s="62"/>
      <c r="AB92" s="62"/>
      <c r="AC92" s="62"/>
      <c r="AD92" s="62"/>
      <c r="AE92" s="62"/>
      <c r="AF92" s="62"/>
      <c r="AG92" s="62"/>
      <c r="AH92" s="62"/>
      <c r="AI92" s="62"/>
    </row>
    <row r="93" ht="14.25" customHeight="1">
      <c r="Z93" s="62"/>
      <c r="AA93" s="62"/>
      <c r="AB93" s="62"/>
      <c r="AC93" s="62"/>
      <c r="AD93" s="62"/>
      <c r="AE93" s="62"/>
      <c r="AF93" s="62"/>
      <c r="AG93" s="62"/>
      <c r="AH93" s="62"/>
      <c r="AI93" s="62"/>
    </row>
    <row r="94" ht="14.25" customHeight="1">
      <c r="Z94" s="62"/>
      <c r="AA94" s="62"/>
      <c r="AB94" s="62"/>
      <c r="AC94" s="62"/>
      <c r="AD94" s="62"/>
      <c r="AE94" s="62"/>
      <c r="AF94" s="62"/>
      <c r="AG94" s="62"/>
      <c r="AH94" s="62"/>
      <c r="AI94" s="62"/>
    </row>
    <row r="95" ht="14.25" customHeight="1">
      <c r="Z95" s="62"/>
      <c r="AA95" s="62"/>
      <c r="AB95" s="62"/>
      <c r="AC95" s="62"/>
      <c r="AD95" s="62"/>
      <c r="AE95" s="62"/>
      <c r="AF95" s="62"/>
      <c r="AG95" s="62"/>
      <c r="AH95" s="62"/>
      <c r="AI95" s="62"/>
    </row>
    <row r="96" ht="14.25" customHeight="1">
      <c r="Z96" s="62"/>
      <c r="AA96" s="62"/>
      <c r="AB96" s="62"/>
      <c r="AC96" s="62"/>
      <c r="AD96" s="62"/>
      <c r="AE96" s="62"/>
      <c r="AF96" s="62"/>
      <c r="AG96" s="62"/>
      <c r="AH96" s="62"/>
      <c r="AI96" s="62"/>
    </row>
    <row r="97" ht="14.25" customHeight="1">
      <c r="Z97" s="62"/>
      <c r="AA97" s="62"/>
      <c r="AB97" s="62"/>
      <c r="AC97" s="62"/>
      <c r="AD97" s="62"/>
      <c r="AE97" s="62"/>
      <c r="AF97" s="62"/>
      <c r="AG97" s="62"/>
      <c r="AH97" s="62"/>
      <c r="AI97" s="62"/>
    </row>
    <row r="98" ht="14.25" customHeight="1">
      <c r="Z98" s="62"/>
      <c r="AA98" s="62"/>
      <c r="AB98" s="62"/>
      <c r="AC98" s="62"/>
      <c r="AD98" s="62"/>
      <c r="AE98" s="62"/>
      <c r="AF98" s="62"/>
      <c r="AG98" s="62"/>
      <c r="AH98" s="62"/>
      <c r="AI98" s="62"/>
    </row>
    <row r="99" ht="14.25" customHeight="1">
      <c r="Z99" s="62"/>
      <c r="AA99" s="62"/>
      <c r="AB99" s="62"/>
      <c r="AC99" s="62"/>
      <c r="AD99" s="62"/>
      <c r="AE99" s="62"/>
      <c r="AF99" s="62"/>
      <c r="AG99" s="62"/>
      <c r="AH99" s="62"/>
      <c r="AI99" s="62"/>
    </row>
    <row r="100" ht="14.25" customHeight="1">
      <c r="Z100" s="62"/>
      <c r="AA100" s="62"/>
      <c r="AB100" s="62"/>
      <c r="AC100" s="62"/>
      <c r="AD100" s="62"/>
      <c r="AE100" s="62"/>
      <c r="AF100" s="62"/>
      <c r="AG100" s="62"/>
      <c r="AH100" s="62"/>
      <c r="AI100" s="62"/>
    </row>
    <row r="101" ht="14.25" customHeight="1">
      <c r="Z101" s="62"/>
      <c r="AA101" s="62"/>
      <c r="AB101" s="62"/>
      <c r="AC101" s="62"/>
      <c r="AD101" s="62"/>
      <c r="AE101" s="62"/>
      <c r="AF101" s="62"/>
      <c r="AG101" s="62"/>
      <c r="AH101" s="62"/>
      <c r="AI101" s="62"/>
    </row>
    <row r="102" ht="14.25" customHeight="1">
      <c r="Z102" s="62"/>
      <c r="AA102" s="62"/>
      <c r="AB102" s="62"/>
      <c r="AC102" s="62"/>
      <c r="AD102" s="62"/>
      <c r="AE102" s="62"/>
      <c r="AF102" s="62"/>
      <c r="AG102" s="62"/>
      <c r="AH102" s="62"/>
      <c r="AI102" s="62"/>
    </row>
    <row r="103" ht="14.25" customHeight="1">
      <c r="Z103" s="62"/>
      <c r="AA103" s="62"/>
      <c r="AB103" s="62"/>
      <c r="AC103" s="62"/>
      <c r="AD103" s="62"/>
      <c r="AE103" s="62"/>
      <c r="AF103" s="62"/>
      <c r="AG103" s="62"/>
      <c r="AH103" s="62"/>
      <c r="AI103" s="62"/>
    </row>
    <row r="104" ht="14.25" customHeight="1">
      <c r="Z104" s="62"/>
      <c r="AA104" s="62"/>
      <c r="AB104" s="62"/>
      <c r="AC104" s="62"/>
      <c r="AD104" s="62"/>
      <c r="AE104" s="62"/>
      <c r="AF104" s="62"/>
      <c r="AG104" s="62"/>
      <c r="AH104" s="62"/>
      <c r="AI104" s="62"/>
    </row>
    <row r="105" ht="14.25" customHeight="1">
      <c r="Z105" s="62"/>
      <c r="AA105" s="62"/>
      <c r="AB105" s="62"/>
      <c r="AC105" s="62"/>
      <c r="AD105" s="62"/>
      <c r="AE105" s="62"/>
      <c r="AF105" s="62"/>
      <c r="AG105" s="62"/>
      <c r="AH105" s="62"/>
      <c r="AI105" s="62"/>
    </row>
    <row r="106" ht="14.25" customHeight="1">
      <c r="Z106" s="62"/>
      <c r="AA106" s="62"/>
      <c r="AB106" s="62"/>
      <c r="AC106" s="62"/>
      <c r="AD106" s="62"/>
      <c r="AE106" s="62"/>
      <c r="AF106" s="62"/>
      <c r="AG106" s="62"/>
      <c r="AH106" s="62"/>
      <c r="AI106" s="62"/>
    </row>
    <row r="107" ht="14.25" customHeight="1">
      <c r="Z107" s="62"/>
      <c r="AA107" s="62"/>
      <c r="AB107" s="62"/>
      <c r="AC107" s="62"/>
      <c r="AD107" s="62"/>
      <c r="AE107" s="62"/>
      <c r="AF107" s="62"/>
      <c r="AG107" s="62"/>
      <c r="AH107" s="62"/>
      <c r="AI107" s="62"/>
    </row>
    <row r="108" ht="14.25" customHeight="1">
      <c r="Z108" s="62"/>
      <c r="AA108" s="62"/>
      <c r="AB108" s="62"/>
      <c r="AC108" s="62"/>
      <c r="AD108" s="62"/>
      <c r="AE108" s="62"/>
      <c r="AF108" s="62"/>
      <c r="AG108" s="62"/>
      <c r="AH108" s="62"/>
      <c r="AI108" s="62"/>
    </row>
    <row r="109" ht="14.25" customHeight="1">
      <c r="Z109" s="62"/>
      <c r="AA109" s="62"/>
      <c r="AB109" s="62"/>
      <c r="AC109" s="62"/>
      <c r="AD109" s="62"/>
      <c r="AE109" s="62"/>
      <c r="AF109" s="62"/>
      <c r="AG109" s="62"/>
      <c r="AH109" s="62"/>
      <c r="AI109" s="62"/>
    </row>
    <row r="110" ht="14.25" customHeight="1">
      <c r="Z110" s="62"/>
      <c r="AA110" s="62"/>
      <c r="AB110" s="62"/>
      <c r="AC110" s="62"/>
      <c r="AD110" s="62"/>
      <c r="AE110" s="62"/>
      <c r="AF110" s="62"/>
      <c r="AG110" s="62"/>
      <c r="AH110" s="62"/>
      <c r="AI110" s="62"/>
    </row>
    <row r="111" ht="14.25" customHeight="1">
      <c r="Z111" s="62"/>
      <c r="AA111" s="62"/>
      <c r="AB111" s="62"/>
      <c r="AC111" s="62"/>
      <c r="AD111" s="62"/>
      <c r="AE111" s="62"/>
      <c r="AF111" s="62"/>
      <c r="AG111" s="62"/>
      <c r="AH111" s="62"/>
      <c r="AI111" s="62"/>
    </row>
    <row r="112" ht="14.25" customHeight="1">
      <c r="Z112" s="62"/>
      <c r="AA112" s="62"/>
      <c r="AB112" s="62"/>
      <c r="AC112" s="62"/>
      <c r="AD112" s="62"/>
      <c r="AE112" s="62"/>
      <c r="AF112" s="62"/>
      <c r="AG112" s="62"/>
      <c r="AH112" s="62"/>
      <c r="AI112" s="62"/>
    </row>
    <row r="113" ht="14.25" customHeight="1">
      <c r="Z113" s="62"/>
      <c r="AA113" s="62"/>
      <c r="AB113" s="62"/>
      <c r="AC113" s="62"/>
      <c r="AD113" s="62"/>
      <c r="AE113" s="62"/>
      <c r="AF113" s="62"/>
      <c r="AG113" s="62"/>
      <c r="AH113" s="62"/>
      <c r="AI113" s="62"/>
    </row>
    <row r="114" ht="14.25" customHeight="1">
      <c r="Z114" s="62"/>
      <c r="AA114" s="62"/>
      <c r="AB114" s="62"/>
      <c r="AC114" s="62"/>
      <c r="AD114" s="62"/>
      <c r="AE114" s="62"/>
      <c r="AF114" s="62"/>
      <c r="AG114" s="62"/>
      <c r="AH114" s="62"/>
      <c r="AI114" s="62"/>
    </row>
    <row r="115" ht="14.25" customHeight="1">
      <c r="Z115" s="62"/>
      <c r="AA115" s="62"/>
      <c r="AB115" s="62"/>
      <c r="AC115" s="62"/>
      <c r="AD115" s="62"/>
      <c r="AE115" s="62"/>
      <c r="AF115" s="62"/>
      <c r="AG115" s="62"/>
      <c r="AH115" s="62"/>
      <c r="AI115" s="62"/>
    </row>
    <row r="116" ht="14.25" customHeight="1">
      <c r="Z116" s="62"/>
      <c r="AA116" s="62"/>
      <c r="AB116" s="62"/>
      <c r="AC116" s="62"/>
      <c r="AD116" s="62"/>
      <c r="AE116" s="62"/>
      <c r="AF116" s="62"/>
      <c r="AG116" s="62"/>
      <c r="AH116" s="62"/>
      <c r="AI116" s="62"/>
    </row>
    <row r="117" ht="14.25" customHeight="1">
      <c r="Z117" s="62"/>
      <c r="AA117" s="62"/>
      <c r="AB117" s="62"/>
      <c r="AC117" s="62"/>
      <c r="AD117" s="62"/>
      <c r="AE117" s="62"/>
      <c r="AF117" s="62"/>
      <c r="AG117" s="62"/>
      <c r="AH117" s="62"/>
      <c r="AI117" s="62"/>
    </row>
    <row r="118" ht="14.25" customHeight="1">
      <c r="Z118" s="62"/>
      <c r="AA118" s="62"/>
      <c r="AB118" s="62"/>
      <c r="AC118" s="62"/>
      <c r="AD118" s="62"/>
      <c r="AE118" s="62"/>
      <c r="AF118" s="62"/>
      <c r="AG118" s="62"/>
      <c r="AH118" s="62"/>
      <c r="AI118" s="62"/>
    </row>
    <row r="119" ht="14.25" customHeight="1">
      <c r="Z119" s="62"/>
      <c r="AA119" s="62"/>
      <c r="AB119" s="62"/>
      <c r="AC119" s="62"/>
      <c r="AD119" s="62"/>
      <c r="AE119" s="62"/>
      <c r="AF119" s="62"/>
      <c r="AG119" s="62"/>
      <c r="AH119" s="62"/>
      <c r="AI119" s="62"/>
    </row>
    <row r="120" ht="14.25" customHeight="1">
      <c r="Z120" s="62"/>
      <c r="AA120" s="62"/>
      <c r="AB120" s="62"/>
      <c r="AC120" s="62"/>
      <c r="AD120" s="62"/>
      <c r="AE120" s="62"/>
      <c r="AF120" s="62"/>
      <c r="AG120" s="62"/>
      <c r="AH120" s="62"/>
      <c r="AI120" s="62"/>
    </row>
    <row r="121" ht="14.25" customHeight="1">
      <c r="Z121" s="62"/>
      <c r="AA121" s="62"/>
      <c r="AB121" s="62"/>
      <c r="AC121" s="62"/>
      <c r="AD121" s="62"/>
      <c r="AE121" s="62"/>
      <c r="AF121" s="62"/>
      <c r="AG121" s="62"/>
      <c r="AH121" s="62"/>
      <c r="AI121" s="62"/>
    </row>
    <row r="122" ht="14.25" customHeight="1">
      <c r="Z122" s="62"/>
      <c r="AA122" s="62"/>
      <c r="AB122" s="62"/>
      <c r="AC122" s="62"/>
      <c r="AD122" s="62"/>
      <c r="AE122" s="62"/>
      <c r="AF122" s="62"/>
      <c r="AG122" s="62"/>
      <c r="AH122" s="62"/>
      <c r="AI122" s="62"/>
    </row>
    <row r="123" ht="14.25" customHeight="1">
      <c r="Z123" s="62"/>
      <c r="AA123" s="62"/>
      <c r="AB123" s="62"/>
      <c r="AC123" s="62"/>
      <c r="AD123" s="62"/>
      <c r="AE123" s="62"/>
      <c r="AF123" s="62"/>
      <c r="AG123" s="62"/>
      <c r="AH123" s="62"/>
      <c r="AI123" s="62"/>
    </row>
    <row r="124" ht="14.25" customHeight="1">
      <c r="Z124" s="62"/>
      <c r="AA124" s="62"/>
      <c r="AB124" s="62"/>
      <c r="AC124" s="62"/>
      <c r="AD124" s="62"/>
      <c r="AE124" s="62"/>
      <c r="AF124" s="62"/>
      <c r="AG124" s="62"/>
      <c r="AH124" s="62"/>
      <c r="AI124" s="62"/>
    </row>
    <row r="125" ht="14.25" customHeight="1">
      <c r="Z125" s="62"/>
      <c r="AA125" s="62"/>
      <c r="AB125" s="62"/>
      <c r="AC125" s="62"/>
      <c r="AD125" s="62"/>
      <c r="AE125" s="62"/>
      <c r="AF125" s="62"/>
      <c r="AG125" s="62"/>
      <c r="AH125" s="62"/>
      <c r="AI125" s="62"/>
    </row>
    <row r="126" ht="14.25" customHeight="1">
      <c r="Z126" s="62"/>
      <c r="AA126" s="62"/>
      <c r="AB126" s="62"/>
      <c r="AC126" s="62"/>
      <c r="AD126" s="62"/>
      <c r="AE126" s="62"/>
      <c r="AF126" s="62"/>
      <c r="AG126" s="62"/>
      <c r="AH126" s="62"/>
      <c r="AI126" s="62"/>
    </row>
    <row r="127" ht="14.25" customHeight="1">
      <c r="Z127" s="62"/>
      <c r="AA127" s="62"/>
      <c r="AB127" s="62"/>
      <c r="AC127" s="62"/>
      <c r="AD127" s="62"/>
      <c r="AE127" s="62"/>
      <c r="AF127" s="62"/>
      <c r="AG127" s="62"/>
      <c r="AH127" s="62"/>
      <c r="AI127" s="62"/>
    </row>
    <row r="128" ht="14.25" customHeight="1">
      <c r="Z128" s="62"/>
      <c r="AA128" s="62"/>
      <c r="AB128" s="62"/>
      <c r="AC128" s="62"/>
      <c r="AD128" s="62"/>
      <c r="AE128" s="62"/>
      <c r="AF128" s="62"/>
      <c r="AG128" s="62"/>
      <c r="AH128" s="62"/>
      <c r="AI128" s="62"/>
    </row>
    <row r="129" ht="14.25" customHeight="1">
      <c r="Z129" s="62"/>
      <c r="AA129" s="62"/>
      <c r="AB129" s="62"/>
      <c r="AC129" s="62"/>
      <c r="AD129" s="62"/>
      <c r="AE129" s="62"/>
      <c r="AF129" s="62"/>
      <c r="AG129" s="62"/>
      <c r="AH129" s="62"/>
      <c r="AI129" s="62"/>
    </row>
    <row r="130" ht="14.25" customHeight="1">
      <c r="Z130" s="62"/>
      <c r="AA130" s="62"/>
      <c r="AB130" s="62"/>
      <c r="AC130" s="62"/>
      <c r="AD130" s="62"/>
      <c r="AE130" s="62"/>
      <c r="AF130" s="62"/>
      <c r="AG130" s="62"/>
      <c r="AH130" s="62"/>
      <c r="AI130" s="62"/>
    </row>
    <row r="131" ht="14.25" customHeight="1">
      <c r="Z131" s="62"/>
      <c r="AA131" s="62"/>
      <c r="AB131" s="62"/>
      <c r="AC131" s="62"/>
      <c r="AD131" s="62"/>
      <c r="AE131" s="62"/>
      <c r="AF131" s="62"/>
      <c r="AG131" s="62"/>
      <c r="AH131" s="62"/>
      <c r="AI131" s="62"/>
    </row>
    <row r="132" ht="14.25" customHeight="1">
      <c r="Z132" s="62"/>
      <c r="AA132" s="62"/>
      <c r="AB132" s="62"/>
      <c r="AC132" s="62"/>
      <c r="AD132" s="62"/>
      <c r="AE132" s="62"/>
      <c r="AF132" s="62"/>
      <c r="AG132" s="62"/>
      <c r="AH132" s="62"/>
      <c r="AI132" s="62"/>
    </row>
    <row r="133" ht="14.25" customHeight="1">
      <c r="Z133" s="62"/>
      <c r="AA133" s="62"/>
      <c r="AB133" s="62"/>
      <c r="AC133" s="62"/>
      <c r="AD133" s="62"/>
      <c r="AE133" s="62"/>
      <c r="AF133" s="62"/>
      <c r="AG133" s="62"/>
      <c r="AH133" s="62"/>
      <c r="AI133" s="62"/>
    </row>
    <row r="134" ht="14.25" customHeight="1">
      <c r="Z134" s="62"/>
      <c r="AA134" s="62"/>
      <c r="AB134" s="62"/>
      <c r="AC134" s="62"/>
      <c r="AD134" s="62"/>
      <c r="AE134" s="62"/>
      <c r="AF134" s="62"/>
      <c r="AG134" s="62"/>
      <c r="AH134" s="62"/>
      <c r="AI134" s="62"/>
    </row>
    <row r="135" ht="14.25" customHeight="1">
      <c r="Z135" s="62"/>
      <c r="AA135" s="62"/>
      <c r="AB135" s="62"/>
      <c r="AC135" s="62"/>
      <c r="AD135" s="62"/>
      <c r="AE135" s="62"/>
      <c r="AF135" s="62"/>
      <c r="AG135" s="62"/>
      <c r="AH135" s="62"/>
      <c r="AI135" s="62"/>
    </row>
    <row r="136" ht="14.25" customHeight="1">
      <c r="Z136" s="62"/>
      <c r="AA136" s="62"/>
      <c r="AB136" s="62"/>
      <c r="AC136" s="62"/>
      <c r="AD136" s="62"/>
      <c r="AE136" s="62"/>
      <c r="AF136" s="62"/>
      <c r="AG136" s="62"/>
      <c r="AH136" s="62"/>
      <c r="AI136" s="62"/>
    </row>
    <row r="137" ht="14.25" customHeight="1">
      <c r="Z137" s="62"/>
      <c r="AA137" s="62"/>
      <c r="AB137" s="62"/>
      <c r="AC137" s="62"/>
      <c r="AD137" s="62"/>
      <c r="AE137" s="62"/>
      <c r="AF137" s="62"/>
      <c r="AG137" s="62"/>
      <c r="AH137" s="62"/>
      <c r="AI137" s="62"/>
    </row>
    <row r="138" ht="14.25" customHeight="1">
      <c r="Z138" s="62"/>
      <c r="AA138" s="62"/>
      <c r="AB138" s="62"/>
      <c r="AC138" s="62"/>
      <c r="AD138" s="62"/>
      <c r="AE138" s="62"/>
      <c r="AF138" s="62"/>
      <c r="AG138" s="62"/>
      <c r="AH138" s="62"/>
      <c r="AI138" s="62"/>
    </row>
    <row r="139" ht="14.25" customHeight="1">
      <c r="Z139" s="62"/>
      <c r="AA139" s="62"/>
      <c r="AB139" s="62"/>
      <c r="AC139" s="62"/>
      <c r="AD139" s="62"/>
      <c r="AE139" s="62"/>
      <c r="AF139" s="62"/>
      <c r="AG139" s="62"/>
      <c r="AH139" s="62"/>
      <c r="AI139" s="62"/>
    </row>
    <row r="140" ht="14.25" customHeight="1">
      <c r="Z140" s="62"/>
      <c r="AA140" s="62"/>
      <c r="AB140" s="62"/>
      <c r="AC140" s="62"/>
      <c r="AD140" s="62"/>
      <c r="AE140" s="62"/>
      <c r="AF140" s="62"/>
      <c r="AG140" s="62"/>
      <c r="AH140" s="62"/>
      <c r="AI140" s="62"/>
    </row>
    <row r="141" ht="14.25" customHeight="1">
      <c r="Z141" s="62"/>
      <c r="AA141" s="62"/>
      <c r="AB141" s="62"/>
      <c r="AC141" s="62"/>
      <c r="AD141" s="62"/>
      <c r="AE141" s="62"/>
      <c r="AF141" s="62"/>
      <c r="AG141" s="62"/>
      <c r="AH141" s="62"/>
      <c r="AI141" s="62"/>
    </row>
    <row r="142" ht="14.25" customHeight="1">
      <c r="Z142" s="62"/>
      <c r="AA142" s="62"/>
      <c r="AB142" s="62"/>
      <c r="AC142" s="62"/>
      <c r="AD142" s="62"/>
      <c r="AE142" s="62"/>
      <c r="AF142" s="62"/>
      <c r="AG142" s="62"/>
      <c r="AH142" s="62"/>
      <c r="AI142" s="62"/>
    </row>
    <row r="143" ht="14.25" customHeight="1">
      <c r="Z143" s="62"/>
      <c r="AA143" s="62"/>
      <c r="AB143" s="62"/>
      <c r="AC143" s="62"/>
      <c r="AD143" s="62"/>
      <c r="AE143" s="62"/>
      <c r="AF143" s="62"/>
      <c r="AG143" s="62"/>
      <c r="AH143" s="62"/>
      <c r="AI143" s="62"/>
    </row>
    <row r="144" ht="14.25" customHeight="1">
      <c r="Z144" s="62"/>
      <c r="AA144" s="62"/>
      <c r="AB144" s="62"/>
      <c r="AC144" s="62"/>
      <c r="AD144" s="62"/>
      <c r="AE144" s="62"/>
      <c r="AF144" s="62"/>
      <c r="AG144" s="62"/>
      <c r="AH144" s="62"/>
      <c r="AI144" s="62"/>
    </row>
    <row r="145" ht="14.25" customHeight="1">
      <c r="Z145" s="62"/>
      <c r="AA145" s="62"/>
      <c r="AB145" s="62"/>
      <c r="AC145" s="62"/>
      <c r="AD145" s="62"/>
      <c r="AE145" s="62"/>
      <c r="AF145" s="62"/>
      <c r="AG145" s="62"/>
      <c r="AH145" s="62"/>
      <c r="AI145" s="62"/>
    </row>
    <row r="146" ht="14.25" customHeight="1">
      <c r="Z146" s="62"/>
      <c r="AA146" s="62"/>
      <c r="AB146" s="62"/>
      <c r="AC146" s="62"/>
      <c r="AD146" s="62"/>
      <c r="AE146" s="62"/>
      <c r="AF146" s="62"/>
      <c r="AG146" s="62"/>
      <c r="AH146" s="62"/>
      <c r="AI146" s="62"/>
    </row>
    <row r="147" ht="14.25" customHeight="1">
      <c r="Z147" s="62"/>
      <c r="AA147" s="62"/>
      <c r="AB147" s="62"/>
      <c r="AC147" s="62"/>
      <c r="AD147" s="62"/>
      <c r="AE147" s="62"/>
      <c r="AF147" s="62"/>
      <c r="AG147" s="62"/>
      <c r="AH147" s="62"/>
      <c r="AI147" s="62"/>
    </row>
    <row r="148" ht="14.25" customHeight="1">
      <c r="Z148" s="62"/>
      <c r="AA148" s="62"/>
      <c r="AB148" s="62"/>
      <c r="AC148" s="62"/>
      <c r="AD148" s="62"/>
      <c r="AE148" s="62"/>
      <c r="AF148" s="62"/>
      <c r="AG148" s="62"/>
      <c r="AH148" s="62"/>
      <c r="AI148" s="62"/>
    </row>
    <row r="149" ht="14.25" customHeight="1">
      <c r="Z149" s="62"/>
      <c r="AA149" s="62"/>
      <c r="AB149" s="62"/>
      <c r="AC149" s="62"/>
      <c r="AD149" s="62"/>
      <c r="AE149" s="62"/>
      <c r="AF149" s="62"/>
      <c r="AG149" s="62"/>
      <c r="AH149" s="62"/>
      <c r="AI149" s="62"/>
    </row>
    <row r="150" ht="14.25" customHeight="1">
      <c r="Z150" s="62"/>
      <c r="AA150" s="62"/>
      <c r="AB150" s="62"/>
      <c r="AC150" s="62"/>
      <c r="AD150" s="62"/>
      <c r="AE150" s="62"/>
      <c r="AF150" s="62"/>
      <c r="AG150" s="62"/>
      <c r="AH150" s="62"/>
      <c r="AI150" s="62"/>
    </row>
    <row r="151" ht="14.25" customHeight="1">
      <c r="Z151" s="62"/>
      <c r="AA151" s="62"/>
      <c r="AB151" s="62"/>
      <c r="AC151" s="62"/>
      <c r="AD151" s="62"/>
      <c r="AE151" s="62"/>
      <c r="AF151" s="62"/>
      <c r="AG151" s="62"/>
      <c r="AH151" s="62"/>
      <c r="AI151" s="62"/>
    </row>
    <row r="152" ht="14.25" customHeight="1">
      <c r="Z152" s="62"/>
      <c r="AA152" s="62"/>
      <c r="AB152" s="62"/>
      <c r="AC152" s="62"/>
      <c r="AD152" s="62"/>
      <c r="AE152" s="62"/>
      <c r="AF152" s="62"/>
      <c r="AG152" s="62"/>
      <c r="AH152" s="62"/>
      <c r="AI152" s="62"/>
    </row>
    <row r="153" ht="14.25" customHeight="1">
      <c r="Z153" s="62"/>
      <c r="AA153" s="62"/>
      <c r="AB153" s="62"/>
      <c r="AC153" s="62"/>
      <c r="AD153" s="62"/>
      <c r="AE153" s="62"/>
      <c r="AF153" s="62"/>
      <c r="AG153" s="62"/>
      <c r="AH153" s="62"/>
      <c r="AI153" s="62"/>
    </row>
    <row r="154" ht="14.25" customHeight="1">
      <c r="Z154" s="62"/>
      <c r="AA154" s="62"/>
      <c r="AB154" s="62"/>
      <c r="AC154" s="62"/>
      <c r="AD154" s="62"/>
      <c r="AE154" s="62"/>
      <c r="AF154" s="62"/>
      <c r="AG154" s="62"/>
      <c r="AH154" s="62"/>
      <c r="AI154" s="62"/>
    </row>
    <row r="155" ht="14.25" customHeight="1">
      <c r="Z155" s="62"/>
      <c r="AA155" s="62"/>
      <c r="AB155" s="62"/>
      <c r="AC155" s="62"/>
      <c r="AD155" s="62"/>
      <c r="AE155" s="62"/>
      <c r="AF155" s="62"/>
      <c r="AG155" s="62"/>
      <c r="AH155" s="62"/>
      <c r="AI155" s="62"/>
    </row>
    <row r="156" ht="14.25" customHeight="1">
      <c r="Z156" s="62"/>
      <c r="AA156" s="62"/>
      <c r="AB156" s="62"/>
      <c r="AC156" s="62"/>
      <c r="AD156" s="62"/>
      <c r="AE156" s="62"/>
      <c r="AF156" s="62"/>
      <c r="AG156" s="62"/>
      <c r="AH156" s="62"/>
      <c r="AI156" s="62"/>
    </row>
    <row r="157" ht="14.25" customHeight="1">
      <c r="Z157" s="62"/>
      <c r="AA157" s="62"/>
      <c r="AB157" s="62"/>
      <c r="AC157" s="62"/>
      <c r="AD157" s="62"/>
      <c r="AE157" s="62"/>
      <c r="AF157" s="62"/>
      <c r="AG157" s="62"/>
      <c r="AH157" s="62"/>
      <c r="AI157" s="62"/>
    </row>
    <row r="158" ht="14.25" customHeight="1">
      <c r="Z158" s="62"/>
      <c r="AA158" s="62"/>
      <c r="AB158" s="62"/>
      <c r="AC158" s="62"/>
      <c r="AD158" s="62"/>
      <c r="AE158" s="62"/>
      <c r="AF158" s="62"/>
      <c r="AG158" s="62"/>
      <c r="AH158" s="62"/>
      <c r="AI158" s="62"/>
    </row>
    <row r="159" ht="14.25" customHeight="1">
      <c r="Z159" s="62"/>
      <c r="AA159" s="62"/>
      <c r="AB159" s="62"/>
      <c r="AC159" s="62"/>
      <c r="AD159" s="62"/>
      <c r="AE159" s="62"/>
      <c r="AF159" s="62"/>
      <c r="AG159" s="62"/>
      <c r="AH159" s="62"/>
      <c r="AI159" s="62"/>
    </row>
    <row r="160" ht="14.25" customHeight="1">
      <c r="Z160" s="62"/>
      <c r="AA160" s="62"/>
      <c r="AB160" s="62"/>
      <c r="AC160" s="62"/>
      <c r="AD160" s="62"/>
      <c r="AE160" s="62"/>
      <c r="AF160" s="62"/>
      <c r="AG160" s="62"/>
      <c r="AH160" s="62"/>
      <c r="AI160" s="62"/>
    </row>
    <row r="161" ht="14.25" customHeight="1">
      <c r="Z161" s="62"/>
      <c r="AA161" s="62"/>
      <c r="AB161" s="62"/>
      <c r="AC161" s="62"/>
      <c r="AD161" s="62"/>
      <c r="AE161" s="62"/>
      <c r="AF161" s="62"/>
      <c r="AG161" s="62"/>
      <c r="AH161" s="62"/>
      <c r="AI161" s="62"/>
    </row>
    <row r="162" ht="14.25" customHeight="1">
      <c r="Z162" s="62"/>
      <c r="AA162" s="62"/>
      <c r="AB162" s="62"/>
      <c r="AC162" s="62"/>
      <c r="AD162" s="62"/>
      <c r="AE162" s="62"/>
      <c r="AF162" s="62"/>
      <c r="AG162" s="62"/>
      <c r="AH162" s="62"/>
      <c r="AI162" s="62"/>
    </row>
    <row r="163" ht="14.25" customHeight="1">
      <c r="Z163" s="62"/>
      <c r="AA163" s="62"/>
      <c r="AB163" s="62"/>
      <c r="AC163" s="62"/>
      <c r="AD163" s="62"/>
      <c r="AE163" s="62"/>
      <c r="AF163" s="62"/>
      <c r="AG163" s="62"/>
      <c r="AH163" s="62"/>
      <c r="AI163" s="62"/>
    </row>
    <row r="164" ht="14.25" customHeight="1">
      <c r="Z164" s="62"/>
      <c r="AA164" s="62"/>
      <c r="AB164" s="62"/>
      <c r="AC164" s="62"/>
      <c r="AD164" s="62"/>
      <c r="AE164" s="62"/>
      <c r="AF164" s="62"/>
      <c r="AG164" s="62"/>
      <c r="AH164" s="62"/>
      <c r="AI164" s="62"/>
    </row>
    <row r="165" ht="14.25" customHeight="1">
      <c r="Z165" s="62"/>
      <c r="AA165" s="62"/>
      <c r="AB165" s="62"/>
      <c r="AC165" s="62"/>
      <c r="AD165" s="62"/>
      <c r="AE165" s="62"/>
      <c r="AF165" s="62"/>
      <c r="AG165" s="62"/>
      <c r="AH165" s="62"/>
      <c r="AI165" s="62"/>
    </row>
    <row r="166" ht="14.25" customHeight="1">
      <c r="Z166" s="62"/>
      <c r="AA166" s="62"/>
      <c r="AB166" s="62"/>
      <c r="AC166" s="62"/>
      <c r="AD166" s="62"/>
      <c r="AE166" s="62"/>
      <c r="AF166" s="62"/>
      <c r="AG166" s="62"/>
      <c r="AH166" s="62"/>
      <c r="AI166" s="62"/>
    </row>
    <row r="167" ht="14.25" customHeight="1">
      <c r="Z167" s="62"/>
      <c r="AA167" s="62"/>
      <c r="AB167" s="62"/>
      <c r="AC167" s="62"/>
      <c r="AD167" s="62"/>
      <c r="AE167" s="62"/>
      <c r="AF167" s="62"/>
      <c r="AG167" s="62"/>
      <c r="AH167" s="62"/>
      <c r="AI167" s="62"/>
    </row>
    <row r="168" ht="14.25" customHeight="1">
      <c r="Z168" s="62"/>
      <c r="AA168" s="62"/>
      <c r="AB168" s="62"/>
      <c r="AC168" s="62"/>
      <c r="AD168" s="62"/>
      <c r="AE168" s="62"/>
      <c r="AF168" s="62"/>
      <c r="AG168" s="62"/>
      <c r="AH168" s="62"/>
      <c r="AI168" s="62"/>
    </row>
    <row r="169" ht="14.25" customHeight="1">
      <c r="Z169" s="62"/>
      <c r="AA169" s="62"/>
      <c r="AB169" s="62"/>
      <c r="AC169" s="62"/>
      <c r="AD169" s="62"/>
      <c r="AE169" s="62"/>
      <c r="AF169" s="62"/>
      <c r="AG169" s="62"/>
      <c r="AH169" s="62"/>
      <c r="AI169" s="62"/>
    </row>
    <row r="170" ht="14.25" customHeight="1">
      <c r="Z170" s="62"/>
      <c r="AA170" s="62"/>
      <c r="AB170" s="62"/>
      <c r="AC170" s="62"/>
      <c r="AD170" s="62"/>
      <c r="AE170" s="62"/>
      <c r="AF170" s="62"/>
      <c r="AG170" s="62"/>
      <c r="AH170" s="62"/>
      <c r="AI170" s="62"/>
    </row>
    <row r="171" ht="14.25" customHeight="1">
      <c r="Z171" s="62"/>
      <c r="AA171" s="62"/>
      <c r="AB171" s="62"/>
      <c r="AC171" s="62"/>
      <c r="AD171" s="62"/>
      <c r="AE171" s="62"/>
      <c r="AF171" s="62"/>
      <c r="AG171" s="62"/>
      <c r="AH171" s="62"/>
      <c r="AI171" s="62"/>
    </row>
    <row r="172" ht="14.25" customHeight="1">
      <c r="Z172" s="62"/>
      <c r="AA172" s="62"/>
      <c r="AB172" s="62"/>
      <c r="AC172" s="62"/>
      <c r="AD172" s="62"/>
      <c r="AE172" s="62"/>
      <c r="AF172" s="62"/>
      <c r="AG172" s="62"/>
      <c r="AH172" s="62"/>
      <c r="AI172" s="62"/>
    </row>
    <row r="173" ht="14.25" customHeight="1">
      <c r="Z173" s="62"/>
      <c r="AA173" s="62"/>
      <c r="AB173" s="62"/>
      <c r="AC173" s="62"/>
      <c r="AD173" s="62"/>
      <c r="AE173" s="62"/>
      <c r="AF173" s="62"/>
      <c r="AG173" s="62"/>
      <c r="AH173" s="62"/>
      <c r="AI173" s="62"/>
    </row>
    <row r="174" ht="14.25" customHeight="1">
      <c r="Z174" s="62"/>
      <c r="AA174" s="62"/>
      <c r="AB174" s="62"/>
      <c r="AC174" s="62"/>
      <c r="AD174" s="62"/>
      <c r="AE174" s="62"/>
      <c r="AF174" s="62"/>
      <c r="AG174" s="62"/>
      <c r="AH174" s="62"/>
      <c r="AI174" s="62"/>
    </row>
    <row r="175" ht="14.25" customHeight="1">
      <c r="Z175" s="62"/>
      <c r="AA175" s="62"/>
      <c r="AB175" s="62"/>
      <c r="AC175" s="62"/>
      <c r="AD175" s="62"/>
      <c r="AE175" s="62"/>
      <c r="AF175" s="62"/>
      <c r="AG175" s="62"/>
      <c r="AH175" s="62"/>
      <c r="AI175" s="62"/>
    </row>
    <row r="176" ht="14.25" customHeight="1">
      <c r="Z176" s="62"/>
      <c r="AA176" s="62"/>
      <c r="AB176" s="62"/>
      <c r="AC176" s="62"/>
      <c r="AD176" s="62"/>
      <c r="AE176" s="62"/>
      <c r="AF176" s="62"/>
      <c r="AG176" s="62"/>
      <c r="AH176" s="62"/>
      <c r="AI176" s="62"/>
    </row>
    <row r="177" ht="14.25" customHeight="1">
      <c r="Z177" s="62"/>
      <c r="AA177" s="62"/>
      <c r="AB177" s="62"/>
      <c r="AC177" s="62"/>
      <c r="AD177" s="62"/>
      <c r="AE177" s="62"/>
      <c r="AF177" s="62"/>
      <c r="AG177" s="62"/>
      <c r="AH177" s="62"/>
      <c r="AI177" s="62"/>
    </row>
    <row r="178" ht="14.25" customHeight="1">
      <c r="Z178" s="62"/>
      <c r="AA178" s="62"/>
      <c r="AB178" s="62"/>
      <c r="AC178" s="62"/>
      <c r="AD178" s="62"/>
      <c r="AE178" s="62"/>
      <c r="AF178" s="62"/>
      <c r="AG178" s="62"/>
      <c r="AH178" s="62"/>
      <c r="AI178" s="62"/>
    </row>
    <row r="179" ht="14.25" customHeight="1">
      <c r="Z179" s="62"/>
      <c r="AA179" s="62"/>
      <c r="AB179" s="62"/>
      <c r="AC179" s="62"/>
      <c r="AD179" s="62"/>
      <c r="AE179" s="62"/>
      <c r="AF179" s="62"/>
      <c r="AG179" s="62"/>
      <c r="AH179" s="62"/>
      <c r="AI179" s="62"/>
    </row>
    <row r="180" ht="14.25" customHeight="1">
      <c r="Z180" s="62"/>
      <c r="AA180" s="62"/>
      <c r="AB180" s="62"/>
      <c r="AC180" s="62"/>
      <c r="AD180" s="62"/>
      <c r="AE180" s="62"/>
      <c r="AF180" s="62"/>
      <c r="AG180" s="62"/>
      <c r="AH180" s="62"/>
      <c r="AI180" s="62"/>
    </row>
    <row r="181" ht="14.25" customHeight="1">
      <c r="Z181" s="62"/>
      <c r="AA181" s="62"/>
      <c r="AB181" s="62"/>
      <c r="AC181" s="62"/>
      <c r="AD181" s="62"/>
      <c r="AE181" s="62"/>
      <c r="AF181" s="62"/>
      <c r="AG181" s="62"/>
      <c r="AH181" s="62"/>
      <c r="AI181" s="62"/>
    </row>
    <row r="182" ht="14.25" customHeight="1">
      <c r="Z182" s="62"/>
      <c r="AA182" s="62"/>
      <c r="AB182" s="62"/>
      <c r="AC182" s="62"/>
      <c r="AD182" s="62"/>
      <c r="AE182" s="62"/>
      <c r="AF182" s="62"/>
      <c r="AG182" s="62"/>
      <c r="AH182" s="62"/>
      <c r="AI182" s="62"/>
    </row>
    <row r="183" ht="14.25" customHeight="1">
      <c r="Z183" s="62"/>
      <c r="AA183" s="62"/>
      <c r="AB183" s="62"/>
      <c r="AC183" s="62"/>
      <c r="AD183" s="62"/>
      <c r="AE183" s="62"/>
      <c r="AF183" s="62"/>
      <c r="AG183" s="62"/>
      <c r="AH183" s="62"/>
      <c r="AI183" s="62"/>
    </row>
    <row r="184" ht="14.25" customHeight="1">
      <c r="Z184" s="62"/>
      <c r="AA184" s="62"/>
      <c r="AB184" s="62"/>
      <c r="AC184" s="62"/>
      <c r="AD184" s="62"/>
      <c r="AE184" s="62"/>
      <c r="AF184" s="62"/>
      <c r="AG184" s="62"/>
      <c r="AH184" s="62"/>
      <c r="AI184" s="62"/>
    </row>
    <row r="185" ht="14.25" customHeight="1">
      <c r="Z185" s="62"/>
      <c r="AA185" s="62"/>
      <c r="AB185" s="62"/>
      <c r="AC185" s="62"/>
      <c r="AD185" s="62"/>
      <c r="AE185" s="62"/>
      <c r="AF185" s="62"/>
      <c r="AG185" s="62"/>
      <c r="AH185" s="62"/>
      <c r="AI185" s="62"/>
    </row>
    <row r="186" ht="14.25" customHeight="1">
      <c r="Z186" s="62"/>
      <c r="AA186" s="62"/>
      <c r="AB186" s="62"/>
      <c r="AC186" s="62"/>
      <c r="AD186" s="62"/>
      <c r="AE186" s="62"/>
      <c r="AF186" s="62"/>
      <c r="AG186" s="62"/>
      <c r="AH186" s="62"/>
      <c r="AI186" s="62"/>
    </row>
    <row r="187" ht="14.25" customHeight="1">
      <c r="Z187" s="62"/>
      <c r="AA187" s="62"/>
      <c r="AB187" s="62"/>
      <c r="AC187" s="62"/>
      <c r="AD187" s="62"/>
      <c r="AE187" s="62"/>
      <c r="AF187" s="62"/>
      <c r="AG187" s="62"/>
      <c r="AH187" s="62"/>
      <c r="AI187" s="62"/>
    </row>
    <row r="188" ht="14.25" customHeight="1">
      <c r="Z188" s="62"/>
      <c r="AA188" s="62"/>
      <c r="AB188" s="62"/>
      <c r="AC188" s="62"/>
      <c r="AD188" s="62"/>
      <c r="AE188" s="62"/>
      <c r="AF188" s="62"/>
      <c r="AG188" s="62"/>
      <c r="AH188" s="62"/>
      <c r="AI188" s="62"/>
    </row>
    <row r="189" ht="14.25" customHeight="1">
      <c r="Z189" s="62"/>
      <c r="AA189" s="62"/>
      <c r="AB189" s="62"/>
      <c r="AC189" s="62"/>
      <c r="AD189" s="62"/>
      <c r="AE189" s="62"/>
      <c r="AF189" s="62"/>
      <c r="AG189" s="62"/>
      <c r="AH189" s="62"/>
      <c r="AI189" s="62"/>
    </row>
    <row r="190" ht="14.25" customHeight="1">
      <c r="Z190" s="62"/>
      <c r="AA190" s="62"/>
      <c r="AB190" s="62"/>
      <c r="AC190" s="62"/>
      <c r="AD190" s="62"/>
      <c r="AE190" s="62"/>
      <c r="AF190" s="62"/>
      <c r="AG190" s="62"/>
      <c r="AH190" s="62"/>
      <c r="AI190" s="62"/>
    </row>
    <row r="191" ht="14.25" customHeight="1">
      <c r="Z191" s="62"/>
      <c r="AA191" s="62"/>
      <c r="AB191" s="62"/>
      <c r="AC191" s="62"/>
      <c r="AD191" s="62"/>
      <c r="AE191" s="62"/>
      <c r="AF191" s="62"/>
      <c r="AG191" s="62"/>
      <c r="AH191" s="62"/>
      <c r="AI191" s="62"/>
    </row>
    <row r="192" ht="14.25" customHeight="1">
      <c r="Z192" s="62"/>
      <c r="AA192" s="62"/>
      <c r="AB192" s="62"/>
      <c r="AC192" s="62"/>
      <c r="AD192" s="62"/>
      <c r="AE192" s="62"/>
      <c r="AF192" s="62"/>
      <c r="AG192" s="62"/>
      <c r="AH192" s="62"/>
      <c r="AI192" s="62"/>
    </row>
    <row r="193" ht="14.25" customHeight="1">
      <c r="Z193" s="62"/>
      <c r="AA193" s="62"/>
      <c r="AB193" s="62"/>
      <c r="AC193" s="62"/>
      <c r="AD193" s="62"/>
      <c r="AE193" s="62"/>
      <c r="AF193" s="62"/>
      <c r="AG193" s="62"/>
      <c r="AH193" s="62"/>
      <c r="AI193" s="62"/>
    </row>
    <row r="194" ht="14.25" customHeight="1">
      <c r="Z194" s="62"/>
      <c r="AA194" s="62"/>
      <c r="AB194" s="62"/>
      <c r="AC194" s="62"/>
      <c r="AD194" s="62"/>
      <c r="AE194" s="62"/>
      <c r="AF194" s="62"/>
      <c r="AG194" s="62"/>
      <c r="AH194" s="62"/>
      <c r="AI194" s="62"/>
    </row>
    <row r="195" ht="14.25" customHeight="1">
      <c r="Z195" s="62"/>
      <c r="AA195" s="62"/>
      <c r="AB195" s="62"/>
      <c r="AC195" s="62"/>
      <c r="AD195" s="62"/>
      <c r="AE195" s="62"/>
      <c r="AF195" s="62"/>
      <c r="AG195" s="62"/>
      <c r="AH195" s="62"/>
      <c r="AI195" s="62"/>
    </row>
    <row r="196" ht="14.25" customHeight="1">
      <c r="Z196" s="62"/>
      <c r="AA196" s="62"/>
      <c r="AB196" s="62"/>
      <c r="AC196" s="62"/>
      <c r="AD196" s="62"/>
      <c r="AE196" s="62"/>
      <c r="AF196" s="62"/>
      <c r="AG196" s="62"/>
      <c r="AH196" s="62"/>
      <c r="AI196" s="62"/>
    </row>
    <row r="197" ht="14.25" customHeight="1">
      <c r="Z197" s="62"/>
      <c r="AA197" s="62"/>
      <c r="AB197" s="62"/>
      <c r="AC197" s="62"/>
      <c r="AD197" s="62"/>
      <c r="AE197" s="62"/>
      <c r="AF197" s="62"/>
      <c r="AG197" s="62"/>
      <c r="AH197" s="62"/>
      <c r="AI197" s="62"/>
    </row>
    <row r="198" ht="14.25" customHeight="1">
      <c r="Z198" s="62"/>
      <c r="AA198" s="62"/>
      <c r="AB198" s="62"/>
      <c r="AC198" s="62"/>
      <c r="AD198" s="62"/>
      <c r="AE198" s="62"/>
      <c r="AF198" s="62"/>
      <c r="AG198" s="62"/>
      <c r="AH198" s="62"/>
      <c r="AI198" s="62"/>
    </row>
    <row r="199" ht="14.25" customHeight="1">
      <c r="Z199" s="62"/>
      <c r="AA199" s="62"/>
      <c r="AB199" s="62"/>
      <c r="AC199" s="62"/>
      <c r="AD199" s="62"/>
      <c r="AE199" s="62"/>
      <c r="AF199" s="62"/>
      <c r="AG199" s="62"/>
      <c r="AH199" s="62"/>
      <c r="AI199" s="62"/>
    </row>
    <row r="200" ht="14.25" customHeight="1">
      <c r="Z200" s="62"/>
      <c r="AA200" s="62"/>
      <c r="AB200" s="62"/>
      <c r="AC200" s="62"/>
      <c r="AD200" s="62"/>
      <c r="AE200" s="62"/>
      <c r="AF200" s="62"/>
      <c r="AG200" s="62"/>
      <c r="AH200" s="62"/>
      <c r="AI200" s="62"/>
    </row>
    <row r="201" ht="14.25" customHeight="1">
      <c r="Z201" s="62"/>
      <c r="AA201" s="62"/>
      <c r="AB201" s="62"/>
      <c r="AC201" s="62"/>
      <c r="AD201" s="62"/>
      <c r="AE201" s="62"/>
      <c r="AF201" s="62"/>
      <c r="AG201" s="62"/>
      <c r="AH201" s="62"/>
      <c r="AI201" s="62"/>
    </row>
    <row r="202" ht="14.25" customHeight="1">
      <c r="Z202" s="62"/>
      <c r="AA202" s="62"/>
      <c r="AB202" s="62"/>
      <c r="AC202" s="62"/>
      <c r="AD202" s="62"/>
      <c r="AE202" s="62"/>
      <c r="AF202" s="62"/>
      <c r="AG202" s="62"/>
      <c r="AH202" s="62"/>
      <c r="AI202" s="62"/>
    </row>
    <row r="203" ht="14.25" customHeight="1">
      <c r="Z203" s="62"/>
      <c r="AA203" s="62"/>
      <c r="AB203" s="62"/>
      <c r="AC203" s="62"/>
      <c r="AD203" s="62"/>
      <c r="AE203" s="62"/>
      <c r="AF203" s="62"/>
      <c r="AG203" s="62"/>
      <c r="AH203" s="62"/>
      <c r="AI203" s="62"/>
    </row>
    <row r="204" ht="14.25" customHeight="1">
      <c r="Z204" s="62"/>
      <c r="AA204" s="62"/>
      <c r="AB204" s="62"/>
      <c r="AC204" s="62"/>
      <c r="AD204" s="62"/>
      <c r="AE204" s="62"/>
      <c r="AF204" s="62"/>
      <c r="AG204" s="62"/>
      <c r="AH204" s="62"/>
      <c r="AI204" s="62"/>
    </row>
    <row r="205" ht="14.25" customHeight="1">
      <c r="Z205" s="62"/>
      <c r="AA205" s="62"/>
      <c r="AB205" s="62"/>
      <c r="AC205" s="62"/>
      <c r="AD205" s="62"/>
      <c r="AE205" s="62"/>
      <c r="AF205" s="62"/>
      <c r="AG205" s="62"/>
      <c r="AH205" s="62"/>
      <c r="AI205" s="62"/>
    </row>
    <row r="206" ht="14.25" customHeight="1">
      <c r="Z206" s="62"/>
      <c r="AA206" s="62"/>
      <c r="AB206" s="62"/>
      <c r="AC206" s="62"/>
      <c r="AD206" s="62"/>
      <c r="AE206" s="62"/>
      <c r="AF206" s="62"/>
      <c r="AG206" s="62"/>
      <c r="AH206" s="62"/>
      <c r="AI206" s="62"/>
    </row>
    <row r="207" ht="14.25" customHeight="1">
      <c r="Z207" s="62"/>
      <c r="AA207" s="62"/>
      <c r="AB207" s="62"/>
      <c r="AC207" s="62"/>
      <c r="AD207" s="62"/>
      <c r="AE207" s="62"/>
      <c r="AF207" s="62"/>
      <c r="AG207" s="62"/>
      <c r="AH207" s="62"/>
      <c r="AI207" s="62"/>
    </row>
    <row r="208" ht="14.25" customHeight="1">
      <c r="Z208" s="62"/>
      <c r="AA208" s="62"/>
      <c r="AB208" s="62"/>
      <c r="AC208" s="62"/>
      <c r="AD208" s="62"/>
      <c r="AE208" s="62"/>
      <c r="AF208" s="62"/>
      <c r="AG208" s="62"/>
      <c r="AH208" s="62"/>
      <c r="AI208" s="62"/>
    </row>
    <row r="209" ht="14.25" customHeight="1">
      <c r="Z209" s="62"/>
      <c r="AA209" s="62"/>
      <c r="AB209" s="62"/>
      <c r="AC209" s="62"/>
      <c r="AD209" s="62"/>
      <c r="AE209" s="62"/>
      <c r="AF209" s="62"/>
      <c r="AG209" s="62"/>
      <c r="AH209" s="62"/>
      <c r="AI209" s="62"/>
    </row>
    <row r="210" ht="14.25" customHeight="1">
      <c r="Z210" s="62"/>
      <c r="AA210" s="62"/>
      <c r="AB210" s="62"/>
      <c r="AC210" s="62"/>
      <c r="AD210" s="62"/>
      <c r="AE210" s="62"/>
      <c r="AF210" s="62"/>
      <c r="AG210" s="62"/>
      <c r="AH210" s="62"/>
      <c r="AI210" s="62"/>
    </row>
    <row r="211" ht="14.25" customHeight="1">
      <c r="Z211" s="62"/>
      <c r="AA211" s="62"/>
      <c r="AB211" s="62"/>
      <c r="AC211" s="62"/>
      <c r="AD211" s="62"/>
      <c r="AE211" s="62"/>
      <c r="AF211" s="62"/>
      <c r="AG211" s="62"/>
      <c r="AH211" s="62"/>
      <c r="AI211" s="62"/>
    </row>
    <row r="212" ht="14.25" customHeight="1">
      <c r="Z212" s="62"/>
      <c r="AA212" s="62"/>
      <c r="AB212" s="62"/>
      <c r="AC212" s="62"/>
      <c r="AD212" s="62"/>
      <c r="AE212" s="62"/>
      <c r="AF212" s="62"/>
      <c r="AG212" s="62"/>
      <c r="AH212" s="62"/>
      <c r="AI212" s="62"/>
    </row>
    <row r="213" ht="14.25" customHeight="1">
      <c r="Z213" s="62"/>
      <c r="AA213" s="62"/>
      <c r="AB213" s="62"/>
      <c r="AC213" s="62"/>
      <c r="AD213" s="62"/>
      <c r="AE213" s="62"/>
      <c r="AF213" s="62"/>
      <c r="AG213" s="62"/>
      <c r="AH213" s="62"/>
      <c r="AI213" s="62"/>
    </row>
    <row r="214" ht="14.25" customHeight="1">
      <c r="Z214" s="62"/>
      <c r="AA214" s="62"/>
      <c r="AB214" s="62"/>
      <c r="AC214" s="62"/>
      <c r="AD214" s="62"/>
      <c r="AE214" s="62"/>
      <c r="AF214" s="62"/>
      <c r="AG214" s="62"/>
      <c r="AH214" s="62"/>
      <c r="AI214" s="62"/>
    </row>
    <row r="215" ht="14.25" customHeight="1">
      <c r="Z215" s="62"/>
      <c r="AA215" s="62"/>
      <c r="AB215" s="62"/>
      <c r="AC215" s="62"/>
      <c r="AD215" s="62"/>
      <c r="AE215" s="62"/>
      <c r="AF215" s="62"/>
      <c r="AG215" s="62"/>
      <c r="AH215" s="62"/>
      <c r="AI215" s="62"/>
    </row>
    <row r="216" ht="14.25" customHeight="1">
      <c r="Z216" s="62"/>
      <c r="AA216" s="62"/>
      <c r="AB216" s="62"/>
      <c r="AC216" s="62"/>
      <c r="AD216" s="62"/>
      <c r="AE216" s="62"/>
      <c r="AF216" s="62"/>
      <c r="AG216" s="62"/>
      <c r="AH216" s="62"/>
      <c r="AI216" s="62"/>
    </row>
    <row r="217" ht="14.25" customHeight="1">
      <c r="Z217" s="62"/>
      <c r="AA217" s="62"/>
      <c r="AB217" s="62"/>
      <c r="AC217" s="62"/>
      <c r="AD217" s="62"/>
      <c r="AE217" s="62"/>
      <c r="AF217" s="62"/>
      <c r="AG217" s="62"/>
      <c r="AH217" s="62"/>
      <c r="AI217" s="62"/>
    </row>
    <row r="218" ht="14.25" customHeight="1">
      <c r="Z218" s="62"/>
      <c r="AA218" s="62"/>
      <c r="AB218" s="62"/>
      <c r="AC218" s="62"/>
      <c r="AD218" s="62"/>
      <c r="AE218" s="62"/>
      <c r="AF218" s="62"/>
      <c r="AG218" s="62"/>
      <c r="AH218" s="62"/>
      <c r="AI218" s="62"/>
    </row>
    <row r="219" ht="14.25" customHeight="1">
      <c r="Z219" s="62"/>
      <c r="AA219" s="62"/>
      <c r="AB219" s="62"/>
      <c r="AC219" s="62"/>
      <c r="AD219" s="62"/>
      <c r="AE219" s="62"/>
      <c r="AF219" s="62"/>
      <c r="AG219" s="62"/>
      <c r="AH219" s="62"/>
      <c r="AI219" s="62"/>
    </row>
    <row r="220" ht="14.25" customHeight="1">
      <c r="Z220" s="62"/>
      <c r="AA220" s="62"/>
      <c r="AB220" s="62"/>
      <c r="AC220" s="62"/>
      <c r="AD220" s="62"/>
      <c r="AE220" s="62"/>
      <c r="AF220" s="62"/>
      <c r="AG220" s="62"/>
      <c r="AH220" s="62"/>
      <c r="AI220" s="6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H28">
      <formula1>"Ada,Belum Ada,Proses,Belum mengurus"</formula1>
    </dataValidation>
    <dataValidation type="list" allowBlank="1" showErrorMessage="1" sqref="G5:G9">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27.14"/>
    <col customWidth="1" min="3" max="3" width="46.29"/>
    <col customWidth="1" min="4" max="4" width="11.86"/>
    <col customWidth="1" min="5" max="5" width="35.0"/>
    <col customWidth="1" min="6" max="6" width="50.57"/>
    <col customWidth="1" min="7" max="7" width="18.14"/>
    <col customWidth="1" min="8" max="9" width="21.14"/>
    <col customWidth="1" min="10" max="10" width="22.86"/>
    <col customWidth="1" min="11" max="11" width="21.14"/>
    <col customWidth="1" min="12" max="13" width="27.0"/>
    <col customWidth="1" min="14" max="14" width="69.86"/>
    <col customWidth="1" min="15" max="15" width="28.57"/>
    <col customWidth="1" min="16" max="16" width="25.57"/>
    <col customWidth="1" min="17" max="17" width="83.29"/>
    <col customWidth="1" min="18" max="18" width="26.29"/>
    <col customWidth="1" min="19" max="19" width="46.29"/>
    <col customWidth="1" min="20" max="20" width="34.0"/>
    <col customWidth="1" min="21" max="21" width="34.86"/>
    <col customWidth="1" min="22" max="22" width="39.43"/>
    <col customWidth="1" min="23" max="23" width="36.29"/>
    <col customWidth="1" min="24" max="24" width="26.43"/>
    <col customWidth="1" min="25" max="25" width="18.43"/>
    <col customWidth="1" min="26" max="35" width="8.71"/>
  </cols>
  <sheetData>
    <row r="1" ht="14.25" customHeight="1">
      <c r="L1" s="63" t="s">
        <v>1</v>
      </c>
      <c r="Z1" s="62"/>
      <c r="AA1" s="62"/>
      <c r="AB1" s="62"/>
      <c r="AC1" s="62"/>
      <c r="AD1" s="62"/>
      <c r="AE1" s="62"/>
      <c r="AF1" s="62"/>
      <c r="AG1" s="62"/>
      <c r="AH1" s="62"/>
      <c r="AI1" s="62"/>
    </row>
    <row r="2" ht="14.25" customHeight="1">
      <c r="L2" s="64" t="s">
        <v>2</v>
      </c>
      <c r="Z2" s="62"/>
      <c r="AA2" s="62"/>
      <c r="AB2" s="62"/>
      <c r="AC2" s="62"/>
      <c r="AD2" s="62"/>
      <c r="AE2" s="62"/>
      <c r="AF2" s="62"/>
      <c r="AG2" s="62"/>
      <c r="AH2" s="62"/>
      <c r="AI2" s="62"/>
    </row>
    <row r="3" ht="14.25" customHeight="1">
      <c r="Z3" s="62"/>
      <c r="AA3" s="62"/>
      <c r="AB3" s="62"/>
      <c r="AC3" s="62"/>
      <c r="AD3" s="62"/>
      <c r="AE3" s="62"/>
      <c r="AF3" s="62"/>
      <c r="AG3" s="62"/>
      <c r="AH3" s="62"/>
      <c r="AI3" s="62"/>
    </row>
    <row r="4" ht="40.5" customHeight="1">
      <c r="A4" s="65" t="s">
        <v>3</v>
      </c>
      <c r="B4" s="65" t="s">
        <v>4</v>
      </c>
      <c r="C4" s="65" t="s">
        <v>5</v>
      </c>
      <c r="D4" s="65" t="s">
        <v>6</v>
      </c>
      <c r="E4" s="65" t="s">
        <v>7</v>
      </c>
      <c r="F4" s="65" t="s">
        <v>8</v>
      </c>
      <c r="G4" s="65" t="s">
        <v>9</v>
      </c>
      <c r="H4" s="65" t="s">
        <v>1084</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118" t="s">
        <v>28</v>
      </c>
      <c r="AA4" s="118" t="s">
        <v>29</v>
      </c>
      <c r="AB4" s="118" t="s">
        <v>30</v>
      </c>
      <c r="AC4" s="118" t="s">
        <v>31</v>
      </c>
      <c r="AD4" s="118" t="s">
        <v>32</v>
      </c>
      <c r="AE4" s="118" t="s">
        <v>33</v>
      </c>
      <c r="AF4" s="118" t="s">
        <v>34</v>
      </c>
      <c r="AG4" s="118" t="s">
        <v>35</v>
      </c>
      <c r="AH4" s="118" t="s">
        <v>36</v>
      </c>
      <c r="AI4" s="66" t="s">
        <v>37</v>
      </c>
    </row>
    <row r="5" ht="14.25" customHeight="1">
      <c r="A5" s="183">
        <v>1.0</v>
      </c>
      <c r="B5" s="184" t="s">
        <v>1803</v>
      </c>
      <c r="C5" s="183" t="s">
        <v>1804</v>
      </c>
      <c r="D5" s="183" t="s">
        <v>1805</v>
      </c>
      <c r="E5" s="184" t="s">
        <v>1806</v>
      </c>
      <c r="F5" s="183" t="s">
        <v>1807</v>
      </c>
      <c r="G5" s="184" t="s">
        <v>43</v>
      </c>
      <c r="H5" s="184">
        <v>2025.0</v>
      </c>
      <c r="I5" s="184" t="s">
        <v>44</v>
      </c>
      <c r="J5" s="183" t="s">
        <v>1808</v>
      </c>
      <c r="K5" s="184">
        <v>8.7773733856E10</v>
      </c>
      <c r="L5" s="185">
        <v>2525.0</v>
      </c>
      <c r="M5" s="183"/>
      <c r="N5" s="183"/>
      <c r="O5" s="183"/>
      <c r="P5" s="184" t="s">
        <v>1809</v>
      </c>
      <c r="Q5" s="183" t="s">
        <v>1810</v>
      </c>
      <c r="R5" s="185" t="s">
        <v>1811</v>
      </c>
      <c r="S5" s="184"/>
      <c r="T5" s="184" t="s">
        <v>1812</v>
      </c>
      <c r="U5" s="184" t="s">
        <v>1813</v>
      </c>
      <c r="V5" s="184" t="s">
        <v>1814</v>
      </c>
      <c r="W5" s="183"/>
      <c r="X5" s="183"/>
      <c r="Y5" s="184"/>
      <c r="Z5" s="54" t="s">
        <v>54</v>
      </c>
      <c r="AA5" s="130" t="s">
        <v>54</v>
      </c>
      <c r="AB5" s="130" t="s">
        <v>54</v>
      </c>
      <c r="AC5" s="130" t="s">
        <v>54</v>
      </c>
      <c r="AD5" s="130" t="s">
        <v>54</v>
      </c>
      <c r="AE5" s="130" t="s">
        <v>145</v>
      </c>
      <c r="AF5" s="130" t="s">
        <v>54</v>
      </c>
      <c r="AG5" s="130" t="s">
        <v>54</v>
      </c>
      <c r="AH5" s="130" t="s">
        <v>145</v>
      </c>
      <c r="AI5" s="130">
        <v>47.0</v>
      </c>
    </row>
    <row r="6" ht="14.25" customHeight="1">
      <c r="A6" s="183">
        <v>2.0</v>
      </c>
      <c r="B6" s="184" t="s">
        <v>1815</v>
      </c>
      <c r="C6" s="184" t="s">
        <v>1816</v>
      </c>
      <c r="D6" s="183" t="s">
        <v>1817</v>
      </c>
      <c r="E6" s="186" t="s">
        <v>1180</v>
      </c>
      <c r="F6" s="183" t="s">
        <v>1818</v>
      </c>
      <c r="G6" s="184" t="s">
        <v>43</v>
      </c>
      <c r="H6" s="184">
        <v>2025.0</v>
      </c>
      <c r="I6" s="184" t="s">
        <v>44</v>
      </c>
      <c r="J6" s="184" t="s">
        <v>1819</v>
      </c>
      <c r="K6" s="187" t="s">
        <v>1820</v>
      </c>
      <c r="L6" s="185">
        <v>2151.0</v>
      </c>
      <c r="M6" s="184" t="s">
        <v>1821</v>
      </c>
      <c r="N6" s="183"/>
      <c r="O6" s="183"/>
      <c r="P6" s="183"/>
      <c r="Q6" s="184"/>
      <c r="R6" s="183"/>
      <c r="S6" s="183" t="s">
        <v>1822</v>
      </c>
      <c r="T6" s="183" t="s">
        <v>1823</v>
      </c>
      <c r="U6" s="183" t="s">
        <v>1824</v>
      </c>
      <c r="V6" s="183" t="s">
        <v>1825</v>
      </c>
      <c r="W6" s="183" t="s">
        <v>53</v>
      </c>
      <c r="X6" s="183" t="s">
        <v>53</v>
      </c>
      <c r="Y6" s="183"/>
      <c r="Z6" s="131" t="s">
        <v>54</v>
      </c>
      <c r="AA6" s="131" t="s">
        <v>54</v>
      </c>
      <c r="AB6" s="131" t="s">
        <v>54</v>
      </c>
      <c r="AC6" s="131" t="s">
        <v>54</v>
      </c>
      <c r="AD6" s="131" t="s">
        <v>54</v>
      </c>
      <c r="AE6" s="131" t="s">
        <v>54</v>
      </c>
      <c r="AF6" s="131" t="s">
        <v>54</v>
      </c>
      <c r="AG6" s="131" t="s">
        <v>54</v>
      </c>
      <c r="AH6" s="131" t="s">
        <v>54</v>
      </c>
      <c r="AI6" s="131">
        <v>48.0</v>
      </c>
    </row>
    <row r="7" ht="14.25" customHeight="1">
      <c r="A7" s="184">
        <v>3.0</v>
      </c>
      <c r="B7" s="184" t="s">
        <v>1826</v>
      </c>
      <c r="C7" s="184" t="s">
        <v>1827</v>
      </c>
      <c r="D7" s="184" t="s">
        <v>1828</v>
      </c>
      <c r="E7" s="184" t="s">
        <v>1829</v>
      </c>
      <c r="F7" s="184" t="s">
        <v>1830</v>
      </c>
      <c r="G7" s="184" t="s">
        <v>43</v>
      </c>
      <c r="H7" s="184">
        <v>2025.0</v>
      </c>
      <c r="I7" s="184" t="s">
        <v>44</v>
      </c>
      <c r="J7" s="184" t="s">
        <v>1831</v>
      </c>
      <c r="K7" s="184" t="s">
        <v>1832</v>
      </c>
      <c r="L7" s="184">
        <v>3154.0</v>
      </c>
      <c r="M7" s="184"/>
      <c r="N7" s="184" t="s">
        <v>1833</v>
      </c>
      <c r="O7" s="184" t="s">
        <v>1834</v>
      </c>
      <c r="P7" s="184"/>
      <c r="Q7" s="184" t="s">
        <v>1835</v>
      </c>
      <c r="R7" s="184" t="s">
        <v>1836</v>
      </c>
      <c r="S7" s="184" t="s">
        <v>1837</v>
      </c>
      <c r="T7" s="184" t="s">
        <v>1838</v>
      </c>
      <c r="U7" s="184" t="s">
        <v>1839</v>
      </c>
      <c r="V7" s="184" t="s">
        <v>1840</v>
      </c>
      <c r="W7" s="184"/>
      <c r="X7" s="184"/>
      <c r="Y7" s="184"/>
      <c r="Z7" s="130"/>
      <c r="AA7" s="130"/>
      <c r="AB7" s="130"/>
      <c r="AC7" s="130"/>
      <c r="AD7" s="130"/>
      <c r="AE7" s="130"/>
      <c r="AF7" s="130"/>
      <c r="AG7" s="130"/>
      <c r="AH7" s="130"/>
      <c r="AI7" s="130"/>
    </row>
    <row r="8" ht="14.25" customHeight="1">
      <c r="A8" s="184">
        <v>4.0</v>
      </c>
      <c r="B8" s="184" t="s">
        <v>1841</v>
      </c>
      <c r="C8" s="184" t="s">
        <v>1842</v>
      </c>
      <c r="D8" s="184" t="s">
        <v>1843</v>
      </c>
      <c r="E8" s="184" t="s">
        <v>1844</v>
      </c>
      <c r="F8" s="184" t="s">
        <v>1845</v>
      </c>
      <c r="G8" s="184" t="s">
        <v>43</v>
      </c>
      <c r="H8" s="184">
        <v>2025.0</v>
      </c>
      <c r="I8" s="184" t="s">
        <v>44</v>
      </c>
      <c r="J8" s="184" t="s">
        <v>1846</v>
      </c>
      <c r="K8" s="184">
        <v>8.7771795406E10</v>
      </c>
      <c r="L8" s="184">
        <v>2960.0</v>
      </c>
      <c r="M8" s="184"/>
      <c r="N8" s="184" t="s">
        <v>1847</v>
      </c>
      <c r="O8" s="184"/>
      <c r="P8" s="184"/>
      <c r="Q8" s="184" t="s">
        <v>1848</v>
      </c>
      <c r="R8" s="184" t="s">
        <v>1849</v>
      </c>
      <c r="S8" s="184" t="s">
        <v>1850</v>
      </c>
      <c r="T8" s="184" t="s">
        <v>1851</v>
      </c>
      <c r="U8" s="184" t="s">
        <v>1852</v>
      </c>
      <c r="V8" s="184" t="s">
        <v>1853</v>
      </c>
      <c r="W8" s="184"/>
      <c r="X8" s="184"/>
      <c r="Y8" s="184"/>
      <c r="Z8" s="131" t="s">
        <v>54</v>
      </c>
      <c r="AA8" s="131" t="s">
        <v>54</v>
      </c>
      <c r="AB8" s="131" t="s">
        <v>54</v>
      </c>
      <c r="AC8" s="131" t="s">
        <v>54</v>
      </c>
      <c r="AD8" s="131" t="s">
        <v>54</v>
      </c>
      <c r="AE8" s="131" t="s">
        <v>146</v>
      </c>
      <c r="AF8" s="131" t="s">
        <v>54</v>
      </c>
      <c r="AG8" s="131" t="s">
        <v>54</v>
      </c>
      <c r="AH8" s="131" t="s">
        <v>146</v>
      </c>
      <c r="AI8" s="131">
        <v>50.0</v>
      </c>
    </row>
    <row r="9" ht="14.25" customHeight="1">
      <c r="A9" s="184">
        <v>5.0</v>
      </c>
      <c r="B9" s="184" t="s">
        <v>1854</v>
      </c>
      <c r="C9" s="184" t="s">
        <v>1855</v>
      </c>
      <c r="D9" s="184" t="s">
        <v>1856</v>
      </c>
      <c r="E9" s="184" t="s">
        <v>919</v>
      </c>
      <c r="F9" s="184" t="s">
        <v>1857</v>
      </c>
      <c r="G9" s="184" t="s">
        <v>43</v>
      </c>
      <c r="H9" s="184">
        <v>2025.0</v>
      </c>
      <c r="I9" s="184" t="s">
        <v>44</v>
      </c>
      <c r="J9" s="184" t="s">
        <v>1858</v>
      </c>
      <c r="K9" s="184">
        <v>8.1316799234E10</v>
      </c>
      <c r="L9" s="184">
        <v>2176.0</v>
      </c>
      <c r="M9" s="184">
        <v>0.0</v>
      </c>
      <c r="N9" s="184">
        <v>0.0</v>
      </c>
      <c r="O9" s="184">
        <v>0.0</v>
      </c>
      <c r="P9" s="184">
        <v>0.0</v>
      </c>
      <c r="Q9" s="184">
        <v>0.0</v>
      </c>
      <c r="R9" s="184">
        <v>0.0</v>
      </c>
      <c r="S9" s="184" t="s">
        <v>1859</v>
      </c>
      <c r="T9" s="184" t="s">
        <v>1860</v>
      </c>
      <c r="U9" s="184" t="s">
        <v>1861</v>
      </c>
      <c r="V9" s="184" t="s">
        <v>1862</v>
      </c>
      <c r="W9" s="184">
        <v>0.0</v>
      </c>
      <c r="X9" s="184">
        <v>0.0</v>
      </c>
      <c r="Y9" s="184"/>
      <c r="Z9" s="130" t="s">
        <v>54</v>
      </c>
      <c r="AA9" s="130" t="s">
        <v>54</v>
      </c>
      <c r="AB9" s="130" t="s">
        <v>54</v>
      </c>
      <c r="AC9" s="130" t="s">
        <v>54</v>
      </c>
      <c r="AD9" s="130" t="s">
        <v>54</v>
      </c>
      <c r="AE9" s="130" t="s">
        <v>145</v>
      </c>
      <c r="AF9" s="130" t="s">
        <v>145</v>
      </c>
      <c r="AG9" s="130" t="s">
        <v>145</v>
      </c>
      <c r="AH9" s="130" t="s">
        <v>146</v>
      </c>
      <c r="AI9" s="130">
        <v>47.0</v>
      </c>
    </row>
    <row r="10" ht="14.25" customHeight="1">
      <c r="A10" s="184">
        <v>6.0</v>
      </c>
      <c r="B10" s="184" t="s">
        <v>1863</v>
      </c>
      <c r="C10" s="184" t="s">
        <v>1864</v>
      </c>
      <c r="D10" s="183" t="s">
        <v>1865</v>
      </c>
      <c r="E10" s="183" t="s">
        <v>1866</v>
      </c>
      <c r="F10" s="184" t="s">
        <v>1867</v>
      </c>
      <c r="G10" s="184" t="s">
        <v>43</v>
      </c>
      <c r="H10" s="184">
        <v>2025.0</v>
      </c>
      <c r="I10" s="184" t="s">
        <v>53</v>
      </c>
      <c r="J10" s="184" t="s">
        <v>1868</v>
      </c>
      <c r="K10" s="184">
        <v>8.5143692065E10</v>
      </c>
      <c r="L10" s="184">
        <v>3415.0</v>
      </c>
      <c r="M10" s="184" t="s">
        <v>1869</v>
      </c>
      <c r="N10" s="184" t="s">
        <v>1870</v>
      </c>
      <c r="O10" s="184" t="s">
        <v>1871</v>
      </c>
      <c r="P10" s="184">
        <v>0.0</v>
      </c>
      <c r="Q10" s="184" t="s">
        <v>1872</v>
      </c>
      <c r="R10" s="184" t="s">
        <v>1873</v>
      </c>
      <c r="S10" s="184" t="s">
        <v>1874</v>
      </c>
      <c r="T10" s="184" t="s">
        <v>1875</v>
      </c>
      <c r="U10" s="184" t="s">
        <v>1876</v>
      </c>
      <c r="V10" s="184" t="s">
        <v>1877</v>
      </c>
      <c r="W10" s="184"/>
      <c r="X10" s="184"/>
      <c r="Y10" s="184"/>
      <c r="Z10" s="131"/>
      <c r="AA10" s="131"/>
      <c r="AB10" s="131"/>
      <c r="AC10" s="131"/>
      <c r="AD10" s="131"/>
      <c r="AE10" s="131"/>
      <c r="AF10" s="131"/>
      <c r="AG10" s="131"/>
      <c r="AH10" s="131"/>
      <c r="AI10" s="131"/>
    </row>
    <row r="11" ht="14.25" customHeight="1">
      <c r="A11" s="184">
        <v>7.0</v>
      </c>
      <c r="B11" s="184" t="s">
        <v>1878</v>
      </c>
      <c r="C11" s="184" t="s">
        <v>1879</v>
      </c>
      <c r="D11" s="184" t="s">
        <v>1880</v>
      </c>
      <c r="E11" s="184" t="s">
        <v>1881</v>
      </c>
      <c r="F11" s="184" t="s">
        <v>1882</v>
      </c>
      <c r="G11" s="184" t="s">
        <v>43</v>
      </c>
      <c r="H11" s="184">
        <v>2025.0</v>
      </c>
      <c r="I11" s="184" t="s">
        <v>44</v>
      </c>
      <c r="J11" s="184" t="s">
        <v>1883</v>
      </c>
      <c r="K11" s="184" t="s">
        <v>1884</v>
      </c>
      <c r="L11" s="184">
        <v>2721.0</v>
      </c>
      <c r="M11" s="184" t="s">
        <v>53</v>
      </c>
      <c r="N11" s="184" t="s">
        <v>53</v>
      </c>
      <c r="O11" s="184" t="s">
        <v>53</v>
      </c>
      <c r="P11" s="184" t="s">
        <v>1885</v>
      </c>
      <c r="Q11" s="184" t="s">
        <v>1886</v>
      </c>
      <c r="R11" s="184" t="s">
        <v>1887</v>
      </c>
      <c r="S11" s="184" t="s">
        <v>1888</v>
      </c>
      <c r="T11" s="184" t="s">
        <v>1889</v>
      </c>
      <c r="U11" s="184" t="s">
        <v>1890</v>
      </c>
      <c r="V11" s="184" t="s">
        <v>1891</v>
      </c>
      <c r="W11" s="184" t="s">
        <v>53</v>
      </c>
      <c r="X11" s="184" t="s">
        <v>53</v>
      </c>
      <c r="Y11" s="184"/>
      <c r="Z11" s="130" t="s">
        <v>54</v>
      </c>
      <c r="AA11" s="130" t="s">
        <v>54</v>
      </c>
      <c r="AB11" s="130" t="s">
        <v>54</v>
      </c>
      <c r="AC11" s="130" t="s">
        <v>54</v>
      </c>
      <c r="AD11" s="130" t="s">
        <v>54</v>
      </c>
      <c r="AE11" s="130" t="s">
        <v>190</v>
      </c>
      <c r="AF11" s="130" t="s">
        <v>145</v>
      </c>
      <c r="AG11" s="130" t="s">
        <v>54</v>
      </c>
      <c r="AH11" s="130" t="s">
        <v>190</v>
      </c>
      <c r="AI11" s="130">
        <v>47.0</v>
      </c>
    </row>
    <row r="12" ht="14.25" customHeight="1">
      <c r="A12" s="184">
        <v>8.0</v>
      </c>
      <c r="B12" s="184" t="s">
        <v>1803</v>
      </c>
      <c r="C12" s="184" t="s">
        <v>1892</v>
      </c>
      <c r="D12" s="184" t="s">
        <v>1893</v>
      </c>
      <c r="E12" s="184" t="s">
        <v>1894</v>
      </c>
      <c r="F12" s="184" t="s">
        <v>1895</v>
      </c>
      <c r="G12" s="184" t="s">
        <v>43</v>
      </c>
      <c r="H12" s="184">
        <v>2025.0</v>
      </c>
      <c r="I12" s="184" t="s">
        <v>44</v>
      </c>
      <c r="J12" s="184" t="s">
        <v>1896</v>
      </c>
      <c r="K12" s="184" t="s">
        <v>1897</v>
      </c>
      <c r="L12" s="184">
        <v>2.561</v>
      </c>
      <c r="M12" s="184"/>
      <c r="N12" s="184" t="s">
        <v>1898</v>
      </c>
      <c r="O12" s="184"/>
      <c r="P12" s="184" t="s">
        <v>1899</v>
      </c>
      <c r="Q12" s="184" t="s">
        <v>1900</v>
      </c>
      <c r="R12" s="184" t="s">
        <v>1901</v>
      </c>
      <c r="S12" s="184" t="s">
        <v>1902</v>
      </c>
      <c r="T12" s="184" t="s">
        <v>1903</v>
      </c>
      <c r="U12" s="184" t="s">
        <v>1904</v>
      </c>
      <c r="V12" s="184" t="s">
        <v>1905</v>
      </c>
      <c r="W12" s="184"/>
      <c r="X12" s="184"/>
      <c r="Y12" s="184"/>
      <c r="Z12" s="131" t="s">
        <v>54</v>
      </c>
      <c r="AA12" s="131" t="s">
        <v>54</v>
      </c>
      <c r="AB12" s="131" t="s">
        <v>54</v>
      </c>
      <c r="AC12" s="131" t="s">
        <v>54</v>
      </c>
      <c r="AD12" s="131" t="s">
        <v>54</v>
      </c>
      <c r="AE12" s="131" t="s">
        <v>145</v>
      </c>
      <c r="AF12" s="131" t="s">
        <v>54</v>
      </c>
      <c r="AG12" s="131" t="s">
        <v>54</v>
      </c>
      <c r="AH12" s="131" t="s">
        <v>145</v>
      </c>
      <c r="AI12" s="131">
        <v>49.0</v>
      </c>
    </row>
    <row r="13" ht="14.25" customHeight="1">
      <c r="A13" s="184">
        <v>9.0</v>
      </c>
      <c r="B13" s="184" t="s">
        <v>1906</v>
      </c>
      <c r="C13" s="184" t="s">
        <v>1907</v>
      </c>
      <c r="D13" s="184" t="s">
        <v>1908</v>
      </c>
      <c r="E13" s="184" t="s">
        <v>1909</v>
      </c>
      <c r="F13" s="184" t="s">
        <v>1910</v>
      </c>
      <c r="G13" s="184" t="s">
        <v>43</v>
      </c>
      <c r="H13" s="184">
        <v>2025.0</v>
      </c>
      <c r="I13" s="184" t="s">
        <v>44</v>
      </c>
      <c r="J13" s="184" t="s">
        <v>1911</v>
      </c>
      <c r="K13" s="184" t="s">
        <v>1912</v>
      </c>
      <c r="L13" s="188">
        <v>2996.0</v>
      </c>
      <c r="M13" s="184">
        <v>0.0</v>
      </c>
      <c r="N13" s="189" t="s">
        <v>1913</v>
      </c>
      <c r="O13" s="184">
        <v>0.0</v>
      </c>
      <c r="P13" s="184">
        <v>0.0</v>
      </c>
      <c r="Q13" s="189" t="s">
        <v>1914</v>
      </c>
      <c r="R13" s="184">
        <v>0.0</v>
      </c>
      <c r="S13" s="183" t="s">
        <v>1915</v>
      </c>
      <c r="T13" s="184" t="s">
        <v>1916</v>
      </c>
      <c r="U13" s="184" t="s">
        <v>1917</v>
      </c>
      <c r="V13" s="188" t="s">
        <v>1918</v>
      </c>
      <c r="W13" s="184">
        <v>0.0</v>
      </c>
      <c r="X13" s="184">
        <v>0.0</v>
      </c>
      <c r="Y13" s="184"/>
      <c r="Z13" s="139" t="s">
        <v>54</v>
      </c>
      <c r="AA13" s="139" t="s">
        <v>54</v>
      </c>
      <c r="AB13" s="139" t="s">
        <v>54</v>
      </c>
      <c r="AC13" s="139" t="s">
        <v>54</v>
      </c>
      <c r="AD13" s="139" t="s">
        <v>54</v>
      </c>
      <c r="AE13" s="139" t="s">
        <v>146</v>
      </c>
      <c r="AF13" s="139" t="s">
        <v>145</v>
      </c>
      <c r="AG13" s="139" t="s">
        <v>54</v>
      </c>
      <c r="AH13" s="139" t="s">
        <v>146</v>
      </c>
      <c r="AI13" s="139">
        <v>48.0</v>
      </c>
    </row>
    <row r="14" ht="14.25" customHeight="1">
      <c r="A14" s="184">
        <v>10.0</v>
      </c>
      <c r="B14" s="184" t="s">
        <v>1906</v>
      </c>
      <c r="C14" s="184" t="s">
        <v>1919</v>
      </c>
      <c r="D14" s="184" t="s">
        <v>1920</v>
      </c>
      <c r="E14" s="184" t="s">
        <v>1921</v>
      </c>
      <c r="F14" s="184" t="s">
        <v>1922</v>
      </c>
      <c r="G14" s="184" t="s">
        <v>43</v>
      </c>
      <c r="H14" s="184">
        <v>2025.0</v>
      </c>
      <c r="I14" s="184" t="s">
        <v>44</v>
      </c>
      <c r="J14" s="184" t="s">
        <v>1923</v>
      </c>
      <c r="K14" s="184" t="s">
        <v>1924</v>
      </c>
      <c r="L14" s="184">
        <v>2297.0</v>
      </c>
      <c r="M14" s="184">
        <v>0.0</v>
      </c>
      <c r="N14" s="184" t="s">
        <v>1925</v>
      </c>
      <c r="O14" s="184">
        <v>0.0</v>
      </c>
      <c r="P14" s="184">
        <v>0.0</v>
      </c>
      <c r="Q14" s="184" t="s">
        <v>1926</v>
      </c>
      <c r="R14" s="184" t="s">
        <v>1927</v>
      </c>
      <c r="S14" s="184" t="s">
        <v>1928</v>
      </c>
      <c r="T14" s="184" t="s">
        <v>1929</v>
      </c>
      <c r="U14" s="184" t="s">
        <v>1930</v>
      </c>
      <c r="V14" s="184" t="s">
        <v>1931</v>
      </c>
      <c r="W14" s="184">
        <v>0.0</v>
      </c>
      <c r="X14" s="184">
        <v>1.0</v>
      </c>
      <c r="Y14" s="184"/>
      <c r="Z14" s="190" t="s">
        <v>54</v>
      </c>
      <c r="AA14" s="190" t="s">
        <v>54</v>
      </c>
      <c r="AB14" s="190" t="s">
        <v>54</v>
      </c>
      <c r="AC14" s="190" t="s">
        <v>54</v>
      </c>
      <c r="AD14" s="190" t="s">
        <v>54</v>
      </c>
      <c r="AE14" s="190" t="s">
        <v>146</v>
      </c>
      <c r="AF14" s="190" t="s">
        <v>145</v>
      </c>
      <c r="AG14" s="190" t="s">
        <v>54</v>
      </c>
      <c r="AH14" s="190" t="s">
        <v>146</v>
      </c>
      <c r="AI14" s="190">
        <v>49.0</v>
      </c>
    </row>
    <row r="15" ht="14.25" customHeight="1">
      <c r="A15" s="184">
        <v>11.0</v>
      </c>
      <c r="B15" s="184" t="s">
        <v>1906</v>
      </c>
      <c r="C15" s="184" t="s">
        <v>1932</v>
      </c>
      <c r="D15" s="184" t="s">
        <v>1933</v>
      </c>
      <c r="E15" s="184" t="s">
        <v>1934</v>
      </c>
      <c r="F15" s="184" t="s">
        <v>1935</v>
      </c>
      <c r="G15" s="184" t="s">
        <v>43</v>
      </c>
      <c r="H15" s="184">
        <v>2025.0</v>
      </c>
      <c r="I15" s="184" t="s">
        <v>44</v>
      </c>
      <c r="J15" s="184" t="s">
        <v>1936</v>
      </c>
      <c r="K15" s="191" t="s">
        <v>1937</v>
      </c>
      <c r="L15" s="184">
        <v>2119.0</v>
      </c>
      <c r="M15" s="184">
        <v>0.0</v>
      </c>
      <c r="N15" s="184" t="s">
        <v>1938</v>
      </c>
      <c r="O15" s="184">
        <v>0.0</v>
      </c>
      <c r="P15" s="184">
        <v>0.0</v>
      </c>
      <c r="Q15" s="192" t="s">
        <v>1939</v>
      </c>
      <c r="R15" s="184" t="s">
        <v>1940</v>
      </c>
      <c r="S15" s="184" t="s">
        <v>1941</v>
      </c>
      <c r="T15" s="184" t="s">
        <v>1942</v>
      </c>
      <c r="U15" s="184" t="s">
        <v>1943</v>
      </c>
      <c r="V15" s="184" t="s">
        <v>1944</v>
      </c>
      <c r="W15" s="184">
        <v>0.0</v>
      </c>
      <c r="X15" s="184" t="s">
        <v>1945</v>
      </c>
      <c r="Y15" s="184"/>
      <c r="Z15" s="130"/>
      <c r="AA15" s="130"/>
      <c r="AB15" s="130"/>
      <c r="AC15" s="130"/>
      <c r="AD15" s="130"/>
      <c r="AE15" s="130"/>
      <c r="AF15" s="130"/>
      <c r="AG15" s="130"/>
      <c r="AH15" s="130"/>
      <c r="AI15" s="130">
        <v>47.0</v>
      </c>
    </row>
    <row r="16" ht="14.25" customHeight="1">
      <c r="A16" s="184">
        <v>12.0</v>
      </c>
      <c r="B16" s="184" t="s">
        <v>1946</v>
      </c>
      <c r="C16" s="184" t="s">
        <v>1947</v>
      </c>
      <c r="D16" s="184" t="s">
        <v>1948</v>
      </c>
      <c r="E16" s="184" t="s">
        <v>1949</v>
      </c>
      <c r="F16" s="184" t="s">
        <v>1950</v>
      </c>
      <c r="G16" s="184" t="s">
        <v>43</v>
      </c>
      <c r="H16" s="184">
        <v>2025.0</v>
      </c>
      <c r="I16" s="184" t="s">
        <v>1009</v>
      </c>
      <c r="J16" s="184" t="s">
        <v>1951</v>
      </c>
      <c r="K16" s="184">
        <v>8.7786259627E10</v>
      </c>
      <c r="L16" s="184">
        <v>2905.0</v>
      </c>
      <c r="M16" s="184" t="s">
        <v>1952</v>
      </c>
      <c r="N16" s="184">
        <v>0.0</v>
      </c>
      <c r="O16" s="184">
        <v>0.0</v>
      </c>
      <c r="P16" s="184" t="s">
        <v>1953</v>
      </c>
      <c r="Q16" s="193" t="s">
        <v>1954</v>
      </c>
      <c r="R16" s="184" t="s">
        <v>1955</v>
      </c>
      <c r="S16" s="184" t="s">
        <v>1956</v>
      </c>
      <c r="T16" s="184" t="s">
        <v>1957</v>
      </c>
      <c r="U16" s="184" t="s">
        <v>1958</v>
      </c>
      <c r="V16" s="184" t="s">
        <v>1959</v>
      </c>
      <c r="W16" s="184" t="s">
        <v>1960</v>
      </c>
      <c r="X16" s="184">
        <v>0.0</v>
      </c>
      <c r="Y16" s="184"/>
      <c r="Z16" s="131" t="s">
        <v>54</v>
      </c>
      <c r="AA16" s="131" t="s">
        <v>54</v>
      </c>
      <c r="AB16" s="131" t="s">
        <v>54</v>
      </c>
      <c r="AC16" s="131" t="s">
        <v>54</v>
      </c>
      <c r="AD16" s="131"/>
      <c r="AE16" s="131"/>
      <c r="AF16" s="131"/>
      <c r="AG16" s="131"/>
      <c r="AH16" s="131"/>
      <c r="AI16" s="131"/>
    </row>
    <row r="17" ht="14.25" customHeight="1">
      <c r="A17" s="184"/>
      <c r="B17" s="184"/>
      <c r="C17" s="184"/>
      <c r="D17" s="184"/>
      <c r="E17" s="184"/>
      <c r="F17" s="184"/>
      <c r="G17" s="184"/>
      <c r="H17" s="184"/>
      <c r="I17" s="184"/>
      <c r="J17" s="184"/>
      <c r="K17" s="184"/>
      <c r="L17" s="184"/>
      <c r="M17" s="184"/>
      <c r="N17" s="184"/>
      <c r="O17" s="184"/>
      <c r="P17" s="184"/>
      <c r="Q17" s="194"/>
      <c r="R17" s="184"/>
      <c r="S17" s="184"/>
      <c r="T17" s="184"/>
      <c r="U17" s="184"/>
      <c r="V17" s="184"/>
      <c r="W17" s="184"/>
      <c r="X17" s="184"/>
      <c r="Y17" s="184"/>
      <c r="Z17" s="130" t="s">
        <v>54</v>
      </c>
      <c r="AA17" s="130"/>
      <c r="AB17" s="130"/>
      <c r="AC17" s="130"/>
      <c r="AD17" s="130"/>
      <c r="AE17" s="130"/>
      <c r="AF17" s="130"/>
      <c r="AG17" s="130"/>
      <c r="AH17" s="130"/>
      <c r="AI17" s="130"/>
    </row>
    <row r="18" ht="14.25" customHeight="1">
      <c r="A18" s="184">
        <v>13.0</v>
      </c>
      <c r="B18" s="184" t="s">
        <v>1961</v>
      </c>
      <c r="C18" s="184" t="s">
        <v>1962</v>
      </c>
      <c r="D18" s="184" t="s">
        <v>1963</v>
      </c>
      <c r="E18" s="184" t="s">
        <v>1964</v>
      </c>
      <c r="F18" s="184" t="s">
        <v>1965</v>
      </c>
      <c r="G18" s="184" t="s">
        <v>43</v>
      </c>
      <c r="H18" s="184">
        <v>2025.0</v>
      </c>
      <c r="I18" s="184" t="s">
        <v>44</v>
      </c>
      <c r="J18" s="184" t="s">
        <v>1966</v>
      </c>
      <c r="K18" s="184">
        <v>8.3894913647E10</v>
      </c>
      <c r="L18" s="184">
        <v>2035.0</v>
      </c>
      <c r="M18" s="184">
        <v>0.0</v>
      </c>
      <c r="N18" s="184" t="s">
        <v>1967</v>
      </c>
      <c r="O18" s="184" t="s">
        <v>1968</v>
      </c>
      <c r="P18" s="184">
        <v>0.0</v>
      </c>
      <c r="Q18" s="184" t="s">
        <v>1969</v>
      </c>
      <c r="R18" s="184" t="s">
        <v>1970</v>
      </c>
      <c r="S18" s="184" t="s">
        <v>1971</v>
      </c>
      <c r="T18" s="184" t="s">
        <v>1972</v>
      </c>
      <c r="U18" s="184" t="s">
        <v>1973</v>
      </c>
      <c r="V18" s="184" t="s">
        <v>1974</v>
      </c>
      <c r="W18" s="184">
        <v>0.0</v>
      </c>
      <c r="X18" s="184">
        <v>0.0</v>
      </c>
      <c r="Y18" s="184"/>
      <c r="Z18" s="131" t="s">
        <v>54</v>
      </c>
      <c r="AA18" s="131" t="s">
        <v>54</v>
      </c>
      <c r="AB18" s="131" t="s">
        <v>54</v>
      </c>
      <c r="AC18" s="131" t="s">
        <v>54</v>
      </c>
      <c r="AD18" s="131" t="s">
        <v>54</v>
      </c>
      <c r="AE18" s="131" t="s">
        <v>54</v>
      </c>
      <c r="AF18" s="131" t="s">
        <v>145</v>
      </c>
      <c r="AG18" s="131" t="s">
        <v>54</v>
      </c>
      <c r="AH18" s="131" t="s">
        <v>54</v>
      </c>
      <c r="AI18" s="131">
        <v>47.0</v>
      </c>
    </row>
    <row r="19" ht="14.25" customHeight="1">
      <c r="A19" s="106">
        <v>14.0</v>
      </c>
      <c r="B19" s="106" t="s">
        <v>1961</v>
      </c>
      <c r="C19" s="106" t="s">
        <v>1975</v>
      </c>
      <c r="D19" s="195" t="s">
        <v>1976</v>
      </c>
      <c r="E19" s="106" t="s">
        <v>1977</v>
      </c>
      <c r="F19" s="106" t="s">
        <v>1978</v>
      </c>
      <c r="G19" s="106" t="s">
        <v>43</v>
      </c>
      <c r="H19" s="106"/>
      <c r="I19" s="106" t="s">
        <v>72</v>
      </c>
      <c r="J19" s="106" t="s">
        <v>1979</v>
      </c>
      <c r="K19" s="106">
        <v>8.131121953E10</v>
      </c>
      <c r="L19" s="106">
        <v>2661.0</v>
      </c>
      <c r="M19" s="106"/>
      <c r="N19" s="106" t="s">
        <v>1980</v>
      </c>
      <c r="O19" s="106"/>
      <c r="P19" s="106" t="s">
        <v>1981</v>
      </c>
      <c r="Q19" s="106" t="s">
        <v>1982</v>
      </c>
      <c r="R19" s="106" t="s">
        <v>1983</v>
      </c>
      <c r="S19" s="106" t="s">
        <v>1984</v>
      </c>
      <c r="T19" s="106" t="s">
        <v>1985</v>
      </c>
      <c r="U19" s="106" t="s">
        <v>1986</v>
      </c>
      <c r="V19" s="106" t="s">
        <v>1987</v>
      </c>
      <c r="W19" s="106"/>
      <c r="X19" s="106"/>
      <c r="Y19" s="106"/>
      <c r="Z19" s="130"/>
      <c r="AA19" s="130"/>
      <c r="AB19" s="130"/>
      <c r="AC19" s="130"/>
      <c r="AD19" s="130"/>
      <c r="AE19" s="130"/>
      <c r="AF19" s="130"/>
      <c r="AG19" s="130"/>
      <c r="AH19" s="130"/>
      <c r="AI19" s="130"/>
    </row>
    <row r="20" ht="14.25" customHeight="1">
      <c r="A20" s="184">
        <v>15.0</v>
      </c>
      <c r="B20" s="184" t="s">
        <v>1854</v>
      </c>
      <c r="C20" s="184" t="s">
        <v>1988</v>
      </c>
      <c r="D20" s="184" t="s">
        <v>1989</v>
      </c>
      <c r="E20" s="184" t="s">
        <v>1990</v>
      </c>
      <c r="F20" s="184" t="s">
        <v>1991</v>
      </c>
      <c r="G20" s="184" t="s">
        <v>43</v>
      </c>
      <c r="H20" s="184">
        <v>2025.0</v>
      </c>
      <c r="I20" s="184" t="s">
        <v>44</v>
      </c>
      <c r="J20" s="184" t="s">
        <v>1992</v>
      </c>
      <c r="K20" s="184">
        <v>8.7870932635E10</v>
      </c>
      <c r="L20" s="184">
        <v>2762.0</v>
      </c>
      <c r="M20" s="184">
        <v>0.0</v>
      </c>
      <c r="N20" s="184" t="s">
        <v>1993</v>
      </c>
      <c r="O20" s="184" t="s">
        <v>1994</v>
      </c>
      <c r="P20" s="184">
        <v>0.0</v>
      </c>
      <c r="Q20" s="184" t="s">
        <v>1995</v>
      </c>
      <c r="R20" s="184">
        <v>0.0</v>
      </c>
      <c r="S20" s="184" t="s">
        <v>1996</v>
      </c>
      <c r="T20" s="184" t="s">
        <v>1997</v>
      </c>
      <c r="U20" s="184" t="s">
        <v>1998</v>
      </c>
      <c r="V20" s="184" t="s">
        <v>1999</v>
      </c>
      <c r="W20" s="184">
        <v>0.0</v>
      </c>
      <c r="X20" s="184">
        <v>0.0</v>
      </c>
      <c r="Y20" s="184"/>
      <c r="Z20" s="131" t="s">
        <v>54</v>
      </c>
      <c r="AA20" s="131" t="s">
        <v>54</v>
      </c>
      <c r="AB20" s="131" t="s">
        <v>146</v>
      </c>
      <c r="AC20" s="131" t="s">
        <v>54</v>
      </c>
      <c r="AD20" s="131" t="s">
        <v>145</v>
      </c>
      <c r="AE20" s="131" t="s">
        <v>146</v>
      </c>
      <c r="AF20" s="131" t="s">
        <v>146</v>
      </c>
      <c r="AG20" s="131" t="s">
        <v>54</v>
      </c>
      <c r="AH20" s="131" t="s">
        <v>146</v>
      </c>
      <c r="AI20" s="131">
        <v>49.0</v>
      </c>
    </row>
    <row r="21" ht="14.25" customHeight="1">
      <c r="A21" s="68">
        <v>16.0</v>
      </c>
      <c r="B21" s="68" t="s">
        <v>2000</v>
      </c>
      <c r="C21" s="68" t="s">
        <v>2001</v>
      </c>
      <c r="D21" s="68" t="s">
        <v>2002</v>
      </c>
      <c r="E21" s="68" t="s">
        <v>2003</v>
      </c>
      <c r="F21" s="68" t="s">
        <v>2004</v>
      </c>
      <c r="G21" s="68" t="s">
        <v>1026</v>
      </c>
      <c r="H21" s="68" t="s">
        <v>2005</v>
      </c>
      <c r="I21" s="68" t="s">
        <v>44</v>
      </c>
      <c r="J21" s="68" t="s">
        <v>2006</v>
      </c>
      <c r="K21" s="68">
        <v>8.1807173463E10</v>
      </c>
      <c r="L21" s="68">
        <v>1596.0</v>
      </c>
      <c r="M21" s="81" t="s">
        <v>2007</v>
      </c>
      <c r="N21" s="68" t="s">
        <v>2008</v>
      </c>
      <c r="O21" s="196" t="s">
        <v>2009</v>
      </c>
      <c r="P21" s="197" t="s">
        <v>2010</v>
      </c>
      <c r="Q21" s="68" t="s">
        <v>2011</v>
      </c>
      <c r="R21" s="68" t="s">
        <v>2012</v>
      </c>
      <c r="S21" s="68" t="s">
        <v>2013</v>
      </c>
      <c r="T21" s="68">
        <v>26.0</v>
      </c>
      <c r="U21" s="68">
        <v>56.0</v>
      </c>
      <c r="V21" s="68">
        <v>228.0</v>
      </c>
      <c r="W21" s="68">
        <v>0.0</v>
      </c>
      <c r="X21" s="68"/>
      <c r="Y21" s="68"/>
      <c r="Z21" s="130"/>
      <c r="AA21" s="130"/>
      <c r="AB21" s="130"/>
      <c r="AC21" s="130"/>
      <c r="AD21" s="130"/>
      <c r="AE21" s="130"/>
      <c r="AF21" s="130"/>
      <c r="AG21" s="130"/>
      <c r="AH21" s="130"/>
      <c r="AI21" s="130"/>
    </row>
    <row r="22" ht="14.25"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131"/>
      <c r="AA22" s="131"/>
      <c r="AB22" s="131"/>
      <c r="AC22" s="131"/>
      <c r="AD22" s="131"/>
      <c r="AE22" s="131"/>
      <c r="AF22" s="131"/>
      <c r="AG22" s="131"/>
      <c r="AH22" s="131"/>
      <c r="AI22" s="131"/>
    </row>
    <row r="23" ht="14.25" customHeight="1">
      <c r="A23" s="68">
        <v>17.0</v>
      </c>
      <c r="B23" s="68" t="s">
        <v>1854</v>
      </c>
      <c r="C23" s="68" t="s">
        <v>2014</v>
      </c>
      <c r="D23" s="76" t="s">
        <v>2015</v>
      </c>
      <c r="E23" s="68" t="s">
        <v>732</v>
      </c>
      <c r="F23" s="68" t="s">
        <v>2016</v>
      </c>
      <c r="G23" s="68" t="s">
        <v>1026</v>
      </c>
      <c r="H23" s="75">
        <v>46083.0</v>
      </c>
      <c r="I23" s="76" t="s">
        <v>44</v>
      </c>
      <c r="J23" s="68" t="s">
        <v>2017</v>
      </c>
      <c r="K23" s="68">
        <v>8.1311327199E10</v>
      </c>
      <c r="L23" s="76">
        <v>2202.0</v>
      </c>
      <c r="M23" s="76">
        <v>0.0</v>
      </c>
      <c r="N23" s="76" t="s">
        <v>2018</v>
      </c>
      <c r="O23" s="76" t="s">
        <v>2019</v>
      </c>
      <c r="P23" s="76" t="s">
        <v>2020</v>
      </c>
      <c r="Q23" s="76" t="s">
        <v>2021</v>
      </c>
      <c r="R23" s="76" t="s">
        <v>2022</v>
      </c>
      <c r="S23" s="76" t="s">
        <v>2023</v>
      </c>
      <c r="T23" s="76" t="s">
        <v>2024</v>
      </c>
      <c r="U23" s="76" t="s">
        <v>2025</v>
      </c>
      <c r="V23" s="76" t="s">
        <v>2026</v>
      </c>
      <c r="W23" s="76" t="s">
        <v>2027</v>
      </c>
      <c r="X23" s="76" t="s">
        <v>2028</v>
      </c>
      <c r="Y23" s="68"/>
      <c r="Z23" s="139" t="s">
        <v>54</v>
      </c>
      <c r="AA23" s="139" t="s">
        <v>54</v>
      </c>
      <c r="AB23" s="139" t="s">
        <v>54</v>
      </c>
      <c r="AC23" s="139" t="s">
        <v>54</v>
      </c>
      <c r="AD23" s="139" t="s">
        <v>54</v>
      </c>
      <c r="AE23" s="139" t="s">
        <v>145</v>
      </c>
      <c r="AF23" s="139" t="s">
        <v>145</v>
      </c>
      <c r="AG23" s="139" t="s">
        <v>54</v>
      </c>
      <c r="AH23" s="139" t="s">
        <v>145</v>
      </c>
      <c r="AI23" s="139">
        <v>48.0</v>
      </c>
    </row>
    <row r="24" ht="14.25" customHeight="1">
      <c r="A24" s="68">
        <v>18.0</v>
      </c>
      <c r="B24" s="68" t="s">
        <v>2029</v>
      </c>
      <c r="C24" s="68" t="s">
        <v>2030</v>
      </c>
      <c r="D24" s="68" t="s">
        <v>2031</v>
      </c>
      <c r="E24" s="68" t="s">
        <v>2032</v>
      </c>
      <c r="F24" s="68" t="s">
        <v>2033</v>
      </c>
      <c r="G24" s="68" t="s">
        <v>43</v>
      </c>
      <c r="H24" s="68"/>
      <c r="I24" s="68" t="s">
        <v>53</v>
      </c>
      <c r="J24" s="68" t="s">
        <v>2034</v>
      </c>
      <c r="K24" s="80" t="s">
        <v>2035</v>
      </c>
      <c r="L24" s="68">
        <v>1527.0</v>
      </c>
      <c r="M24" s="68" t="s">
        <v>2036</v>
      </c>
      <c r="N24" s="68"/>
      <c r="O24" s="68" t="s">
        <v>2037</v>
      </c>
      <c r="P24" s="68" t="s">
        <v>2038</v>
      </c>
      <c r="Q24" s="68" t="s">
        <v>2039</v>
      </c>
      <c r="R24" s="68" t="s">
        <v>2040</v>
      </c>
      <c r="S24" s="68"/>
      <c r="T24" s="68"/>
      <c r="U24" s="76"/>
      <c r="V24" s="76"/>
      <c r="W24" s="68" t="s">
        <v>2041</v>
      </c>
      <c r="X24" s="68"/>
      <c r="Y24" s="68"/>
      <c r="Z24" s="73"/>
      <c r="AA24" s="73"/>
      <c r="AB24" s="73"/>
      <c r="AC24" s="73"/>
      <c r="AD24" s="73"/>
      <c r="AE24" s="73"/>
      <c r="AF24" s="73"/>
      <c r="AG24" s="73"/>
      <c r="AH24" s="73"/>
      <c r="AI24" s="73"/>
    </row>
    <row r="25" ht="14.25" customHeight="1">
      <c r="A25" s="68">
        <v>19.0</v>
      </c>
      <c r="B25" s="68" t="s">
        <v>1878</v>
      </c>
      <c r="C25" s="68" t="s">
        <v>2042</v>
      </c>
      <c r="D25" s="68" t="s">
        <v>2043</v>
      </c>
      <c r="E25" s="68" t="s">
        <v>2044</v>
      </c>
      <c r="F25" s="68" t="s">
        <v>2045</v>
      </c>
      <c r="G25" s="68" t="s">
        <v>43</v>
      </c>
      <c r="H25" s="68"/>
      <c r="I25" s="68" t="s">
        <v>72</v>
      </c>
      <c r="J25" s="68" t="s">
        <v>2046</v>
      </c>
      <c r="K25" s="68">
        <v>8.2178770842E10</v>
      </c>
      <c r="L25" s="68">
        <v>2394.0</v>
      </c>
      <c r="M25" s="68"/>
      <c r="N25" s="68" t="s">
        <v>53</v>
      </c>
      <c r="O25" s="68" t="s">
        <v>2047</v>
      </c>
      <c r="P25" s="68" t="s">
        <v>2048</v>
      </c>
      <c r="Q25" s="68" t="s">
        <v>2049</v>
      </c>
      <c r="R25" s="68" t="s">
        <v>53</v>
      </c>
      <c r="S25" s="68" t="s">
        <v>2050</v>
      </c>
      <c r="T25" s="68" t="s">
        <v>2051</v>
      </c>
      <c r="U25" s="68" t="s">
        <v>2052</v>
      </c>
      <c r="V25" s="68" t="s">
        <v>2053</v>
      </c>
      <c r="W25" s="68"/>
      <c r="X25" s="68"/>
      <c r="Y25" s="68"/>
      <c r="Z25" s="73"/>
      <c r="AA25" s="73"/>
      <c r="AB25" s="73"/>
      <c r="AC25" s="73"/>
      <c r="AD25" s="73"/>
      <c r="AE25" s="73"/>
      <c r="AF25" s="73"/>
      <c r="AG25" s="73"/>
      <c r="AH25" s="73"/>
      <c r="AI25" s="73"/>
    </row>
    <row r="26" ht="14.25"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73"/>
      <c r="AA26" s="73"/>
      <c r="AB26" s="73"/>
      <c r="AC26" s="73"/>
      <c r="AD26" s="73"/>
      <c r="AE26" s="73"/>
      <c r="AF26" s="73"/>
      <c r="AG26" s="73"/>
      <c r="AH26" s="73"/>
      <c r="AI26" s="73"/>
    </row>
    <row r="27" ht="14.25" customHeight="1">
      <c r="A27" s="68">
        <v>20.0</v>
      </c>
      <c r="B27" s="81" t="s">
        <v>1421</v>
      </c>
      <c r="C27" s="68" t="s">
        <v>2054</v>
      </c>
      <c r="D27" s="82" t="s">
        <v>2055</v>
      </c>
      <c r="E27" s="82" t="s">
        <v>2056</v>
      </c>
      <c r="F27" s="68" t="s">
        <v>2057</v>
      </c>
      <c r="G27" s="68" t="s">
        <v>43</v>
      </c>
      <c r="H27" s="81"/>
      <c r="I27" s="81" t="s">
        <v>1009</v>
      </c>
      <c r="J27" s="81" t="s">
        <v>2058</v>
      </c>
      <c r="K27" s="81">
        <v>8.2276822486E10</v>
      </c>
      <c r="L27" s="81">
        <v>2333.0</v>
      </c>
      <c r="M27" s="81"/>
      <c r="N27" s="68"/>
      <c r="O27" s="68" t="s">
        <v>2059</v>
      </c>
      <c r="P27" s="68" t="s">
        <v>2060</v>
      </c>
      <c r="Q27" s="68" t="s">
        <v>2061</v>
      </c>
      <c r="R27" s="68" t="s">
        <v>2062</v>
      </c>
      <c r="S27" s="68" t="s">
        <v>2063</v>
      </c>
      <c r="T27" s="68" t="s">
        <v>2064</v>
      </c>
      <c r="U27" s="68" t="s">
        <v>2065</v>
      </c>
      <c r="V27" s="68" t="s">
        <v>2066</v>
      </c>
      <c r="W27" s="68"/>
      <c r="X27" s="68"/>
      <c r="Y27" s="68"/>
      <c r="Z27" s="73"/>
      <c r="AA27" s="73"/>
      <c r="AB27" s="73"/>
      <c r="AC27" s="73"/>
      <c r="AD27" s="73"/>
      <c r="AE27" s="73"/>
      <c r="AF27" s="73"/>
      <c r="AG27" s="73"/>
      <c r="AH27" s="73"/>
      <c r="AI27" s="73"/>
    </row>
    <row r="28" ht="14.25"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73"/>
      <c r="AA28" s="73"/>
      <c r="AB28" s="73"/>
      <c r="AC28" s="73"/>
      <c r="AD28" s="73"/>
      <c r="AE28" s="73"/>
      <c r="AF28" s="73"/>
      <c r="AG28" s="73"/>
      <c r="AH28" s="73"/>
      <c r="AI28" s="73"/>
    </row>
    <row r="29" ht="14.25" customHeight="1">
      <c r="A29" s="68">
        <v>21.0</v>
      </c>
      <c r="B29" s="68" t="s">
        <v>1906</v>
      </c>
      <c r="C29" s="68" t="s">
        <v>2067</v>
      </c>
      <c r="D29" s="68" t="s">
        <v>2068</v>
      </c>
      <c r="E29" s="68" t="s">
        <v>966</v>
      </c>
      <c r="F29" s="68" t="s">
        <v>2069</v>
      </c>
      <c r="G29" s="68" t="s">
        <v>43</v>
      </c>
      <c r="H29" s="86">
        <v>46035.0</v>
      </c>
      <c r="I29" s="68" t="s">
        <v>44</v>
      </c>
      <c r="J29" s="68" t="s">
        <v>2070</v>
      </c>
      <c r="K29" s="80" t="s">
        <v>2071</v>
      </c>
      <c r="L29" s="68">
        <v>2530.0</v>
      </c>
      <c r="M29" s="68"/>
      <c r="N29" s="68" t="s">
        <v>2072</v>
      </c>
      <c r="O29" s="68" t="s">
        <v>2073</v>
      </c>
      <c r="P29" s="68" t="s">
        <v>2074</v>
      </c>
      <c r="Q29" s="68" t="s">
        <v>2075</v>
      </c>
      <c r="R29" s="68" t="s">
        <v>2076</v>
      </c>
      <c r="S29" s="68" t="s">
        <v>2077</v>
      </c>
      <c r="T29" s="68" t="s">
        <v>2078</v>
      </c>
      <c r="U29" s="68" t="s">
        <v>2079</v>
      </c>
      <c r="V29" s="68" t="s">
        <v>2080</v>
      </c>
      <c r="W29" s="68"/>
      <c r="X29" s="68"/>
      <c r="Y29" s="68"/>
      <c r="Z29" s="73" t="s">
        <v>2081</v>
      </c>
      <c r="AA29" s="73" t="s">
        <v>2081</v>
      </c>
      <c r="AB29" s="73" t="s">
        <v>2081</v>
      </c>
      <c r="AC29" s="73" t="s">
        <v>2081</v>
      </c>
      <c r="AD29" s="73" t="s">
        <v>2081</v>
      </c>
      <c r="AE29" s="73" t="s">
        <v>2081</v>
      </c>
      <c r="AF29" s="73" t="s">
        <v>2081</v>
      </c>
      <c r="AG29" s="73" t="s">
        <v>2081</v>
      </c>
      <c r="AH29" s="73" t="s">
        <v>2082</v>
      </c>
      <c r="AI29" s="73">
        <v>49.0</v>
      </c>
    </row>
    <row r="30" ht="186.0" customHeight="1">
      <c r="A30" s="68">
        <v>22.0</v>
      </c>
      <c r="B30" s="68" t="s">
        <v>1815</v>
      </c>
      <c r="C30" s="68" t="s">
        <v>2083</v>
      </c>
      <c r="D30" s="198" t="s">
        <v>2084</v>
      </c>
      <c r="E30" s="68" t="s">
        <v>2085</v>
      </c>
      <c r="F30" s="68" t="s">
        <v>2086</v>
      </c>
      <c r="G30" s="68" t="s">
        <v>43</v>
      </c>
      <c r="H30" s="68">
        <v>2026.0</v>
      </c>
      <c r="I30" s="68" t="s">
        <v>44</v>
      </c>
      <c r="J30" s="68" t="s">
        <v>2087</v>
      </c>
      <c r="K30" s="80" t="s">
        <v>2088</v>
      </c>
      <c r="L30" s="68">
        <v>2343.0</v>
      </c>
      <c r="M30" s="68"/>
      <c r="N30" s="68" t="s">
        <v>2089</v>
      </c>
      <c r="O30" s="68" t="s">
        <v>2090</v>
      </c>
      <c r="P30" s="68"/>
      <c r="Q30" s="68" t="s">
        <v>2091</v>
      </c>
      <c r="R30" s="68"/>
      <c r="S30" s="68" t="s">
        <v>53</v>
      </c>
      <c r="T30" s="68" t="s">
        <v>2092</v>
      </c>
      <c r="U30" s="68" t="s">
        <v>2093</v>
      </c>
      <c r="V30" s="81" t="s">
        <v>2094</v>
      </c>
      <c r="W30" s="68" t="s">
        <v>2095</v>
      </c>
      <c r="X30" s="68"/>
      <c r="Y30" s="68"/>
      <c r="Z30" s="73" t="str">
        <f>Z28</f>
        <v/>
      </c>
      <c r="AA30" s="73"/>
      <c r="AB30" s="73"/>
      <c r="AC30" s="73"/>
      <c r="AD30" s="73"/>
      <c r="AE30" s="73"/>
      <c r="AF30" s="73"/>
      <c r="AG30" s="73"/>
      <c r="AH30" s="73"/>
      <c r="AI30" s="73"/>
    </row>
    <row r="31" ht="14.25" customHeight="1">
      <c r="A31" s="68">
        <v>23.0</v>
      </c>
      <c r="B31" s="68" t="s">
        <v>1826</v>
      </c>
      <c r="C31" s="68" t="s">
        <v>2096</v>
      </c>
      <c r="D31" s="199" t="s">
        <v>2097</v>
      </c>
      <c r="E31" s="68" t="s">
        <v>2098</v>
      </c>
      <c r="F31" s="68" t="s">
        <v>2045</v>
      </c>
      <c r="G31" s="68" t="s">
        <v>43</v>
      </c>
      <c r="H31" s="76" t="s">
        <v>1667</v>
      </c>
      <c r="I31" s="68" t="s">
        <v>44</v>
      </c>
      <c r="J31" s="68" t="s">
        <v>2099</v>
      </c>
      <c r="K31" s="80" t="s">
        <v>2100</v>
      </c>
      <c r="L31" s="68">
        <v>2718.0</v>
      </c>
      <c r="M31" s="200" t="s">
        <v>2101</v>
      </c>
      <c r="N31" s="68" t="s">
        <v>2102</v>
      </c>
      <c r="O31" s="68" t="s">
        <v>2103</v>
      </c>
      <c r="P31" s="68" t="s">
        <v>2104</v>
      </c>
      <c r="Q31" s="68" t="s">
        <v>2105</v>
      </c>
      <c r="R31" s="68" t="s">
        <v>2106</v>
      </c>
      <c r="S31" s="68">
        <v>0.0</v>
      </c>
      <c r="T31" s="68" t="s">
        <v>2107</v>
      </c>
      <c r="U31" s="68" t="s">
        <v>2108</v>
      </c>
      <c r="V31" s="73"/>
      <c r="W31" s="68" t="s">
        <v>2109</v>
      </c>
      <c r="X31" s="68" t="s">
        <v>2110</v>
      </c>
      <c r="Y31" s="68"/>
      <c r="Z31" s="73" t="s">
        <v>2111</v>
      </c>
      <c r="AA31" s="73" t="s">
        <v>2111</v>
      </c>
      <c r="AB31" s="73" t="s">
        <v>2111</v>
      </c>
      <c r="AC31" s="73" t="s">
        <v>2111</v>
      </c>
      <c r="AD31" s="73" t="s">
        <v>2112</v>
      </c>
      <c r="AE31" s="73" t="s">
        <v>2111</v>
      </c>
      <c r="AF31" s="73" t="s">
        <v>2112</v>
      </c>
      <c r="AG31" s="73" t="s">
        <v>2111</v>
      </c>
      <c r="AH31" s="73" t="s">
        <v>2111</v>
      </c>
      <c r="AI31" s="73">
        <v>46.0</v>
      </c>
    </row>
    <row r="32" ht="14.25" customHeight="1">
      <c r="A32" s="57">
        <v>25.0</v>
      </c>
      <c r="B32" s="3" t="s">
        <v>1826</v>
      </c>
      <c r="C32" s="3" t="s">
        <v>2042</v>
      </c>
      <c r="D32" s="201"/>
      <c r="E32" s="201"/>
      <c r="F32" s="201"/>
      <c r="G32" s="57" t="s">
        <v>43</v>
      </c>
      <c r="I32" s="3" t="s">
        <v>72</v>
      </c>
      <c r="J32" s="62"/>
      <c r="Q32" s="57"/>
      <c r="T32" s="62"/>
      <c r="U32" s="62"/>
      <c r="Z32" s="62"/>
      <c r="AA32" s="62"/>
      <c r="AB32" s="62"/>
      <c r="AC32" s="62"/>
      <c r="AD32" s="62"/>
      <c r="AE32" s="62"/>
      <c r="AF32" s="62"/>
      <c r="AG32" s="62"/>
      <c r="AH32" s="62"/>
      <c r="AI32" s="62"/>
    </row>
    <row r="33" ht="14.25" customHeight="1">
      <c r="A33" s="202">
        <v>26.0</v>
      </c>
      <c r="B33" s="201"/>
      <c r="C33" s="201"/>
      <c r="D33" s="201"/>
      <c r="E33" s="201"/>
      <c r="F33" s="201"/>
      <c r="G33" s="57" t="s">
        <v>43</v>
      </c>
      <c r="I33" s="3" t="s">
        <v>72</v>
      </c>
      <c r="J33" s="62"/>
      <c r="Q33" s="57"/>
      <c r="T33" s="62"/>
      <c r="U33" s="62"/>
      <c r="V33" s="62" t="s">
        <v>2113</v>
      </c>
      <c r="Z33" s="62"/>
      <c r="AA33" s="62"/>
      <c r="AB33" s="62"/>
      <c r="AC33" s="62"/>
      <c r="AD33" s="62"/>
      <c r="AE33" s="62"/>
      <c r="AF33" s="62"/>
      <c r="AG33" s="62"/>
      <c r="AH33" s="62"/>
      <c r="AI33" s="62"/>
    </row>
    <row r="34" ht="14.25" customHeight="1">
      <c r="A34" s="202">
        <v>27.0</v>
      </c>
      <c r="B34" s="3" t="s">
        <v>2114</v>
      </c>
      <c r="C34" s="3" t="s">
        <v>2115</v>
      </c>
      <c r="D34" s="3" t="s">
        <v>2116</v>
      </c>
      <c r="E34" s="3" t="s">
        <v>1180</v>
      </c>
      <c r="F34" s="3" t="s">
        <v>2117</v>
      </c>
      <c r="G34" s="57" t="s">
        <v>949</v>
      </c>
      <c r="T34" s="62"/>
      <c r="U34" s="62"/>
      <c r="Z34" s="62"/>
      <c r="AA34" s="62"/>
      <c r="AB34" s="62"/>
      <c r="AC34" s="62"/>
      <c r="AD34" s="62"/>
      <c r="AE34" s="62"/>
      <c r="AF34" s="62"/>
      <c r="AG34" s="62"/>
      <c r="AH34" s="62"/>
      <c r="AI34" s="62"/>
    </row>
    <row r="35" ht="14.25" customHeight="1">
      <c r="A35" s="202">
        <v>28.0</v>
      </c>
      <c r="B35" s="3" t="s">
        <v>2118</v>
      </c>
      <c r="C35" s="3" t="s">
        <v>2119</v>
      </c>
      <c r="D35" s="3" t="s">
        <v>2120</v>
      </c>
      <c r="E35" s="3" t="s">
        <v>2121</v>
      </c>
      <c r="F35" s="3" t="s">
        <v>2122</v>
      </c>
      <c r="G35" s="57" t="s">
        <v>949</v>
      </c>
      <c r="T35" s="62"/>
      <c r="U35" s="62"/>
      <c r="V35" s="62" t="s">
        <v>2123</v>
      </c>
      <c r="Z35" s="62"/>
      <c r="AA35" s="62"/>
      <c r="AB35" s="62"/>
      <c r="AC35" s="62"/>
      <c r="AD35" s="62"/>
      <c r="AE35" s="62"/>
      <c r="AF35" s="62"/>
      <c r="AG35" s="62"/>
      <c r="AH35" s="62"/>
      <c r="AI35" s="62"/>
    </row>
    <row r="36" ht="14.25" customHeight="1">
      <c r="A36" s="202">
        <v>29.0</v>
      </c>
      <c r="B36" s="3" t="s">
        <v>2124</v>
      </c>
      <c r="C36" s="3" t="s">
        <v>2125</v>
      </c>
      <c r="D36" s="3" t="s">
        <v>2126</v>
      </c>
      <c r="E36" s="3" t="s">
        <v>2127</v>
      </c>
      <c r="F36" s="3" t="s">
        <v>2128</v>
      </c>
      <c r="G36" s="57" t="s">
        <v>949</v>
      </c>
      <c r="L36" s="62"/>
      <c r="M36" s="62"/>
      <c r="T36" s="62"/>
      <c r="U36" s="62"/>
      <c r="Z36" s="62"/>
      <c r="AA36" s="62"/>
      <c r="AB36" s="62"/>
      <c r="AC36" s="62"/>
      <c r="AD36" s="62"/>
      <c r="AE36" s="62"/>
      <c r="AF36" s="62"/>
      <c r="AG36" s="62"/>
      <c r="AH36" s="62"/>
      <c r="AI36" s="62"/>
    </row>
    <row r="37" ht="14.25" customHeight="1">
      <c r="A37" s="202">
        <v>30.0</v>
      </c>
      <c r="B37" s="3" t="s">
        <v>2129</v>
      </c>
      <c r="C37" s="3" t="s">
        <v>2130</v>
      </c>
      <c r="D37" s="3" t="s">
        <v>2131</v>
      </c>
      <c r="E37" s="3" t="s">
        <v>2132</v>
      </c>
      <c r="F37" s="3" t="s">
        <v>2133</v>
      </c>
      <c r="G37" s="57" t="s">
        <v>949</v>
      </c>
      <c r="L37" s="62"/>
      <c r="M37" s="62"/>
      <c r="V37" s="62" t="s">
        <v>2134</v>
      </c>
      <c r="Z37" s="62"/>
      <c r="AA37" s="62"/>
      <c r="AB37" s="62"/>
      <c r="AC37" s="62"/>
      <c r="AD37" s="62"/>
      <c r="AE37" s="62"/>
      <c r="AF37" s="62"/>
      <c r="AG37" s="62"/>
      <c r="AH37" s="62"/>
      <c r="AI37" s="62"/>
    </row>
    <row r="38" ht="14.25" customHeight="1">
      <c r="A38" s="202">
        <v>31.0</v>
      </c>
      <c r="B38" s="3" t="s">
        <v>2135</v>
      </c>
      <c r="C38" s="3" t="s">
        <v>2136</v>
      </c>
      <c r="D38" s="3" t="s">
        <v>2137</v>
      </c>
      <c r="E38" s="3" t="s">
        <v>2138</v>
      </c>
      <c r="F38" s="3" t="s">
        <v>2135</v>
      </c>
      <c r="G38" s="57" t="s">
        <v>949</v>
      </c>
      <c r="Z38" s="62"/>
      <c r="AA38" s="62"/>
      <c r="AB38" s="62"/>
      <c r="AC38" s="62"/>
      <c r="AD38" s="62"/>
      <c r="AE38" s="62"/>
      <c r="AF38" s="62"/>
      <c r="AG38" s="62"/>
      <c r="AH38" s="62"/>
      <c r="AI38" s="62"/>
    </row>
    <row r="39" ht="14.25" customHeight="1">
      <c r="A39" s="202">
        <v>32.0</v>
      </c>
      <c r="B39" s="3" t="s">
        <v>2139</v>
      </c>
      <c r="C39" s="3" t="s">
        <v>2140</v>
      </c>
      <c r="D39" s="3" t="s">
        <v>2141</v>
      </c>
      <c r="E39" s="3" t="s">
        <v>1180</v>
      </c>
      <c r="F39" s="3" t="s">
        <v>2142</v>
      </c>
      <c r="G39" s="57" t="s">
        <v>949</v>
      </c>
      <c r="Z39" s="62"/>
      <c r="AA39" s="62"/>
      <c r="AB39" s="62"/>
      <c r="AC39" s="62"/>
      <c r="AD39" s="62"/>
      <c r="AE39" s="62"/>
      <c r="AF39" s="62"/>
      <c r="AG39" s="62"/>
      <c r="AH39" s="62"/>
      <c r="AI39" s="62"/>
    </row>
    <row r="40" ht="14.25" customHeight="1">
      <c r="A40" s="202">
        <v>33.0</v>
      </c>
      <c r="B40" s="3" t="s">
        <v>2139</v>
      </c>
      <c r="C40" s="201"/>
      <c r="D40" s="3" t="s">
        <v>2143</v>
      </c>
      <c r="E40" s="3" t="s">
        <v>2144</v>
      </c>
      <c r="F40" s="201"/>
      <c r="G40" s="57" t="s">
        <v>949</v>
      </c>
      <c r="Z40" s="62"/>
      <c r="AA40" s="62"/>
      <c r="AB40" s="62"/>
      <c r="AC40" s="62"/>
      <c r="AD40" s="62"/>
      <c r="AE40" s="62"/>
      <c r="AF40" s="62"/>
      <c r="AG40" s="62"/>
      <c r="AH40" s="62"/>
      <c r="AI40" s="62"/>
    </row>
    <row r="41" ht="14.25" customHeight="1">
      <c r="A41" s="203">
        <v>34.0</v>
      </c>
      <c r="G41" s="201"/>
      <c r="Z41" s="62"/>
      <c r="AA41" s="62"/>
      <c r="AB41" s="62"/>
      <c r="AC41" s="62"/>
      <c r="AD41" s="62"/>
      <c r="AE41" s="62"/>
      <c r="AF41" s="62"/>
      <c r="AG41" s="62"/>
      <c r="AH41" s="62"/>
      <c r="AI41" s="62"/>
    </row>
    <row r="42" ht="125.25" customHeight="1">
      <c r="A42" s="202">
        <v>35.0</v>
      </c>
      <c r="B42" s="202" t="s">
        <v>2145</v>
      </c>
      <c r="C42" s="202" t="s">
        <v>2146</v>
      </c>
      <c r="D42" s="202" t="s">
        <v>2147</v>
      </c>
      <c r="E42" s="202" t="s">
        <v>2148</v>
      </c>
      <c r="F42" s="202" t="s">
        <v>2149</v>
      </c>
      <c r="G42" s="57" t="s">
        <v>43</v>
      </c>
      <c r="H42" s="204" t="s">
        <v>2150</v>
      </c>
      <c r="I42" s="204" t="s">
        <v>44</v>
      </c>
      <c r="J42" s="202" t="s">
        <v>2151</v>
      </c>
      <c r="K42" s="202">
        <v>8.1264693951E10</v>
      </c>
      <c r="L42" s="202">
        <v>2025.0</v>
      </c>
      <c r="M42" s="3"/>
      <c r="N42" s="3" t="s">
        <v>2152</v>
      </c>
      <c r="O42" s="3"/>
      <c r="P42" s="3"/>
      <c r="Q42" s="3" t="s">
        <v>2153</v>
      </c>
      <c r="R42" s="3"/>
      <c r="S42" s="3"/>
      <c r="T42" s="3" t="s">
        <v>2154</v>
      </c>
      <c r="U42" s="3" t="s">
        <v>2155</v>
      </c>
      <c r="V42" s="62" t="s">
        <v>2156</v>
      </c>
      <c r="W42" s="62" t="s">
        <v>2157</v>
      </c>
      <c r="X42" s="62" t="s">
        <v>2158</v>
      </c>
      <c r="Y42" s="62"/>
      <c r="Z42" s="62" t="s">
        <v>2081</v>
      </c>
      <c r="AA42" s="62" t="s">
        <v>2081</v>
      </c>
      <c r="AB42" s="62" t="s">
        <v>2081</v>
      </c>
      <c r="AC42" s="62" t="s">
        <v>2081</v>
      </c>
      <c r="AD42" s="62" t="s">
        <v>2081</v>
      </c>
      <c r="AE42" s="62" t="s">
        <v>2081</v>
      </c>
      <c r="AF42" s="62" t="s">
        <v>2081</v>
      </c>
      <c r="AG42" s="62" t="s">
        <v>2081</v>
      </c>
      <c r="AH42" s="62" t="s">
        <v>72</v>
      </c>
      <c r="AI42" s="62">
        <v>48.0</v>
      </c>
    </row>
    <row r="43" ht="81.75" customHeight="1">
      <c r="A43" s="205">
        <v>36.0</v>
      </c>
      <c r="B43" s="206" t="s">
        <v>2159</v>
      </c>
      <c r="C43" s="206" t="s">
        <v>2160</v>
      </c>
      <c r="D43" s="206" t="s">
        <v>1865</v>
      </c>
      <c r="E43" s="206" t="s">
        <v>1866</v>
      </c>
      <c r="F43" s="207" t="s">
        <v>2161</v>
      </c>
      <c r="G43" s="57" t="s">
        <v>43</v>
      </c>
      <c r="H43" s="206" t="s">
        <v>2162</v>
      </c>
      <c r="I43" s="206" t="s">
        <v>44</v>
      </c>
      <c r="J43" s="206" t="s">
        <v>1868</v>
      </c>
      <c r="K43" s="206">
        <v>8.5284201065E10</v>
      </c>
      <c r="L43" s="206">
        <v>2792.0</v>
      </c>
      <c r="M43" s="205" t="s">
        <v>2163</v>
      </c>
      <c r="N43" s="206" t="s">
        <v>53</v>
      </c>
      <c r="O43" s="205" t="s">
        <v>2164</v>
      </c>
      <c r="P43" s="205" t="s">
        <v>53</v>
      </c>
      <c r="Q43" s="205" t="s">
        <v>2165</v>
      </c>
      <c r="R43" s="205" t="s">
        <v>2166</v>
      </c>
      <c r="S43" s="205" t="s">
        <v>2167</v>
      </c>
      <c r="T43" s="205" t="s">
        <v>2168</v>
      </c>
      <c r="U43" s="205" t="s">
        <v>2169</v>
      </c>
      <c r="V43" s="205" t="s">
        <v>2170</v>
      </c>
      <c r="W43" s="206" t="s">
        <v>2171</v>
      </c>
      <c r="X43" s="206" t="s">
        <v>2171</v>
      </c>
      <c r="Y43" s="208"/>
      <c r="Z43" s="202" t="s">
        <v>2081</v>
      </c>
      <c r="AA43" s="202" t="s">
        <v>2081</v>
      </c>
      <c r="AB43" s="202" t="s">
        <v>2081</v>
      </c>
      <c r="AC43" s="202" t="s">
        <v>2081</v>
      </c>
      <c r="AD43" s="202" t="s">
        <v>2081</v>
      </c>
      <c r="AE43" s="202" t="s">
        <v>2081</v>
      </c>
      <c r="AF43" s="202" t="s">
        <v>2081</v>
      </c>
      <c r="AG43" s="202" t="s">
        <v>2081</v>
      </c>
      <c r="AH43" s="204" t="s">
        <v>2081</v>
      </c>
      <c r="AI43" s="204">
        <v>49.0</v>
      </c>
    </row>
    <row r="44" ht="14.25" customHeight="1">
      <c r="Z44" s="62"/>
      <c r="AA44" s="62"/>
      <c r="AB44" s="62"/>
      <c r="AC44" s="62"/>
      <c r="AD44" s="62"/>
      <c r="AE44" s="62"/>
      <c r="AF44" s="62"/>
      <c r="AG44" s="62"/>
      <c r="AH44" s="62"/>
      <c r="AI44" s="62"/>
    </row>
    <row r="45" ht="14.25" customHeight="1">
      <c r="Z45" s="62"/>
      <c r="AA45" s="62"/>
      <c r="AB45" s="62"/>
      <c r="AC45" s="62"/>
      <c r="AD45" s="62"/>
      <c r="AE45" s="62"/>
      <c r="AF45" s="62"/>
      <c r="AG45" s="62"/>
      <c r="AH45" s="62"/>
      <c r="AI45" s="62"/>
    </row>
    <row r="46" ht="14.25" customHeight="1">
      <c r="Z46" s="62"/>
      <c r="AA46" s="62"/>
      <c r="AB46" s="62"/>
      <c r="AC46" s="62"/>
      <c r="AD46" s="62"/>
      <c r="AE46" s="62"/>
      <c r="AF46" s="62"/>
      <c r="AG46" s="62"/>
      <c r="AH46" s="62"/>
      <c r="AI46" s="62"/>
    </row>
    <row r="47" ht="14.25" customHeight="1">
      <c r="Z47" s="62"/>
      <c r="AA47" s="62"/>
      <c r="AB47" s="62"/>
      <c r="AC47" s="62"/>
      <c r="AD47" s="62"/>
      <c r="AE47" s="62"/>
      <c r="AF47" s="62"/>
      <c r="AG47" s="62"/>
      <c r="AH47" s="62"/>
      <c r="AI47" s="62"/>
    </row>
    <row r="48" ht="14.25" customHeight="1">
      <c r="Z48" s="62"/>
      <c r="AA48" s="62"/>
      <c r="AB48" s="62"/>
      <c r="AC48" s="62"/>
      <c r="AD48" s="62"/>
      <c r="AE48" s="62"/>
      <c r="AF48" s="62"/>
      <c r="AG48" s="62"/>
      <c r="AH48" s="62"/>
      <c r="AI48" s="62"/>
    </row>
    <row r="49" ht="14.25" customHeight="1">
      <c r="Z49" s="62"/>
      <c r="AA49" s="62"/>
      <c r="AB49" s="62"/>
      <c r="AC49" s="62"/>
      <c r="AD49" s="62"/>
      <c r="AE49" s="62"/>
      <c r="AF49" s="62"/>
      <c r="AG49" s="62"/>
      <c r="AH49" s="62"/>
      <c r="AI49" s="62"/>
    </row>
    <row r="50" ht="14.25" customHeight="1">
      <c r="Z50" s="62"/>
      <c r="AA50" s="62"/>
      <c r="AB50" s="62"/>
      <c r="AC50" s="62"/>
      <c r="AD50" s="62"/>
      <c r="AE50" s="62"/>
      <c r="AF50" s="62"/>
      <c r="AG50" s="62"/>
      <c r="AH50" s="62"/>
      <c r="AI50" s="62"/>
    </row>
    <row r="51" ht="14.25" customHeight="1">
      <c r="Z51" s="62"/>
      <c r="AA51" s="62"/>
      <c r="AB51" s="62"/>
      <c r="AC51" s="62"/>
      <c r="AD51" s="62"/>
      <c r="AE51" s="62"/>
      <c r="AF51" s="62"/>
      <c r="AG51" s="62"/>
      <c r="AH51" s="62"/>
      <c r="AI51" s="62"/>
    </row>
    <row r="52" ht="14.25" customHeight="1">
      <c r="Z52" s="62"/>
      <c r="AA52" s="62"/>
      <c r="AB52" s="62"/>
      <c r="AC52" s="62"/>
      <c r="AD52" s="62"/>
      <c r="AE52" s="62"/>
      <c r="AF52" s="62"/>
      <c r="AG52" s="62"/>
      <c r="AH52" s="62"/>
      <c r="AI52" s="62"/>
    </row>
    <row r="53" ht="14.25" customHeight="1">
      <c r="Z53" s="62"/>
      <c r="AA53" s="62"/>
      <c r="AB53" s="62"/>
      <c r="AC53" s="62"/>
      <c r="AD53" s="62"/>
      <c r="AE53" s="62"/>
      <c r="AF53" s="62"/>
      <c r="AG53" s="62"/>
      <c r="AH53" s="62"/>
      <c r="AI53" s="62"/>
    </row>
    <row r="54" ht="14.25" customHeight="1">
      <c r="Z54" s="62"/>
      <c r="AA54" s="62"/>
      <c r="AB54" s="62"/>
      <c r="AC54" s="62"/>
      <c r="AD54" s="62"/>
      <c r="AE54" s="62"/>
      <c r="AF54" s="62"/>
      <c r="AG54" s="62"/>
      <c r="AH54" s="62"/>
      <c r="AI54" s="62"/>
    </row>
    <row r="55" ht="14.25" customHeight="1">
      <c r="Z55" s="62"/>
      <c r="AA55" s="62"/>
      <c r="AB55" s="62"/>
      <c r="AC55" s="62"/>
      <c r="AD55" s="62"/>
      <c r="AE55" s="62"/>
      <c r="AF55" s="62"/>
      <c r="AG55" s="62"/>
      <c r="AH55" s="62"/>
      <c r="AI55" s="62"/>
    </row>
    <row r="56" ht="14.25" customHeight="1">
      <c r="Z56" s="62"/>
      <c r="AA56" s="62"/>
      <c r="AB56" s="62"/>
      <c r="AC56" s="62"/>
      <c r="AD56" s="62"/>
      <c r="AE56" s="62"/>
      <c r="AF56" s="62"/>
      <c r="AG56" s="62"/>
      <c r="AH56" s="62"/>
      <c r="AI56" s="62"/>
    </row>
    <row r="57" ht="14.25" customHeight="1">
      <c r="Z57" s="62"/>
      <c r="AA57" s="62"/>
      <c r="AB57" s="62"/>
      <c r="AC57" s="62"/>
      <c r="AD57" s="62"/>
      <c r="AE57" s="62"/>
      <c r="AF57" s="62"/>
      <c r="AG57" s="62"/>
      <c r="AH57" s="62"/>
      <c r="AI57" s="62"/>
    </row>
    <row r="58" ht="14.25" customHeight="1">
      <c r="Z58" s="62"/>
      <c r="AA58" s="62"/>
      <c r="AB58" s="62"/>
      <c r="AC58" s="62"/>
      <c r="AD58" s="62"/>
      <c r="AE58" s="62"/>
      <c r="AF58" s="62"/>
      <c r="AG58" s="62"/>
      <c r="AH58" s="62"/>
      <c r="AI58" s="62"/>
    </row>
    <row r="59" ht="14.25" customHeight="1">
      <c r="Z59" s="62"/>
      <c r="AA59" s="62"/>
      <c r="AB59" s="62"/>
      <c r="AC59" s="62"/>
      <c r="AD59" s="62"/>
      <c r="AE59" s="62"/>
      <c r="AF59" s="62"/>
      <c r="AG59" s="62"/>
      <c r="AH59" s="62"/>
      <c r="AI59" s="62"/>
    </row>
    <row r="60" ht="14.25" customHeight="1">
      <c r="Z60" s="62"/>
      <c r="AA60" s="62"/>
      <c r="AB60" s="62"/>
      <c r="AC60" s="62"/>
      <c r="AD60" s="62"/>
      <c r="AE60" s="62"/>
      <c r="AF60" s="62"/>
      <c r="AG60" s="62"/>
      <c r="AH60" s="62"/>
      <c r="AI60" s="62"/>
    </row>
    <row r="61" ht="14.25" customHeight="1">
      <c r="Z61" s="62"/>
      <c r="AA61" s="62"/>
      <c r="AB61" s="62"/>
      <c r="AC61" s="62"/>
      <c r="AD61" s="62"/>
      <c r="AE61" s="62"/>
      <c r="AF61" s="62"/>
      <c r="AG61" s="62"/>
      <c r="AH61" s="62"/>
      <c r="AI61" s="62"/>
    </row>
    <row r="62" ht="14.25" customHeight="1">
      <c r="Z62" s="62"/>
      <c r="AA62" s="62"/>
      <c r="AB62" s="62"/>
      <c r="AC62" s="62"/>
      <c r="AD62" s="62"/>
      <c r="AE62" s="62"/>
      <c r="AF62" s="62"/>
      <c r="AG62" s="62"/>
      <c r="AH62" s="62"/>
      <c r="AI62" s="62"/>
    </row>
    <row r="63" ht="14.25" customHeight="1">
      <c r="Z63" s="62"/>
      <c r="AA63" s="62"/>
      <c r="AB63" s="62"/>
      <c r="AC63" s="62"/>
      <c r="AD63" s="62"/>
      <c r="AE63" s="62"/>
      <c r="AF63" s="62"/>
      <c r="AG63" s="62"/>
      <c r="AH63" s="62"/>
      <c r="AI63" s="62"/>
    </row>
    <row r="64" ht="14.25" customHeight="1">
      <c r="Z64" s="62"/>
      <c r="AA64" s="62"/>
      <c r="AB64" s="62"/>
      <c r="AC64" s="62"/>
      <c r="AD64" s="62"/>
      <c r="AE64" s="62"/>
      <c r="AF64" s="62"/>
      <c r="AG64" s="62"/>
      <c r="AH64" s="62"/>
      <c r="AI64" s="62"/>
    </row>
    <row r="65" ht="14.25" customHeight="1">
      <c r="Z65" s="62"/>
      <c r="AA65" s="62"/>
      <c r="AB65" s="62"/>
      <c r="AC65" s="62"/>
      <c r="AD65" s="62"/>
      <c r="AE65" s="62"/>
      <c r="AF65" s="62"/>
      <c r="AG65" s="62"/>
      <c r="AH65" s="62"/>
      <c r="AI65" s="62"/>
    </row>
    <row r="66" ht="14.25" customHeight="1">
      <c r="Z66" s="62"/>
      <c r="AA66" s="62"/>
      <c r="AB66" s="62"/>
      <c r="AC66" s="62"/>
      <c r="AD66" s="62"/>
      <c r="AE66" s="62"/>
      <c r="AF66" s="62"/>
      <c r="AG66" s="62"/>
      <c r="AH66" s="62"/>
      <c r="AI66" s="62"/>
    </row>
    <row r="67" ht="14.25" customHeight="1">
      <c r="Z67" s="62"/>
      <c r="AA67" s="62"/>
      <c r="AB67" s="62"/>
      <c r="AC67" s="62"/>
      <c r="AD67" s="62"/>
      <c r="AE67" s="62"/>
      <c r="AF67" s="62"/>
      <c r="AG67" s="62"/>
      <c r="AH67" s="62"/>
      <c r="AI67" s="62"/>
    </row>
    <row r="68" ht="14.25" customHeight="1">
      <c r="Z68" s="62"/>
      <c r="AA68" s="62"/>
      <c r="AB68" s="62"/>
      <c r="AC68" s="62"/>
      <c r="AD68" s="62"/>
      <c r="AE68" s="62"/>
      <c r="AF68" s="62"/>
      <c r="AG68" s="62"/>
      <c r="AH68" s="62"/>
      <c r="AI68" s="62"/>
    </row>
    <row r="69" ht="14.25" customHeight="1">
      <c r="Z69" s="62"/>
      <c r="AA69" s="62"/>
      <c r="AB69" s="62"/>
      <c r="AC69" s="62"/>
      <c r="AD69" s="62"/>
      <c r="AE69" s="62"/>
      <c r="AF69" s="62"/>
      <c r="AG69" s="62"/>
      <c r="AH69" s="62"/>
      <c r="AI69" s="62"/>
    </row>
    <row r="70" ht="14.25" customHeight="1">
      <c r="Z70" s="62"/>
      <c r="AA70" s="62"/>
      <c r="AB70" s="62"/>
      <c r="AC70" s="62"/>
      <c r="AD70" s="62"/>
      <c r="AE70" s="62"/>
      <c r="AF70" s="62"/>
      <c r="AG70" s="62"/>
      <c r="AH70" s="62"/>
      <c r="AI70" s="62"/>
    </row>
    <row r="71" ht="14.25" customHeight="1">
      <c r="Z71" s="62"/>
      <c r="AA71" s="62"/>
      <c r="AB71" s="62"/>
      <c r="AC71" s="62"/>
      <c r="AD71" s="62"/>
      <c r="AE71" s="62"/>
      <c r="AF71" s="62"/>
      <c r="AG71" s="62"/>
      <c r="AH71" s="62"/>
      <c r="AI71" s="62"/>
    </row>
    <row r="72" ht="14.25" customHeight="1">
      <c r="Z72" s="62"/>
      <c r="AA72" s="62"/>
      <c r="AB72" s="62"/>
      <c r="AC72" s="62"/>
      <c r="AD72" s="62"/>
      <c r="AE72" s="62"/>
      <c r="AF72" s="62"/>
      <c r="AG72" s="62"/>
      <c r="AH72" s="62"/>
      <c r="AI72" s="62"/>
    </row>
    <row r="73" ht="14.25" customHeight="1">
      <c r="Z73" s="62"/>
      <c r="AA73" s="62"/>
      <c r="AB73" s="62"/>
      <c r="AC73" s="62"/>
      <c r="AD73" s="62"/>
      <c r="AE73" s="62"/>
      <c r="AF73" s="62"/>
      <c r="AG73" s="62"/>
      <c r="AH73" s="62"/>
      <c r="AI73" s="62"/>
    </row>
    <row r="74" ht="14.25" customHeight="1">
      <c r="Z74" s="62"/>
      <c r="AA74" s="62"/>
      <c r="AB74" s="62"/>
      <c r="AC74" s="62"/>
      <c r="AD74" s="62"/>
      <c r="AE74" s="62"/>
      <c r="AF74" s="62"/>
      <c r="AG74" s="62"/>
      <c r="AH74" s="62"/>
      <c r="AI74" s="62"/>
    </row>
    <row r="75" ht="14.25" customHeight="1">
      <c r="Z75" s="62"/>
      <c r="AA75" s="62"/>
      <c r="AB75" s="62"/>
      <c r="AC75" s="62"/>
      <c r="AD75" s="62"/>
      <c r="AE75" s="62"/>
      <c r="AF75" s="62"/>
      <c r="AG75" s="62"/>
      <c r="AH75" s="62"/>
      <c r="AI75" s="62"/>
    </row>
    <row r="76" ht="14.25" customHeight="1">
      <c r="Z76" s="62"/>
      <c r="AA76" s="62"/>
      <c r="AB76" s="62"/>
      <c r="AC76" s="62"/>
      <c r="AD76" s="62"/>
      <c r="AE76" s="62"/>
      <c r="AF76" s="62"/>
      <c r="AG76" s="62"/>
      <c r="AH76" s="62"/>
      <c r="AI76" s="62"/>
    </row>
    <row r="77" ht="14.25" customHeight="1">
      <c r="Z77" s="62"/>
      <c r="AA77" s="62"/>
      <c r="AB77" s="62"/>
      <c r="AC77" s="62"/>
      <c r="AD77" s="62"/>
      <c r="AE77" s="62"/>
      <c r="AF77" s="62"/>
      <c r="AG77" s="62"/>
      <c r="AH77" s="62"/>
      <c r="AI77" s="62"/>
    </row>
    <row r="78" ht="14.25" customHeight="1">
      <c r="Z78" s="62"/>
      <c r="AA78" s="62"/>
      <c r="AB78" s="62"/>
      <c r="AC78" s="62"/>
      <c r="AD78" s="62"/>
      <c r="AE78" s="62"/>
      <c r="AF78" s="62"/>
      <c r="AG78" s="62"/>
      <c r="AH78" s="62"/>
      <c r="AI78" s="62"/>
    </row>
    <row r="79" ht="14.25" customHeight="1">
      <c r="Z79" s="62"/>
      <c r="AA79" s="62"/>
      <c r="AB79" s="62"/>
      <c r="AC79" s="62"/>
      <c r="AD79" s="62"/>
      <c r="AE79" s="62"/>
      <c r="AF79" s="62"/>
      <c r="AG79" s="62"/>
      <c r="AH79" s="62"/>
      <c r="AI79" s="62"/>
    </row>
    <row r="80" ht="14.25" customHeight="1">
      <c r="Z80" s="62"/>
      <c r="AA80" s="62"/>
      <c r="AB80" s="62"/>
      <c r="AC80" s="62"/>
      <c r="AD80" s="62"/>
      <c r="AE80" s="62"/>
      <c r="AF80" s="62"/>
      <c r="AG80" s="62"/>
      <c r="AH80" s="62"/>
      <c r="AI80" s="62"/>
    </row>
    <row r="81" ht="14.25" customHeight="1">
      <c r="Z81" s="62"/>
      <c r="AA81" s="62"/>
      <c r="AB81" s="62"/>
      <c r="AC81" s="62"/>
      <c r="AD81" s="62"/>
      <c r="AE81" s="62"/>
      <c r="AF81" s="62"/>
      <c r="AG81" s="62"/>
      <c r="AH81" s="62"/>
      <c r="AI81" s="62"/>
    </row>
    <row r="82" ht="14.25" customHeight="1">
      <c r="Z82" s="62"/>
      <c r="AA82" s="62"/>
      <c r="AB82" s="62"/>
      <c r="AC82" s="62"/>
      <c r="AD82" s="62"/>
      <c r="AE82" s="62"/>
      <c r="AF82" s="62"/>
      <c r="AG82" s="62"/>
      <c r="AH82" s="62"/>
      <c r="AI82" s="62"/>
    </row>
    <row r="83" ht="14.25" customHeight="1">
      <c r="Z83" s="62"/>
      <c r="AA83" s="62"/>
      <c r="AB83" s="62"/>
      <c r="AC83" s="62"/>
      <c r="AD83" s="62"/>
      <c r="AE83" s="62"/>
      <c r="AF83" s="62"/>
      <c r="AG83" s="62"/>
      <c r="AH83" s="62"/>
      <c r="AI83" s="62"/>
    </row>
    <row r="84" ht="14.25" customHeight="1">
      <c r="Z84" s="62"/>
      <c r="AA84" s="62"/>
      <c r="AB84" s="62"/>
      <c r="AC84" s="62"/>
      <c r="AD84" s="62"/>
      <c r="AE84" s="62"/>
      <c r="AF84" s="62"/>
      <c r="AG84" s="62"/>
      <c r="AH84" s="62"/>
      <c r="AI84" s="62"/>
    </row>
    <row r="85" ht="14.25" customHeight="1">
      <c r="Z85" s="62"/>
      <c r="AA85" s="62"/>
      <c r="AB85" s="62"/>
      <c r="AC85" s="62"/>
      <c r="AD85" s="62"/>
      <c r="AE85" s="62"/>
      <c r="AF85" s="62"/>
      <c r="AG85" s="62"/>
      <c r="AH85" s="62"/>
      <c r="AI85" s="62"/>
    </row>
    <row r="86" ht="14.25" customHeight="1">
      <c r="Z86" s="62"/>
      <c r="AA86" s="62"/>
      <c r="AB86" s="62"/>
      <c r="AC86" s="62"/>
      <c r="AD86" s="62"/>
      <c r="AE86" s="62"/>
      <c r="AF86" s="62"/>
      <c r="AG86" s="62"/>
      <c r="AH86" s="62"/>
      <c r="AI86" s="62"/>
    </row>
    <row r="87" ht="14.25" customHeight="1">
      <c r="Z87" s="62"/>
      <c r="AA87" s="62"/>
      <c r="AB87" s="62"/>
      <c r="AC87" s="62"/>
      <c r="AD87" s="62"/>
      <c r="AE87" s="62"/>
      <c r="AF87" s="62"/>
      <c r="AG87" s="62"/>
      <c r="AH87" s="62"/>
      <c r="AI87" s="62"/>
    </row>
    <row r="88" ht="14.25" customHeight="1">
      <c r="Z88" s="62"/>
      <c r="AA88" s="62"/>
      <c r="AB88" s="62"/>
      <c r="AC88" s="62"/>
      <c r="AD88" s="62"/>
      <c r="AE88" s="62"/>
      <c r="AF88" s="62"/>
      <c r="AG88" s="62"/>
      <c r="AH88" s="62"/>
      <c r="AI88" s="62"/>
    </row>
    <row r="89" ht="14.25" customHeight="1">
      <c r="Z89" s="62"/>
      <c r="AA89" s="62"/>
      <c r="AB89" s="62"/>
      <c r="AC89" s="62"/>
      <c r="AD89" s="62"/>
      <c r="AE89" s="62"/>
      <c r="AF89" s="62"/>
      <c r="AG89" s="62"/>
      <c r="AH89" s="62"/>
      <c r="AI89" s="62"/>
    </row>
    <row r="90" ht="14.25" customHeight="1">
      <c r="Z90" s="62"/>
      <c r="AA90" s="62"/>
      <c r="AB90" s="62"/>
      <c r="AC90" s="62"/>
      <c r="AD90" s="62"/>
      <c r="AE90" s="62"/>
      <c r="AF90" s="62"/>
      <c r="AG90" s="62"/>
      <c r="AH90" s="62"/>
      <c r="AI90" s="62"/>
    </row>
    <row r="91" ht="14.25" customHeight="1">
      <c r="Z91" s="62"/>
      <c r="AA91" s="62"/>
      <c r="AB91" s="62"/>
      <c r="AC91" s="62"/>
      <c r="AD91" s="62"/>
      <c r="AE91" s="62"/>
      <c r="AF91" s="62"/>
      <c r="AG91" s="62"/>
      <c r="AH91" s="62"/>
      <c r="AI91" s="62"/>
    </row>
    <row r="92" ht="14.25" customHeight="1">
      <c r="Z92" s="62"/>
      <c r="AA92" s="62"/>
      <c r="AB92" s="62"/>
      <c r="AC92" s="62"/>
      <c r="AD92" s="62"/>
      <c r="AE92" s="62"/>
      <c r="AF92" s="62"/>
      <c r="AG92" s="62"/>
      <c r="AH92" s="62"/>
      <c r="AI92" s="62"/>
    </row>
    <row r="93" ht="14.25" customHeight="1">
      <c r="Z93" s="62"/>
      <c r="AA93" s="62"/>
      <c r="AB93" s="62"/>
      <c r="AC93" s="62"/>
      <c r="AD93" s="62"/>
      <c r="AE93" s="62"/>
      <c r="AF93" s="62"/>
      <c r="AG93" s="62"/>
      <c r="AH93" s="62"/>
      <c r="AI93" s="62"/>
    </row>
    <row r="94" ht="14.25" customHeight="1">
      <c r="Z94" s="62"/>
      <c r="AA94" s="62"/>
      <c r="AB94" s="62"/>
      <c r="AC94" s="62"/>
      <c r="AD94" s="62"/>
      <c r="AE94" s="62"/>
      <c r="AF94" s="62"/>
      <c r="AG94" s="62"/>
      <c r="AH94" s="62"/>
      <c r="AI94" s="62"/>
    </row>
    <row r="95" ht="14.25" customHeight="1">
      <c r="Z95" s="62"/>
      <c r="AA95" s="62"/>
      <c r="AB95" s="62"/>
      <c r="AC95" s="62"/>
      <c r="AD95" s="62"/>
      <c r="AE95" s="62"/>
      <c r="AF95" s="62"/>
      <c r="AG95" s="62"/>
      <c r="AH95" s="62"/>
      <c r="AI95" s="62"/>
    </row>
    <row r="96" ht="14.25" customHeight="1">
      <c r="Z96" s="62"/>
      <c r="AA96" s="62"/>
      <c r="AB96" s="62"/>
      <c r="AC96" s="62"/>
      <c r="AD96" s="62"/>
      <c r="AE96" s="62"/>
      <c r="AF96" s="62"/>
      <c r="AG96" s="62"/>
      <c r="AH96" s="62"/>
      <c r="AI96" s="62"/>
    </row>
    <row r="97" ht="14.25" customHeight="1">
      <c r="Z97" s="62"/>
      <c r="AA97" s="62"/>
      <c r="AB97" s="62"/>
      <c r="AC97" s="62"/>
      <c r="AD97" s="62"/>
      <c r="AE97" s="62"/>
      <c r="AF97" s="62"/>
      <c r="AG97" s="62"/>
      <c r="AH97" s="62"/>
      <c r="AI97" s="62"/>
    </row>
    <row r="98" ht="14.25" customHeight="1">
      <c r="Z98" s="62"/>
      <c r="AA98" s="62"/>
      <c r="AB98" s="62"/>
      <c r="AC98" s="62"/>
      <c r="AD98" s="62"/>
      <c r="AE98" s="62"/>
      <c r="AF98" s="62"/>
      <c r="AG98" s="62"/>
      <c r="AH98" s="62"/>
      <c r="AI98" s="62"/>
    </row>
    <row r="99" ht="14.25" customHeight="1">
      <c r="Z99" s="62"/>
      <c r="AA99" s="62"/>
      <c r="AB99" s="62"/>
      <c r="AC99" s="62"/>
      <c r="AD99" s="62"/>
      <c r="AE99" s="62"/>
      <c r="AF99" s="62"/>
      <c r="AG99" s="62"/>
      <c r="AH99" s="62"/>
      <c r="AI99" s="62"/>
    </row>
    <row r="100" ht="14.25" customHeight="1">
      <c r="Z100" s="62"/>
      <c r="AA100" s="62"/>
      <c r="AB100" s="62"/>
      <c r="AC100" s="62"/>
      <c r="AD100" s="62"/>
      <c r="AE100" s="62"/>
      <c r="AF100" s="62"/>
      <c r="AG100" s="62"/>
      <c r="AH100" s="62"/>
      <c r="AI100" s="62"/>
    </row>
    <row r="101" ht="14.25" customHeight="1">
      <c r="Z101" s="62"/>
      <c r="AA101" s="62"/>
      <c r="AB101" s="62"/>
      <c r="AC101" s="62"/>
      <c r="AD101" s="62"/>
      <c r="AE101" s="62"/>
      <c r="AF101" s="62"/>
      <c r="AG101" s="62"/>
      <c r="AH101" s="62"/>
      <c r="AI101" s="62"/>
    </row>
    <row r="102" ht="14.25" customHeight="1">
      <c r="Z102" s="62"/>
      <c r="AA102" s="62"/>
      <c r="AB102" s="62"/>
      <c r="AC102" s="62"/>
      <c r="AD102" s="62"/>
      <c r="AE102" s="62"/>
      <c r="AF102" s="62"/>
      <c r="AG102" s="62"/>
      <c r="AH102" s="62"/>
      <c r="AI102" s="62"/>
    </row>
    <row r="103" ht="14.25" customHeight="1">
      <c r="Z103" s="62"/>
      <c r="AA103" s="62"/>
      <c r="AB103" s="62"/>
      <c r="AC103" s="62"/>
      <c r="AD103" s="62"/>
      <c r="AE103" s="62"/>
      <c r="AF103" s="62"/>
      <c r="AG103" s="62"/>
      <c r="AH103" s="62"/>
      <c r="AI103" s="62"/>
    </row>
    <row r="104" ht="14.25" customHeight="1">
      <c r="Z104" s="62"/>
      <c r="AA104" s="62"/>
      <c r="AB104" s="62"/>
      <c r="AC104" s="62"/>
      <c r="AD104" s="62"/>
      <c r="AE104" s="62"/>
      <c r="AF104" s="62"/>
      <c r="AG104" s="62"/>
      <c r="AH104" s="62"/>
      <c r="AI104" s="62"/>
    </row>
    <row r="105" ht="14.25" customHeight="1">
      <c r="Z105" s="62"/>
      <c r="AA105" s="62"/>
      <c r="AB105" s="62"/>
      <c r="AC105" s="62"/>
      <c r="AD105" s="62"/>
      <c r="AE105" s="62"/>
      <c r="AF105" s="62"/>
      <c r="AG105" s="62"/>
      <c r="AH105" s="62"/>
      <c r="AI105" s="62"/>
    </row>
    <row r="106" ht="14.25" customHeight="1">
      <c r="Z106" s="62"/>
      <c r="AA106" s="62"/>
      <c r="AB106" s="62"/>
      <c r="AC106" s="62"/>
      <c r="AD106" s="62"/>
      <c r="AE106" s="62"/>
      <c r="AF106" s="62"/>
      <c r="AG106" s="62"/>
      <c r="AH106" s="62"/>
      <c r="AI106" s="62"/>
    </row>
    <row r="107" ht="14.25" customHeight="1">
      <c r="Z107" s="62"/>
      <c r="AA107" s="62"/>
      <c r="AB107" s="62"/>
      <c r="AC107" s="62"/>
      <c r="AD107" s="62"/>
      <c r="AE107" s="62"/>
      <c r="AF107" s="62"/>
      <c r="AG107" s="62"/>
      <c r="AH107" s="62"/>
      <c r="AI107" s="62"/>
    </row>
    <row r="108" ht="14.25" customHeight="1">
      <c r="Z108" s="62"/>
      <c r="AA108" s="62"/>
      <c r="AB108" s="62"/>
      <c r="AC108" s="62"/>
      <c r="AD108" s="62"/>
      <c r="AE108" s="62"/>
      <c r="AF108" s="62"/>
      <c r="AG108" s="62"/>
      <c r="AH108" s="62"/>
      <c r="AI108" s="62"/>
    </row>
    <row r="109" ht="14.25" customHeight="1">
      <c r="Z109" s="62"/>
      <c r="AA109" s="62"/>
      <c r="AB109" s="62"/>
      <c r="AC109" s="62"/>
      <c r="AD109" s="62"/>
      <c r="AE109" s="62"/>
      <c r="AF109" s="62"/>
      <c r="AG109" s="62"/>
      <c r="AH109" s="62"/>
      <c r="AI109" s="62"/>
    </row>
    <row r="110" ht="14.25" customHeight="1">
      <c r="Z110" s="62"/>
      <c r="AA110" s="62"/>
      <c r="AB110" s="62"/>
      <c r="AC110" s="62"/>
      <c r="AD110" s="62"/>
      <c r="AE110" s="62"/>
      <c r="AF110" s="62"/>
      <c r="AG110" s="62"/>
      <c r="AH110" s="62"/>
      <c r="AI110" s="62"/>
    </row>
    <row r="111" ht="14.25" customHeight="1">
      <c r="Z111" s="62"/>
      <c r="AA111" s="62"/>
      <c r="AB111" s="62"/>
      <c r="AC111" s="62"/>
      <c r="AD111" s="62"/>
      <c r="AE111" s="62"/>
      <c r="AF111" s="62"/>
      <c r="AG111" s="62"/>
      <c r="AH111" s="62"/>
      <c r="AI111" s="62"/>
    </row>
    <row r="112" ht="14.25" customHeight="1">
      <c r="Z112" s="62"/>
      <c r="AA112" s="62"/>
      <c r="AB112" s="62"/>
      <c r="AC112" s="62"/>
      <c r="AD112" s="62"/>
      <c r="AE112" s="62"/>
      <c r="AF112" s="62"/>
      <c r="AG112" s="62"/>
      <c r="AH112" s="62"/>
      <c r="AI112" s="62"/>
    </row>
    <row r="113" ht="14.25" customHeight="1">
      <c r="Z113" s="62"/>
      <c r="AA113" s="62"/>
      <c r="AB113" s="62"/>
      <c r="AC113" s="62"/>
      <c r="AD113" s="62"/>
      <c r="AE113" s="62"/>
      <c r="AF113" s="62"/>
      <c r="AG113" s="62"/>
      <c r="AH113" s="62"/>
      <c r="AI113" s="62"/>
    </row>
    <row r="114" ht="14.25" customHeight="1">
      <c r="Z114" s="62"/>
      <c r="AA114" s="62"/>
      <c r="AB114" s="62"/>
      <c r="AC114" s="62"/>
      <c r="AD114" s="62"/>
      <c r="AE114" s="62"/>
      <c r="AF114" s="62"/>
      <c r="AG114" s="62"/>
      <c r="AH114" s="62"/>
      <c r="AI114" s="62"/>
    </row>
    <row r="115" ht="14.25" customHeight="1">
      <c r="Z115" s="62"/>
      <c r="AA115" s="62"/>
      <c r="AB115" s="62"/>
      <c r="AC115" s="62"/>
      <c r="AD115" s="62"/>
      <c r="AE115" s="62"/>
      <c r="AF115" s="62"/>
      <c r="AG115" s="62"/>
      <c r="AH115" s="62"/>
      <c r="AI115" s="62"/>
    </row>
    <row r="116" ht="14.25" customHeight="1">
      <c r="Z116" s="62"/>
      <c r="AA116" s="62"/>
      <c r="AB116" s="62"/>
      <c r="AC116" s="62"/>
      <c r="AD116" s="62"/>
      <c r="AE116" s="62"/>
      <c r="AF116" s="62"/>
      <c r="AG116" s="62"/>
      <c r="AH116" s="62"/>
      <c r="AI116" s="62"/>
    </row>
    <row r="117" ht="14.25" customHeight="1">
      <c r="Z117" s="62"/>
      <c r="AA117" s="62"/>
      <c r="AB117" s="62"/>
      <c r="AC117" s="62"/>
      <c r="AD117" s="62"/>
      <c r="AE117" s="62"/>
      <c r="AF117" s="62"/>
      <c r="AG117" s="62"/>
      <c r="AH117" s="62"/>
      <c r="AI117" s="62"/>
    </row>
    <row r="118" ht="14.25" customHeight="1">
      <c r="Z118" s="62"/>
      <c r="AA118" s="62"/>
      <c r="AB118" s="62"/>
      <c r="AC118" s="62"/>
      <c r="AD118" s="62"/>
      <c r="AE118" s="62"/>
      <c r="AF118" s="62"/>
      <c r="AG118" s="62"/>
      <c r="AH118" s="62"/>
      <c r="AI118" s="62"/>
    </row>
    <row r="119" ht="14.25" customHeight="1">
      <c r="Z119" s="62"/>
      <c r="AA119" s="62"/>
      <c r="AB119" s="62"/>
      <c r="AC119" s="62"/>
      <c r="AD119" s="62"/>
      <c r="AE119" s="62"/>
      <c r="AF119" s="62"/>
      <c r="AG119" s="62"/>
      <c r="AH119" s="62"/>
      <c r="AI119" s="62"/>
    </row>
    <row r="120" ht="14.25" customHeight="1">
      <c r="Z120" s="62"/>
      <c r="AA120" s="62"/>
      <c r="AB120" s="62"/>
      <c r="AC120" s="62"/>
      <c r="AD120" s="62"/>
      <c r="AE120" s="62"/>
      <c r="AF120" s="62"/>
      <c r="AG120" s="62"/>
      <c r="AH120" s="62"/>
      <c r="AI120" s="62"/>
    </row>
    <row r="121" ht="14.25" customHeight="1">
      <c r="Z121" s="62"/>
      <c r="AA121" s="62"/>
      <c r="AB121" s="62"/>
      <c r="AC121" s="62"/>
      <c r="AD121" s="62"/>
      <c r="AE121" s="62"/>
      <c r="AF121" s="62"/>
      <c r="AG121" s="62"/>
      <c r="AH121" s="62"/>
      <c r="AI121" s="62"/>
    </row>
    <row r="122" ht="14.25" customHeight="1">
      <c r="Z122" s="62"/>
      <c r="AA122" s="62"/>
      <c r="AB122" s="62"/>
      <c r="AC122" s="62"/>
      <c r="AD122" s="62"/>
      <c r="AE122" s="62"/>
      <c r="AF122" s="62"/>
      <c r="AG122" s="62"/>
      <c r="AH122" s="62"/>
      <c r="AI122" s="62"/>
    </row>
    <row r="123" ht="14.25" customHeight="1">
      <c r="Z123" s="62"/>
      <c r="AA123" s="62"/>
      <c r="AB123" s="62"/>
      <c r="AC123" s="62"/>
      <c r="AD123" s="62"/>
      <c r="AE123" s="62"/>
      <c r="AF123" s="62"/>
      <c r="AG123" s="62"/>
      <c r="AH123" s="62"/>
      <c r="AI123" s="62"/>
    </row>
    <row r="124" ht="14.25" customHeight="1">
      <c r="Z124" s="62"/>
      <c r="AA124" s="62"/>
      <c r="AB124" s="62"/>
      <c r="AC124" s="62"/>
      <c r="AD124" s="62"/>
      <c r="AE124" s="62"/>
      <c r="AF124" s="62"/>
      <c r="AG124" s="62"/>
      <c r="AH124" s="62"/>
      <c r="AI124" s="62"/>
    </row>
    <row r="125" ht="14.25" customHeight="1">
      <c r="Z125" s="62"/>
      <c r="AA125" s="62"/>
      <c r="AB125" s="62"/>
      <c r="AC125" s="62"/>
      <c r="AD125" s="62"/>
      <c r="AE125" s="62"/>
      <c r="AF125" s="62"/>
      <c r="AG125" s="62"/>
      <c r="AH125" s="62"/>
      <c r="AI125" s="62"/>
    </row>
    <row r="126" ht="14.25" customHeight="1">
      <c r="Z126" s="62"/>
      <c r="AA126" s="62"/>
      <c r="AB126" s="62"/>
      <c r="AC126" s="62"/>
      <c r="AD126" s="62"/>
      <c r="AE126" s="62"/>
      <c r="AF126" s="62"/>
      <c r="AG126" s="62"/>
      <c r="AH126" s="62"/>
      <c r="AI126" s="62"/>
    </row>
    <row r="127" ht="14.25" customHeight="1">
      <c r="Z127" s="62"/>
      <c r="AA127" s="62"/>
      <c r="AB127" s="62"/>
      <c r="AC127" s="62"/>
      <c r="AD127" s="62"/>
      <c r="AE127" s="62"/>
      <c r="AF127" s="62"/>
      <c r="AG127" s="62"/>
      <c r="AH127" s="62"/>
      <c r="AI127" s="62"/>
    </row>
    <row r="128" ht="14.25" customHeight="1">
      <c r="Z128" s="62"/>
      <c r="AA128" s="62"/>
      <c r="AB128" s="62"/>
      <c r="AC128" s="62"/>
      <c r="AD128" s="62"/>
      <c r="AE128" s="62"/>
      <c r="AF128" s="62"/>
      <c r="AG128" s="62"/>
      <c r="AH128" s="62"/>
      <c r="AI128" s="62"/>
    </row>
    <row r="129" ht="14.25" customHeight="1">
      <c r="Z129" s="62"/>
      <c r="AA129" s="62"/>
      <c r="AB129" s="62"/>
      <c r="AC129" s="62"/>
      <c r="AD129" s="62"/>
      <c r="AE129" s="62"/>
      <c r="AF129" s="62"/>
      <c r="AG129" s="62"/>
      <c r="AH129" s="62"/>
      <c r="AI129" s="62"/>
    </row>
    <row r="130" ht="14.25" customHeight="1">
      <c r="Z130" s="62"/>
      <c r="AA130" s="62"/>
      <c r="AB130" s="62"/>
      <c r="AC130" s="62"/>
      <c r="AD130" s="62"/>
      <c r="AE130" s="62"/>
      <c r="AF130" s="62"/>
      <c r="AG130" s="62"/>
      <c r="AH130" s="62"/>
      <c r="AI130" s="62"/>
    </row>
    <row r="131" ht="14.25" customHeight="1">
      <c r="Z131" s="62"/>
      <c r="AA131" s="62"/>
      <c r="AB131" s="62"/>
      <c r="AC131" s="62"/>
      <c r="AD131" s="62"/>
      <c r="AE131" s="62"/>
      <c r="AF131" s="62"/>
      <c r="AG131" s="62"/>
      <c r="AH131" s="62"/>
      <c r="AI131" s="62"/>
    </row>
    <row r="132" ht="14.25" customHeight="1">
      <c r="Z132" s="62"/>
      <c r="AA132" s="62"/>
      <c r="AB132" s="62"/>
      <c r="AC132" s="62"/>
      <c r="AD132" s="62"/>
      <c r="AE132" s="62"/>
      <c r="AF132" s="62"/>
      <c r="AG132" s="62"/>
      <c r="AH132" s="62"/>
      <c r="AI132" s="62"/>
    </row>
    <row r="133" ht="14.25" customHeight="1">
      <c r="Z133" s="62"/>
      <c r="AA133" s="62"/>
      <c r="AB133" s="62"/>
      <c r="AC133" s="62"/>
      <c r="AD133" s="62"/>
      <c r="AE133" s="62"/>
      <c r="AF133" s="62"/>
      <c r="AG133" s="62"/>
      <c r="AH133" s="62"/>
      <c r="AI133" s="62"/>
    </row>
    <row r="134" ht="14.25" customHeight="1">
      <c r="Z134" s="62"/>
      <c r="AA134" s="62"/>
      <c r="AB134" s="62"/>
      <c r="AC134" s="62"/>
      <c r="AD134" s="62"/>
      <c r="AE134" s="62"/>
      <c r="AF134" s="62"/>
      <c r="AG134" s="62"/>
      <c r="AH134" s="62"/>
      <c r="AI134" s="62"/>
    </row>
    <row r="135" ht="14.25" customHeight="1">
      <c r="Z135" s="62"/>
      <c r="AA135" s="62"/>
      <c r="AB135" s="62"/>
      <c r="AC135" s="62"/>
      <c r="AD135" s="62"/>
      <c r="AE135" s="62"/>
      <c r="AF135" s="62"/>
      <c r="AG135" s="62"/>
      <c r="AH135" s="62"/>
      <c r="AI135" s="62"/>
    </row>
    <row r="136" ht="14.25" customHeight="1">
      <c r="Z136" s="62"/>
      <c r="AA136" s="62"/>
      <c r="AB136" s="62"/>
      <c r="AC136" s="62"/>
      <c r="AD136" s="62"/>
      <c r="AE136" s="62"/>
      <c r="AF136" s="62"/>
      <c r="AG136" s="62"/>
      <c r="AH136" s="62"/>
      <c r="AI136" s="62"/>
    </row>
    <row r="137" ht="14.25" customHeight="1">
      <c r="Z137" s="62"/>
      <c r="AA137" s="62"/>
      <c r="AB137" s="62"/>
      <c r="AC137" s="62"/>
      <c r="AD137" s="62"/>
      <c r="AE137" s="62"/>
      <c r="AF137" s="62"/>
      <c r="AG137" s="62"/>
      <c r="AH137" s="62"/>
      <c r="AI137" s="62"/>
    </row>
    <row r="138" ht="14.25" customHeight="1">
      <c r="Z138" s="62"/>
      <c r="AA138" s="62"/>
      <c r="AB138" s="62"/>
      <c r="AC138" s="62"/>
      <c r="AD138" s="62"/>
      <c r="AE138" s="62"/>
      <c r="AF138" s="62"/>
      <c r="AG138" s="62"/>
      <c r="AH138" s="62"/>
      <c r="AI138" s="62"/>
    </row>
    <row r="139" ht="14.25" customHeight="1">
      <c r="Z139" s="62"/>
      <c r="AA139" s="62"/>
      <c r="AB139" s="62"/>
      <c r="AC139" s="62"/>
      <c r="AD139" s="62"/>
      <c r="AE139" s="62"/>
      <c r="AF139" s="62"/>
      <c r="AG139" s="62"/>
      <c r="AH139" s="62"/>
      <c r="AI139" s="62"/>
    </row>
    <row r="140" ht="14.25" customHeight="1">
      <c r="Z140" s="62"/>
      <c r="AA140" s="62"/>
      <c r="AB140" s="62"/>
      <c r="AC140" s="62"/>
      <c r="AD140" s="62"/>
      <c r="AE140" s="62"/>
      <c r="AF140" s="62"/>
      <c r="AG140" s="62"/>
      <c r="AH140" s="62"/>
      <c r="AI140" s="62"/>
    </row>
    <row r="141" ht="14.25" customHeight="1">
      <c r="Z141" s="62"/>
      <c r="AA141" s="62"/>
      <c r="AB141" s="62"/>
      <c r="AC141" s="62"/>
      <c r="AD141" s="62"/>
      <c r="AE141" s="62"/>
      <c r="AF141" s="62"/>
      <c r="AG141" s="62"/>
      <c r="AH141" s="62"/>
      <c r="AI141" s="62"/>
    </row>
    <row r="142" ht="14.25" customHeight="1">
      <c r="Z142" s="62"/>
      <c r="AA142" s="62"/>
      <c r="AB142" s="62"/>
      <c r="AC142" s="62"/>
      <c r="AD142" s="62"/>
      <c r="AE142" s="62"/>
      <c r="AF142" s="62"/>
      <c r="AG142" s="62"/>
      <c r="AH142" s="62"/>
      <c r="AI142" s="62"/>
    </row>
    <row r="143" ht="14.25" customHeight="1">
      <c r="Z143" s="62"/>
      <c r="AA143" s="62"/>
      <c r="AB143" s="62"/>
      <c r="AC143" s="62"/>
      <c r="AD143" s="62"/>
      <c r="AE143" s="62"/>
      <c r="AF143" s="62"/>
      <c r="AG143" s="62"/>
      <c r="AH143" s="62"/>
      <c r="AI143" s="62"/>
    </row>
    <row r="144" ht="14.25" customHeight="1">
      <c r="Z144" s="62"/>
      <c r="AA144" s="62"/>
      <c r="AB144" s="62"/>
      <c r="AC144" s="62"/>
      <c r="AD144" s="62"/>
      <c r="AE144" s="62"/>
      <c r="AF144" s="62"/>
      <c r="AG144" s="62"/>
      <c r="AH144" s="62"/>
      <c r="AI144" s="62"/>
    </row>
    <row r="145" ht="14.25" customHeight="1">
      <c r="Z145" s="62"/>
      <c r="AA145" s="62"/>
      <c r="AB145" s="62"/>
      <c r="AC145" s="62"/>
      <c r="AD145" s="62"/>
      <c r="AE145" s="62"/>
      <c r="AF145" s="62"/>
      <c r="AG145" s="62"/>
      <c r="AH145" s="62"/>
      <c r="AI145" s="62"/>
    </row>
    <row r="146" ht="14.25" customHeight="1">
      <c r="Z146" s="62"/>
      <c r="AA146" s="62"/>
      <c r="AB146" s="62"/>
      <c r="AC146" s="62"/>
      <c r="AD146" s="62"/>
      <c r="AE146" s="62"/>
      <c r="AF146" s="62"/>
      <c r="AG146" s="62"/>
      <c r="AH146" s="62"/>
      <c r="AI146" s="62"/>
    </row>
    <row r="147" ht="14.25" customHeight="1">
      <c r="Z147" s="62"/>
      <c r="AA147" s="62"/>
      <c r="AB147" s="62"/>
      <c r="AC147" s="62"/>
      <c r="AD147" s="62"/>
      <c r="AE147" s="62"/>
      <c r="AF147" s="62"/>
      <c r="AG147" s="62"/>
      <c r="AH147" s="62"/>
      <c r="AI147" s="62"/>
    </row>
    <row r="148" ht="14.25" customHeight="1">
      <c r="Z148" s="62"/>
      <c r="AA148" s="62"/>
      <c r="AB148" s="62"/>
      <c r="AC148" s="62"/>
      <c r="AD148" s="62"/>
      <c r="AE148" s="62"/>
      <c r="AF148" s="62"/>
      <c r="AG148" s="62"/>
      <c r="AH148" s="62"/>
      <c r="AI148" s="62"/>
    </row>
    <row r="149" ht="14.25" customHeight="1">
      <c r="Z149" s="62"/>
      <c r="AA149" s="62"/>
      <c r="AB149" s="62"/>
      <c r="AC149" s="62"/>
      <c r="AD149" s="62"/>
      <c r="AE149" s="62"/>
      <c r="AF149" s="62"/>
      <c r="AG149" s="62"/>
      <c r="AH149" s="62"/>
      <c r="AI149" s="62"/>
    </row>
    <row r="150" ht="14.25" customHeight="1">
      <c r="Z150" s="62"/>
      <c r="AA150" s="62"/>
      <c r="AB150" s="62"/>
      <c r="AC150" s="62"/>
      <c r="AD150" s="62"/>
      <c r="AE150" s="62"/>
      <c r="AF150" s="62"/>
      <c r="AG150" s="62"/>
      <c r="AH150" s="62"/>
      <c r="AI150" s="62"/>
    </row>
    <row r="151" ht="14.25" customHeight="1">
      <c r="Z151" s="62"/>
      <c r="AA151" s="62"/>
      <c r="AB151" s="62"/>
      <c r="AC151" s="62"/>
      <c r="AD151" s="62"/>
      <c r="AE151" s="62"/>
      <c r="AF151" s="62"/>
      <c r="AG151" s="62"/>
      <c r="AH151" s="62"/>
      <c r="AI151" s="62"/>
    </row>
    <row r="152" ht="14.25" customHeight="1">
      <c r="Z152" s="62"/>
      <c r="AA152" s="62"/>
      <c r="AB152" s="62"/>
      <c r="AC152" s="62"/>
      <c r="AD152" s="62"/>
      <c r="AE152" s="62"/>
      <c r="AF152" s="62"/>
      <c r="AG152" s="62"/>
      <c r="AH152" s="62"/>
      <c r="AI152" s="62"/>
    </row>
    <row r="153" ht="14.25" customHeight="1">
      <c r="Z153" s="62"/>
      <c r="AA153" s="62"/>
      <c r="AB153" s="62"/>
      <c r="AC153" s="62"/>
      <c r="AD153" s="62"/>
      <c r="AE153" s="62"/>
      <c r="AF153" s="62"/>
      <c r="AG153" s="62"/>
      <c r="AH153" s="62"/>
      <c r="AI153" s="62"/>
    </row>
    <row r="154" ht="14.25" customHeight="1">
      <c r="Z154" s="62"/>
      <c r="AA154" s="62"/>
      <c r="AB154" s="62"/>
      <c r="AC154" s="62"/>
      <c r="AD154" s="62"/>
      <c r="AE154" s="62"/>
      <c r="AF154" s="62"/>
      <c r="AG154" s="62"/>
      <c r="AH154" s="62"/>
      <c r="AI154" s="62"/>
    </row>
    <row r="155" ht="14.25" customHeight="1">
      <c r="Z155" s="62"/>
      <c r="AA155" s="62"/>
      <c r="AB155" s="62"/>
      <c r="AC155" s="62"/>
      <c r="AD155" s="62"/>
      <c r="AE155" s="62"/>
      <c r="AF155" s="62"/>
      <c r="AG155" s="62"/>
      <c r="AH155" s="62"/>
      <c r="AI155" s="62"/>
    </row>
    <row r="156" ht="14.25" customHeight="1">
      <c r="Z156" s="62"/>
      <c r="AA156" s="62"/>
      <c r="AB156" s="62"/>
      <c r="AC156" s="62"/>
      <c r="AD156" s="62"/>
      <c r="AE156" s="62"/>
      <c r="AF156" s="62"/>
      <c r="AG156" s="62"/>
      <c r="AH156" s="62"/>
      <c r="AI156" s="62"/>
    </row>
    <row r="157" ht="14.25" customHeight="1">
      <c r="Z157" s="62"/>
      <c r="AA157" s="62"/>
      <c r="AB157" s="62"/>
      <c r="AC157" s="62"/>
      <c r="AD157" s="62"/>
      <c r="AE157" s="62"/>
      <c r="AF157" s="62"/>
      <c r="AG157" s="62"/>
      <c r="AH157" s="62"/>
      <c r="AI157" s="62"/>
    </row>
    <row r="158" ht="14.25" customHeight="1">
      <c r="Z158" s="62"/>
      <c r="AA158" s="62"/>
      <c r="AB158" s="62"/>
      <c r="AC158" s="62"/>
      <c r="AD158" s="62"/>
      <c r="AE158" s="62"/>
      <c r="AF158" s="62"/>
      <c r="AG158" s="62"/>
      <c r="AH158" s="62"/>
      <c r="AI158" s="62"/>
    </row>
    <row r="159" ht="14.25" customHeight="1">
      <c r="Z159" s="62"/>
      <c r="AA159" s="62"/>
      <c r="AB159" s="62"/>
      <c r="AC159" s="62"/>
      <c r="AD159" s="62"/>
      <c r="AE159" s="62"/>
      <c r="AF159" s="62"/>
      <c r="AG159" s="62"/>
      <c r="AH159" s="62"/>
      <c r="AI159" s="62"/>
    </row>
    <row r="160" ht="14.25" customHeight="1">
      <c r="Z160" s="62"/>
      <c r="AA160" s="62"/>
      <c r="AB160" s="62"/>
      <c r="AC160" s="62"/>
      <c r="AD160" s="62"/>
      <c r="AE160" s="62"/>
      <c r="AF160" s="62"/>
      <c r="AG160" s="62"/>
      <c r="AH160" s="62"/>
      <c r="AI160" s="62"/>
    </row>
    <row r="161" ht="14.25" customHeight="1">
      <c r="Z161" s="62"/>
      <c r="AA161" s="62"/>
      <c r="AB161" s="62"/>
      <c r="AC161" s="62"/>
      <c r="AD161" s="62"/>
      <c r="AE161" s="62"/>
      <c r="AF161" s="62"/>
      <c r="AG161" s="62"/>
      <c r="AH161" s="62"/>
      <c r="AI161" s="62"/>
    </row>
    <row r="162" ht="14.25" customHeight="1">
      <c r="Z162" s="62"/>
      <c r="AA162" s="62"/>
      <c r="AB162" s="62"/>
      <c r="AC162" s="62"/>
      <c r="AD162" s="62"/>
      <c r="AE162" s="62"/>
      <c r="AF162" s="62"/>
      <c r="AG162" s="62"/>
      <c r="AH162" s="62"/>
      <c r="AI162" s="62"/>
    </row>
    <row r="163" ht="14.25" customHeight="1">
      <c r="Z163" s="62"/>
      <c r="AA163" s="62"/>
      <c r="AB163" s="62"/>
      <c r="AC163" s="62"/>
      <c r="AD163" s="62"/>
      <c r="AE163" s="62"/>
      <c r="AF163" s="62"/>
      <c r="AG163" s="62"/>
      <c r="AH163" s="62"/>
      <c r="AI163" s="62"/>
    </row>
    <row r="164" ht="14.25" customHeight="1">
      <c r="Z164" s="62"/>
      <c r="AA164" s="62"/>
      <c r="AB164" s="62"/>
      <c r="AC164" s="62"/>
      <c r="AD164" s="62"/>
      <c r="AE164" s="62"/>
      <c r="AF164" s="62"/>
      <c r="AG164" s="62"/>
      <c r="AH164" s="62"/>
      <c r="AI164" s="62"/>
    </row>
    <row r="165" ht="14.25" customHeight="1">
      <c r="Z165" s="62"/>
      <c r="AA165" s="62"/>
      <c r="AB165" s="62"/>
      <c r="AC165" s="62"/>
      <c r="AD165" s="62"/>
      <c r="AE165" s="62"/>
      <c r="AF165" s="62"/>
      <c r="AG165" s="62"/>
      <c r="AH165" s="62"/>
      <c r="AI165" s="62"/>
    </row>
    <row r="166" ht="14.25" customHeight="1">
      <c r="Z166" s="62"/>
      <c r="AA166" s="62"/>
      <c r="AB166" s="62"/>
      <c r="AC166" s="62"/>
      <c r="AD166" s="62"/>
      <c r="AE166" s="62"/>
      <c r="AF166" s="62"/>
      <c r="AG166" s="62"/>
      <c r="AH166" s="62"/>
      <c r="AI166" s="62"/>
    </row>
    <row r="167" ht="14.25" customHeight="1">
      <c r="Z167" s="62"/>
      <c r="AA167" s="62"/>
      <c r="AB167" s="62"/>
      <c r="AC167" s="62"/>
      <c r="AD167" s="62"/>
      <c r="AE167" s="62"/>
      <c r="AF167" s="62"/>
      <c r="AG167" s="62"/>
      <c r="AH167" s="62"/>
      <c r="AI167" s="62"/>
    </row>
    <row r="168" ht="14.25" customHeight="1">
      <c r="Z168" s="62"/>
      <c r="AA168" s="62"/>
      <c r="AB168" s="62"/>
      <c r="AC168" s="62"/>
      <c r="AD168" s="62"/>
      <c r="AE168" s="62"/>
      <c r="AF168" s="62"/>
      <c r="AG168" s="62"/>
      <c r="AH168" s="62"/>
      <c r="AI168" s="62"/>
    </row>
    <row r="169" ht="14.25" customHeight="1">
      <c r="Z169" s="62"/>
      <c r="AA169" s="62"/>
      <c r="AB169" s="62"/>
      <c r="AC169" s="62"/>
      <c r="AD169" s="62"/>
      <c r="AE169" s="62"/>
      <c r="AF169" s="62"/>
      <c r="AG169" s="62"/>
      <c r="AH169" s="62"/>
      <c r="AI169" s="62"/>
    </row>
    <row r="170" ht="14.25" customHeight="1">
      <c r="Z170" s="62"/>
      <c r="AA170" s="62"/>
      <c r="AB170" s="62"/>
      <c r="AC170" s="62"/>
      <c r="AD170" s="62"/>
      <c r="AE170" s="62"/>
      <c r="AF170" s="62"/>
      <c r="AG170" s="62"/>
      <c r="AH170" s="62"/>
      <c r="AI170" s="62"/>
    </row>
    <row r="171" ht="14.25" customHeight="1">
      <c r="Z171" s="62"/>
      <c r="AA171" s="62"/>
      <c r="AB171" s="62"/>
      <c r="AC171" s="62"/>
      <c r="AD171" s="62"/>
      <c r="AE171" s="62"/>
      <c r="AF171" s="62"/>
      <c r="AG171" s="62"/>
      <c r="AH171" s="62"/>
      <c r="AI171" s="62"/>
    </row>
    <row r="172" ht="14.25" customHeight="1">
      <c r="Z172" s="62"/>
      <c r="AA172" s="62"/>
      <c r="AB172" s="62"/>
      <c r="AC172" s="62"/>
      <c r="AD172" s="62"/>
      <c r="AE172" s="62"/>
      <c r="AF172" s="62"/>
      <c r="AG172" s="62"/>
      <c r="AH172" s="62"/>
      <c r="AI172" s="62"/>
    </row>
    <row r="173" ht="14.25" customHeight="1">
      <c r="Z173" s="62"/>
      <c r="AA173" s="62"/>
      <c r="AB173" s="62"/>
      <c r="AC173" s="62"/>
      <c r="AD173" s="62"/>
      <c r="AE173" s="62"/>
      <c r="AF173" s="62"/>
      <c r="AG173" s="62"/>
      <c r="AH173" s="62"/>
      <c r="AI173" s="62"/>
    </row>
    <row r="174" ht="14.25" customHeight="1">
      <c r="Z174" s="62"/>
      <c r="AA174" s="62"/>
      <c r="AB174" s="62"/>
      <c r="AC174" s="62"/>
      <c r="AD174" s="62"/>
      <c r="AE174" s="62"/>
      <c r="AF174" s="62"/>
      <c r="AG174" s="62"/>
      <c r="AH174" s="62"/>
      <c r="AI174" s="62"/>
    </row>
    <row r="175" ht="14.25" customHeight="1">
      <c r="Z175" s="62"/>
      <c r="AA175" s="62"/>
      <c r="AB175" s="62"/>
      <c r="AC175" s="62"/>
      <c r="AD175" s="62"/>
      <c r="AE175" s="62"/>
      <c r="AF175" s="62"/>
      <c r="AG175" s="62"/>
      <c r="AH175" s="62"/>
      <c r="AI175" s="62"/>
    </row>
    <row r="176" ht="14.25" customHeight="1">
      <c r="Z176" s="62"/>
      <c r="AA176" s="62"/>
      <c r="AB176" s="62"/>
      <c r="AC176" s="62"/>
      <c r="AD176" s="62"/>
      <c r="AE176" s="62"/>
      <c r="AF176" s="62"/>
      <c r="AG176" s="62"/>
      <c r="AH176" s="62"/>
      <c r="AI176" s="62"/>
    </row>
    <row r="177" ht="14.25" customHeight="1">
      <c r="Z177" s="62"/>
      <c r="AA177" s="62"/>
      <c r="AB177" s="62"/>
      <c r="AC177" s="62"/>
      <c r="AD177" s="62"/>
      <c r="AE177" s="62"/>
      <c r="AF177" s="62"/>
      <c r="AG177" s="62"/>
      <c r="AH177" s="62"/>
      <c r="AI177" s="62"/>
    </row>
    <row r="178" ht="14.25" customHeight="1">
      <c r="Z178" s="62"/>
      <c r="AA178" s="62"/>
      <c r="AB178" s="62"/>
      <c r="AC178" s="62"/>
      <c r="AD178" s="62"/>
      <c r="AE178" s="62"/>
      <c r="AF178" s="62"/>
      <c r="AG178" s="62"/>
      <c r="AH178" s="62"/>
      <c r="AI178" s="62"/>
    </row>
    <row r="179" ht="14.25" customHeight="1">
      <c r="Z179" s="62"/>
      <c r="AA179" s="62"/>
      <c r="AB179" s="62"/>
      <c r="AC179" s="62"/>
      <c r="AD179" s="62"/>
      <c r="AE179" s="62"/>
      <c r="AF179" s="62"/>
      <c r="AG179" s="62"/>
      <c r="AH179" s="62"/>
      <c r="AI179" s="62"/>
    </row>
    <row r="180" ht="14.25" customHeight="1">
      <c r="Z180" s="62"/>
      <c r="AA180" s="62"/>
      <c r="AB180" s="62"/>
      <c r="AC180" s="62"/>
      <c r="AD180" s="62"/>
      <c r="AE180" s="62"/>
      <c r="AF180" s="62"/>
      <c r="AG180" s="62"/>
      <c r="AH180" s="62"/>
      <c r="AI180" s="62"/>
    </row>
    <row r="181" ht="14.25" customHeight="1">
      <c r="Z181" s="62"/>
      <c r="AA181" s="62"/>
      <c r="AB181" s="62"/>
      <c r="AC181" s="62"/>
      <c r="AD181" s="62"/>
      <c r="AE181" s="62"/>
      <c r="AF181" s="62"/>
      <c r="AG181" s="62"/>
      <c r="AH181" s="62"/>
      <c r="AI181" s="62"/>
    </row>
    <row r="182" ht="14.25" customHeight="1">
      <c r="Z182" s="62"/>
      <c r="AA182" s="62"/>
      <c r="AB182" s="62"/>
      <c r="AC182" s="62"/>
      <c r="AD182" s="62"/>
      <c r="AE182" s="62"/>
      <c r="AF182" s="62"/>
      <c r="AG182" s="62"/>
      <c r="AH182" s="62"/>
      <c r="AI182" s="62"/>
    </row>
    <row r="183" ht="14.25" customHeight="1">
      <c r="Z183" s="62"/>
      <c r="AA183" s="62"/>
      <c r="AB183" s="62"/>
      <c r="AC183" s="62"/>
      <c r="AD183" s="62"/>
      <c r="AE183" s="62"/>
      <c r="AF183" s="62"/>
      <c r="AG183" s="62"/>
      <c r="AH183" s="62"/>
      <c r="AI183" s="62"/>
    </row>
    <row r="184" ht="14.25" customHeight="1">
      <c r="Z184" s="62"/>
      <c r="AA184" s="62"/>
      <c r="AB184" s="62"/>
      <c r="AC184" s="62"/>
      <c r="AD184" s="62"/>
      <c r="AE184" s="62"/>
      <c r="AF184" s="62"/>
      <c r="AG184" s="62"/>
      <c r="AH184" s="62"/>
      <c r="AI184" s="62"/>
    </row>
    <row r="185" ht="14.25" customHeight="1">
      <c r="Z185" s="62"/>
      <c r="AA185" s="62"/>
      <c r="AB185" s="62"/>
      <c r="AC185" s="62"/>
      <c r="AD185" s="62"/>
      <c r="AE185" s="62"/>
      <c r="AF185" s="62"/>
      <c r="AG185" s="62"/>
      <c r="AH185" s="62"/>
      <c r="AI185" s="62"/>
    </row>
    <row r="186" ht="14.25" customHeight="1">
      <c r="Z186" s="62"/>
      <c r="AA186" s="62"/>
      <c r="AB186" s="62"/>
      <c r="AC186" s="62"/>
      <c r="AD186" s="62"/>
      <c r="AE186" s="62"/>
      <c r="AF186" s="62"/>
      <c r="AG186" s="62"/>
      <c r="AH186" s="62"/>
      <c r="AI186" s="62"/>
    </row>
    <row r="187" ht="14.25" customHeight="1">
      <c r="Z187" s="62"/>
      <c r="AA187" s="62"/>
      <c r="AB187" s="62"/>
      <c r="AC187" s="62"/>
      <c r="AD187" s="62"/>
      <c r="AE187" s="62"/>
      <c r="AF187" s="62"/>
      <c r="AG187" s="62"/>
      <c r="AH187" s="62"/>
      <c r="AI187" s="62"/>
    </row>
    <row r="188" ht="14.25" customHeight="1">
      <c r="Z188" s="62"/>
      <c r="AA188" s="62"/>
      <c r="AB188" s="62"/>
      <c r="AC188" s="62"/>
      <c r="AD188" s="62"/>
      <c r="AE188" s="62"/>
      <c r="AF188" s="62"/>
      <c r="AG188" s="62"/>
      <c r="AH188" s="62"/>
      <c r="AI188" s="62"/>
    </row>
    <row r="189" ht="14.25" customHeight="1">
      <c r="Z189" s="62"/>
      <c r="AA189" s="62"/>
      <c r="AB189" s="62"/>
      <c r="AC189" s="62"/>
      <c r="AD189" s="62"/>
      <c r="AE189" s="62"/>
      <c r="AF189" s="62"/>
      <c r="AG189" s="62"/>
      <c r="AH189" s="62"/>
      <c r="AI189" s="62"/>
    </row>
    <row r="190" ht="14.25" customHeight="1">
      <c r="Z190" s="62"/>
      <c r="AA190" s="62"/>
      <c r="AB190" s="62"/>
      <c r="AC190" s="62"/>
      <c r="AD190" s="62"/>
      <c r="AE190" s="62"/>
      <c r="AF190" s="62"/>
      <c r="AG190" s="62"/>
      <c r="AH190" s="62"/>
      <c r="AI190" s="62"/>
    </row>
    <row r="191" ht="14.25" customHeight="1">
      <c r="Z191" s="62"/>
      <c r="AA191" s="62"/>
      <c r="AB191" s="62"/>
      <c r="AC191" s="62"/>
      <c r="AD191" s="62"/>
      <c r="AE191" s="62"/>
      <c r="AF191" s="62"/>
      <c r="AG191" s="62"/>
      <c r="AH191" s="62"/>
      <c r="AI191" s="62"/>
    </row>
    <row r="192" ht="14.25" customHeight="1">
      <c r="Z192" s="62"/>
      <c r="AA192" s="62"/>
      <c r="AB192" s="62"/>
      <c r="AC192" s="62"/>
      <c r="AD192" s="62"/>
      <c r="AE192" s="62"/>
      <c r="AF192" s="62"/>
      <c r="AG192" s="62"/>
      <c r="AH192" s="62"/>
      <c r="AI192" s="62"/>
    </row>
    <row r="193" ht="14.25" customHeight="1">
      <c r="Z193" s="62"/>
      <c r="AA193" s="62"/>
      <c r="AB193" s="62"/>
      <c r="AC193" s="62"/>
      <c r="AD193" s="62"/>
      <c r="AE193" s="62"/>
      <c r="AF193" s="62"/>
      <c r="AG193" s="62"/>
      <c r="AH193" s="62"/>
      <c r="AI193" s="62"/>
    </row>
    <row r="194" ht="14.25" customHeight="1">
      <c r="Z194" s="62"/>
      <c r="AA194" s="62"/>
      <c r="AB194" s="62"/>
      <c r="AC194" s="62"/>
      <c r="AD194" s="62"/>
      <c r="AE194" s="62"/>
      <c r="AF194" s="62"/>
      <c r="AG194" s="62"/>
      <c r="AH194" s="62"/>
      <c r="AI194" s="62"/>
    </row>
    <row r="195" ht="14.25" customHeight="1">
      <c r="Z195" s="62"/>
      <c r="AA195" s="62"/>
      <c r="AB195" s="62"/>
      <c r="AC195" s="62"/>
      <c r="AD195" s="62"/>
      <c r="AE195" s="62"/>
      <c r="AF195" s="62"/>
      <c r="AG195" s="62"/>
      <c r="AH195" s="62"/>
      <c r="AI195" s="62"/>
    </row>
    <row r="196" ht="14.25" customHeight="1">
      <c r="Z196" s="62"/>
      <c r="AA196" s="62"/>
      <c r="AB196" s="62"/>
      <c r="AC196" s="62"/>
      <c r="AD196" s="62"/>
      <c r="AE196" s="62"/>
      <c r="AF196" s="62"/>
      <c r="AG196" s="62"/>
      <c r="AH196" s="62"/>
      <c r="AI196" s="62"/>
    </row>
    <row r="197" ht="14.25" customHeight="1">
      <c r="Z197" s="62"/>
      <c r="AA197" s="62"/>
      <c r="AB197" s="62"/>
      <c r="AC197" s="62"/>
      <c r="AD197" s="62"/>
      <c r="AE197" s="62"/>
      <c r="AF197" s="62"/>
      <c r="AG197" s="62"/>
      <c r="AH197" s="62"/>
      <c r="AI197" s="62"/>
    </row>
    <row r="198" ht="14.25" customHeight="1">
      <c r="Z198" s="62"/>
      <c r="AA198" s="62"/>
      <c r="AB198" s="62"/>
      <c r="AC198" s="62"/>
      <c r="AD198" s="62"/>
      <c r="AE198" s="62"/>
      <c r="AF198" s="62"/>
      <c r="AG198" s="62"/>
      <c r="AH198" s="62"/>
      <c r="AI198" s="62"/>
    </row>
    <row r="199" ht="14.25" customHeight="1">
      <c r="Z199" s="62"/>
      <c r="AA199" s="62"/>
      <c r="AB199" s="62"/>
      <c r="AC199" s="62"/>
      <c r="AD199" s="62"/>
      <c r="AE199" s="62"/>
      <c r="AF199" s="62"/>
      <c r="AG199" s="62"/>
      <c r="AH199" s="62"/>
      <c r="AI199" s="62"/>
    </row>
    <row r="200" ht="14.25" customHeight="1">
      <c r="Z200" s="62"/>
      <c r="AA200" s="62"/>
      <c r="AB200" s="62"/>
      <c r="AC200" s="62"/>
      <c r="AD200" s="62"/>
      <c r="AE200" s="62"/>
      <c r="AF200" s="62"/>
      <c r="AG200" s="62"/>
      <c r="AH200" s="62"/>
      <c r="AI200" s="62"/>
    </row>
    <row r="201" ht="14.25" customHeight="1">
      <c r="Z201" s="62"/>
      <c r="AA201" s="62"/>
      <c r="AB201" s="62"/>
      <c r="AC201" s="62"/>
      <c r="AD201" s="62"/>
      <c r="AE201" s="62"/>
      <c r="AF201" s="62"/>
      <c r="AG201" s="62"/>
      <c r="AH201" s="62"/>
      <c r="AI201" s="62"/>
    </row>
    <row r="202" ht="14.25" customHeight="1">
      <c r="Z202" s="62"/>
      <c r="AA202" s="62"/>
      <c r="AB202" s="62"/>
      <c r="AC202" s="62"/>
      <c r="AD202" s="62"/>
      <c r="AE202" s="62"/>
      <c r="AF202" s="62"/>
      <c r="AG202" s="62"/>
      <c r="AH202" s="62"/>
      <c r="AI202" s="62"/>
    </row>
    <row r="203" ht="14.25" customHeight="1">
      <c r="Z203" s="62"/>
      <c r="AA203" s="62"/>
      <c r="AB203" s="62"/>
      <c r="AC203" s="62"/>
      <c r="AD203" s="62"/>
      <c r="AE203" s="62"/>
      <c r="AF203" s="62"/>
      <c r="AG203" s="62"/>
      <c r="AH203" s="62"/>
      <c r="AI203" s="62"/>
    </row>
    <row r="204" ht="14.25" customHeight="1">
      <c r="Z204" s="62"/>
      <c r="AA204" s="62"/>
      <c r="AB204" s="62"/>
      <c r="AC204" s="62"/>
      <c r="AD204" s="62"/>
      <c r="AE204" s="62"/>
      <c r="AF204" s="62"/>
      <c r="AG204" s="62"/>
      <c r="AH204" s="62"/>
      <c r="AI204" s="62"/>
    </row>
    <row r="205" ht="14.25" customHeight="1">
      <c r="Z205" s="62"/>
      <c r="AA205" s="62"/>
      <c r="AB205" s="62"/>
      <c r="AC205" s="62"/>
      <c r="AD205" s="62"/>
      <c r="AE205" s="62"/>
      <c r="AF205" s="62"/>
      <c r="AG205" s="62"/>
      <c r="AH205" s="62"/>
      <c r="AI205" s="62"/>
    </row>
    <row r="206" ht="14.25" customHeight="1">
      <c r="Z206" s="62"/>
      <c r="AA206" s="62"/>
      <c r="AB206" s="62"/>
      <c r="AC206" s="62"/>
      <c r="AD206" s="62"/>
      <c r="AE206" s="62"/>
      <c r="AF206" s="62"/>
      <c r="AG206" s="62"/>
      <c r="AH206" s="62"/>
      <c r="AI206" s="62"/>
    </row>
    <row r="207" ht="14.25" customHeight="1">
      <c r="Z207" s="62"/>
      <c r="AA207" s="62"/>
      <c r="AB207" s="62"/>
      <c r="AC207" s="62"/>
      <c r="AD207" s="62"/>
      <c r="AE207" s="62"/>
      <c r="AF207" s="62"/>
      <c r="AG207" s="62"/>
      <c r="AH207" s="62"/>
      <c r="AI207" s="62"/>
    </row>
    <row r="208" ht="14.25" customHeight="1">
      <c r="Z208" s="62"/>
      <c r="AA208" s="62"/>
      <c r="AB208" s="62"/>
      <c r="AC208" s="62"/>
      <c r="AD208" s="62"/>
      <c r="AE208" s="62"/>
      <c r="AF208" s="62"/>
      <c r="AG208" s="62"/>
      <c r="AH208" s="62"/>
      <c r="AI208" s="62"/>
    </row>
    <row r="209" ht="14.25" customHeight="1">
      <c r="Z209" s="62"/>
      <c r="AA209" s="62"/>
      <c r="AB209" s="62"/>
      <c r="AC209" s="62"/>
      <c r="AD209" s="62"/>
      <c r="AE209" s="62"/>
      <c r="AF209" s="62"/>
      <c r="AG209" s="62"/>
      <c r="AH209" s="62"/>
      <c r="AI209" s="62"/>
    </row>
    <row r="210" ht="14.25" customHeight="1">
      <c r="Z210" s="62"/>
      <c r="AA210" s="62"/>
      <c r="AB210" s="62"/>
      <c r="AC210" s="62"/>
      <c r="AD210" s="62"/>
      <c r="AE210" s="62"/>
      <c r="AF210" s="62"/>
      <c r="AG210" s="62"/>
      <c r="AH210" s="62"/>
      <c r="AI210" s="62"/>
    </row>
    <row r="211" ht="14.25" customHeight="1">
      <c r="Z211" s="62"/>
      <c r="AA211" s="62"/>
      <c r="AB211" s="62"/>
      <c r="AC211" s="62"/>
      <c r="AD211" s="62"/>
      <c r="AE211" s="62"/>
      <c r="AF211" s="62"/>
      <c r="AG211" s="62"/>
      <c r="AH211" s="62"/>
      <c r="AI211" s="62"/>
    </row>
    <row r="212" ht="14.25" customHeight="1">
      <c r="Z212" s="62"/>
      <c r="AA212" s="62"/>
      <c r="AB212" s="62"/>
      <c r="AC212" s="62"/>
      <c r="AD212" s="62"/>
      <c r="AE212" s="62"/>
      <c r="AF212" s="62"/>
      <c r="AG212" s="62"/>
      <c r="AH212" s="62"/>
      <c r="AI212" s="62"/>
    </row>
    <row r="213" ht="14.25" customHeight="1">
      <c r="Z213" s="62"/>
      <c r="AA213" s="62"/>
      <c r="AB213" s="62"/>
      <c r="AC213" s="62"/>
      <c r="AD213" s="62"/>
      <c r="AE213" s="62"/>
      <c r="AF213" s="62"/>
      <c r="AG213" s="62"/>
      <c r="AH213" s="62"/>
      <c r="AI213" s="62"/>
    </row>
    <row r="214" ht="14.25" customHeight="1">
      <c r="Z214" s="62"/>
      <c r="AA214" s="62"/>
      <c r="AB214" s="62"/>
      <c r="AC214" s="62"/>
      <c r="AD214" s="62"/>
      <c r="AE214" s="62"/>
      <c r="AF214" s="62"/>
      <c r="AG214" s="62"/>
      <c r="AH214" s="62"/>
      <c r="AI214" s="62"/>
    </row>
    <row r="215" ht="14.25" customHeight="1">
      <c r="Z215" s="62"/>
      <c r="AA215" s="62"/>
      <c r="AB215" s="62"/>
      <c r="AC215" s="62"/>
      <c r="AD215" s="62"/>
      <c r="AE215" s="62"/>
      <c r="AF215" s="62"/>
      <c r="AG215" s="62"/>
      <c r="AH215" s="62"/>
      <c r="AI215" s="62"/>
    </row>
    <row r="216" ht="14.25" customHeight="1">
      <c r="Z216" s="62"/>
      <c r="AA216" s="62"/>
      <c r="AB216" s="62"/>
      <c r="AC216" s="62"/>
      <c r="AD216" s="62"/>
      <c r="AE216" s="62"/>
      <c r="AF216" s="62"/>
      <c r="AG216" s="62"/>
      <c r="AH216" s="62"/>
      <c r="AI216" s="62"/>
    </row>
    <row r="217" ht="14.25" customHeight="1">
      <c r="Z217" s="62"/>
      <c r="AA217" s="62"/>
      <c r="AB217" s="62"/>
      <c r="AC217" s="62"/>
      <c r="AD217" s="62"/>
      <c r="AE217" s="62"/>
      <c r="AF217" s="62"/>
      <c r="AG217" s="62"/>
      <c r="AH217" s="62"/>
      <c r="AI217" s="62"/>
    </row>
    <row r="218" ht="14.25" customHeight="1">
      <c r="Z218" s="62"/>
      <c r="AA218" s="62"/>
      <c r="AB218" s="62"/>
      <c r="AC218" s="62"/>
      <c r="AD218" s="62"/>
      <c r="AE218" s="62"/>
      <c r="AF218" s="62"/>
      <c r="AG218" s="62"/>
      <c r="AH218" s="62"/>
      <c r="AI218" s="62"/>
    </row>
    <row r="219" ht="14.25" customHeight="1">
      <c r="Z219" s="62"/>
      <c r="AA219" s="62"/>
      <c r="AB219" s="62"/>
      <c r="AC219" s="62"/>
      <c r="AD219" s="62"/>
      <c r="AE219" s="62"/>
      <c r="AF219" s="62"/>
      <c r="AG219" s="62"/>
      <c r="AH219" s="62"/>
      <c r="AI219" s="62"/>
    </row>
    <row r="220" ht="14.25" customHeight="1">
      <c r="Z220" s="62"/>
      <c r="AA220" s="62"/>
      <c r="AB220" s="62"/>
      <c r="AC220" s="62"/>
      <c r="AD220" s="62"/>
      <c r="AE220" s="62"/>
      <c r="AF220" s="62"/>
      <c r="AG220" s="62"/>
      <c r="AH220" s="62"/>
      <c r="AI220" s="62"/>
    </row>
    <row r="221" ht="14.25" customHeight="1">
      <c r="Z221" s="62"/>
      <c r="AA221" s="62"/>
      <c r="AB221" s="62"/>
      <c r="AC221" s="62"/>
      <c r="AD221" s="62"/>
      <c r="AE221" s="62"/>
      <c r="AF221" s="62"/>
      <c r="AG221" s="62"/>
      <c r="AH221" s="62"/>
      <c r="AI221" s="62"/>
    </row>
    <row r="222" ht="14.25" customHeight="1">
      <c r="Z222" s="62"/>
      <c r="AA222" s="62"/>
      <c r="AB222" s="62"/>
      <c r="AC222" s="62"/>
      <c r="AD222" s="62"/>
      <c r="AE222" s="62"/>
      <c r="AF222" s="62"/>
      <c r="AG222" s="62"/>
      <c r="AH222" s="62"/>
      <c r="AI222" s="62"/>
    </row>
    <row r="223" ht="14.25" customHeight="1">
      <c r="Z223" s="62"/>
      <c r="AA223" s="62"/>
      <c r="AB223" s="62"/>
      <c r="AC223" s="62"/>
      <c r="AD223" s="62"/>
      <c r="AE223" s="62"/>
      <c r="AF223" s="62"/>
      <c r="AG223" s="62"/>
      <c r="AH223" s="62"/>
      <c r="AI223" s="62"/>
    </row>
    <row r="224" ht="14.25" customHeight="1">
      <c r="Z224" s="62"/>
      <c r="AA224" s="62"/>
      <c r="AB224" s="62"/>
      <c r="AC224" s="62"/>
      <c r="AD224" s="62"/>
      <c r="AE224" s="62"/>
      <c r="AF224" s="62"/>
      <c r="AG224" s="62"/>
      <c r="AH224" s="62"/>
      <c r="AI224" s="62"/>
    </row>
    <row r="225" ht="14.25" customHeight="1">
      <c r="Z225" s="62"/>
      <c r="AA225" s="62"/>
      <c r="AB225" s="62"/>
      <c r="AC225" s="62"/>
      <c r="AD225" s="62"/>
      <c r="AE225" s="62"/>
      <c r="AF225" s="62"/>
      <c r="AG225" s="62"/>
      <c r="AH225" s="62"/>
      <c r="AI225" s="62"/>
    </row>
    <row r="226" ht="14.25" customHeight="1">
      <c r="Z226" s="62"/>
      <c r="AA226" s="62"/>
      <c r="AB226" s="62"/>
      <c r="AC226" s="62"/>
      <c r="AD226" s="62"/>
      <c r="AE226" s="62"/>
      <c r="AF226" s="62"/>
      <c r="AG226" s="62"/>
      <c r="AH226" s="62"/>
      <c r="AI226" s="62"/>
    </row>
    <row r="227" ht="14.25" customHeight="1">
      <c r="Z227" s="62"/>
      <c r="AA227" s="62"/>
      <c r="AB227" s="62"/>
      <c r="AC227" s="62"/>
      <c r="AD227" s="62"/>
      <c r="AE227" s="62"/>
      <c r="AF227" s="62"/>
      <c r="AG227" s="62"/>
      <c r="AH227" s="62"/>
      <c r="AI227" s="62"/>
    </row>
    <row r="228" ht="14.25" customHeight="1">
      <c r="Z228" s="62"/>
      <c r="AA228" s="62"/>
      <c r="AB228" s="62"/>
      <c r="AC228" s="62"/>
      <c r="AD228" s="62"/>
      <c r="AE228" s="62"/>
      <c r="AF228" s="62"/>
      <c r="AG228" s="62"/>
      <c r="AH228" s="62"/>
      <c r="AI228" s="62"/>
    </row>
    <row r="229" ht="14.25" customHeight="1">
      <c r="Z229" s="62"/>
      <c r="AA229" s="62"/>
      <c r="AB229" s="62"/>
      <c r="AC229" s="62"/>
      <c r="AD229" s="62"/>
      <c r="AE229" s="62"/>
      <c r="AF229" s="62"/>
      <c r="AG229" s="62"/>
      <c r="AH229" s="62"/>
      <c r="AI229" s="62"/>
    </row>
    <row r="230" ht="14.25" customHeight="1">
      <c r="Z230" s="62"/>
      <c r="AA230" s="62"/>
      <c r="AB230" s="62"/>
      <c r="AC230" s="62"/>
      <c r="AD230" s="62"/>
      <c r="AE230" s="62"/>
      <c r="AF230" s="62"/>
      <c r="AG230" s="62"/>
      <c r="AH230" s="62"/>
      <c r="AI230" s="62"/>
    </row>
    <row r="231" ht="14.25" customHeight="1">
      <c r="Z231" s="62"/>
      <c r="AA231" s="62"/>
      <c r="AB231" s="62"/>
      <c r="AC231" s="62"/>
      <c r="AD231" s="62"/>
      <c r="AE231" s="62"/>
      <c r="AF231" s="62"/>
      <c r="AG231" s="62"/>
      <c r="AH231" s="62"/>
      <c r="AI231" s="62"/>
    </row>
    <row r="232" ht="14.25" customHeight="1">
      <c r="Z232" s="62"/>
      <c r="AA232" s="62"/>
      <c r="AB232" s="62"/>
      <c r="AC232" s="62"/>
      <c r="AD232" s="62"/>
      <c r="AE232" s="62"/>
      <c r="AF232" s="62"/>
      <c r="AG232" s="62"/>
      <c r="AH232" s="62"/>
      <c r="AI232" s="62"/>
    </row>
    <row r="233" ht="14.25" customHeight="1">
      <c r="Z233" s="62"/>
      <c r="AA233" s="62"/>
      <c r="AB233" s="62"/>
      <c r="AC233" s="62"/>
      <c r="AD233" s="62"/>
      <c r="AE233" s="62"/>
      <c r="AF233" s="62"/>
      <c r="AG233" s="62"/>
      <c r="AH233" s="62"/>
      <c r="AI233" s="62"/>
    </row>
    <row r="234" ht="14.25" customHeight="1">
      <c r="Z234" s="62"/>
      <c r="AA234" s="62"/>
      <c r="AB234" s="62"/>
      <c r="AC234" s="62"/>
      <c r="AD234" s="62"/>
      <c r="AE234" s="62"/>
      <c r="AF234" s="62"/>
      <c r="AG234" s="62"/>
      <c r="AH234" s="62"/>
      <c r="AI234" s="62"/>
    </row>
    <row r="235" ht="14.25" customHeight="1">
      <c r="Z235" s="62"/>
      <c r="AA235" s="62"/>
      <c r="AB235" s="62"/>
      <c r="AC235" s="62"/>
      <c r="AD235" s="62"/>
      <c r="AE235" s="62"/>
      <c r="AF235" s="62"/>
      <c r="AG235" s="62"/>
      <c r="AH235" s="62"/>
      <c r="AI235" s="62"/>
    </row>
    <row r="236" ht="14.25" customHeight="1">
      <c r="Z236" s="62"/>
      <c r="AA236" s="62"/>
      <c r="AB236" s="62"/>
      <c r="AC236" s="62"/>
      <c r="AD236" s="62"/>
      <c r="AE236" s="62"/>
      <c r="AF236" s="62"/>
      <c r="AG236" s="62"/>
      <c r="AH236" s="62"/>
      <c r="AI236" s="62"/>
    </row>
    <row r="237" ht="14.25" customHeight="1">
      <c r="Z237" s="62"/>
      <c r="AA237" s="62"/>
      <c r="AB237" s="62"/>
      <c r="AC237" s="62"/>
      <c r="AD237" s="62"/>
      <c r="AE237" s="62"/>
      <c r="AF237" s="62"/>
      <c r="AG237" s="62"/>
      <c r="AH237" s="62"/>
      <c r="AI237" s="62"/>
    </row>
    <row r="238" ht="14.25" customHeight="1">
      <c r="Z238" s="62"/>
      <c r="AA238" s="62"/>
      <c r="AB238" s="62"/>
      <c r="AC238" s="62"/>
      <c r="AD238" s="62"/>
      <c r="AE238" s="62"/>
      <c r="AF238" s="62"/>
      <c r="AG238" s="62"/>
      <c r="AH238" s="62"/>
      <c r="AI238" s="62"/>
    </row>
    <row r="239" ht="14.25" customHeight="1">
      <c r="Z239" s="62"/>
      <c r="AA239" s="62"/>
      <c r="AB239" s="62"/>
      <c r="AC239" s="62"/>
      <c r="AD239" s="62"/>
      <c r="AE239" s="62"/>
      <c r="AF239" s="62"/>
      <c r="AG239" s="62"/>
      <c r="AH239" s="62"/>
      <c r="AI239" s="62"/>
    </row>
    <row r="240" ht="14.25" customHeight="1">
      <c r="Z240" s="62"/>
      <c r="AA240" s="62"/>
      <c r="AB240" s="62"/>
      <c r="AC240" s="62"/>
      <c r="AD240" s="62"/>
      <c r="AE240" s="62"/>
      <c r="AF240" s="62"/>
      <c r="AG240" s="62"/>
      <c r="AH240" s="62"/>
      <c r="AI240" s="62"/>
    </row>
    <row r="241" ht="14.25" customHeight="1">
      <c r="Z241" s="62"/>
      <c r="AA241" s="62"/>
      <c r="AB241" s="62"/>
      <c r="AC241" s="62"/>
      <c r="AD241" s="62"/>
      <c r="AE241" s="62"/>
      <c r="AF241" s="62"/>
      <c r="AG241" s="62"/>
      <c r="AH241" s="62"/>
      <c r="AI241" s="62"/>
    </row>
    <row r="242" ht="14.25" customHeight="1">
      <c r="Z242" s="62"/>
      <c r="AA242" s="62"/>
      <c r="AB242" s="62"/>
      <c r="AC242" s="62"/>
      <c r="AD242" s="62"/>
      <c r="AE242" s="62"/>
      <c r="AF242" s="62"/>
      <c r="AG242" s="62"/>
      <c r="AH242" s="62"/>
      <c r="AI242" s="62"/>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H28">
      <formula1>"Ada,Belum Ada,Proses,Belum mengurus"</formula1>
    </dataValidation>
    <dataValidation type="list" allowBlank="1" showErrorMessage="1" sqref="G21 G23">
      <formula1>"Sudah operasional,Belum Operasional,Tahap Persiapan"</formula1>
    </dataValidation>
    <dataValidation type="list" allowBlank="1" showErrorMessage="1" sqref="G5:G20 G24:G25 G27 G29:G40 G42:G43">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4.29"/>
    <col customWidth="1" min="3" max="3" width="21.86"/>
    <col customWidth="1" min="4" max="4" width="14.0"/>
    <col customWidth="1" min="5" max="5" width="19.29"/>
    <col customWidth="1" min="6" max="7" width="15.86"/>
    <col customWidth="1" min="8" max="11" width="21.14"/>
    <col customWidth="1" min="12" max="18" width="27.0"/>
    <col customWidth="1" min="19" max="19" width="26.43"/>
    <col customWidth="1" min="20" max="20" width="32.71"/>
    <col customWidth="1" min="21" max="21" width="31.71"/>
    <col customWidth="1" min="22" max="22" width="32.0"/>
    <col customWidth="1" min="23" max="24" width="26.43"/>
    <col customWidth="1" min="25" max="25" width="18.43"/>
    <col customWidth="1" min="26" max="35" width="8.71"/>
  </cols>
  <sheetData>
    <row r="1" ht="14.25" customHeight="1">
      <c r="L1" s="63" t="s">
        <v>1</v>
      </c>
      <c r="Z1" s="62"/>
      <c r="AA1" s="62"/>
      <c r="AB1" s="62"/>
      <c r="AC1" s="62"/>
      <c r="AD1" s="62"/>
      <c r="AE1" s="62"/>
      <c r="AF1" s="62"/>
      <c r="AG1" s="62"/>
      <c r="AH1" s="62"/>
      <c r="AI1" s="62"/>
    </row>
    <row r="2" ht="14.25" customHeight="1">
      <c r="L2" s="64" t="s">
        <v>2</v>
      </c>
      <c r="Z2" s="62"/>
      <c r="AA2" s="62"/>
      <c r="AB2" s="62"/>
      <c r="AC2" s="62"/>
      <c r="AD2" s="62"/>
      <c r="AE2" s="62"/>
      <c r="AF2" s="62"/>
      <c r="AG2" s="62"/>
      <c r="AH2" s="62"/>
      <c r="AI2" s="62"/>
    </row>
    <row r="3" ht="14.25" customHeight="1">
      <c r="Z3" s="62"/>
      <c r="AA3" s="62"/>
      <c r="AB3" s="62"/>
      <c r="AC3" s="62"/>
      <c r="AD3" s="62"/>
      <c r="AE3" s="62"/>
      <c r="AF3" s="62"/>
      <c r="AG3" s="62"/>
      <c r="AH3" s="62"/>
      <c r="AI3" s="62"/>
    </row>
    <row r="4" ht="40.5" customHeight="1">
      <c r="A4" s="65" t="s">
        <v>3</v>
      </c>
      <c r="B4" s="65" t="s">
        <v>4</v>
      </c>
      <c r="C4" s="65" t="s">
        <v>5</v>
      </c>
      <c r="D4" s="65" t="s">
        <v>6</v>
      </c>
      <c r="E4" s="65" t="s">
        <v>7</v>
      </c>
      <c r="F4" s="65" t="s">
        <v>8</v>
      </c>
      <c r="G4" s="65" t="s">
        <v>9</v>
      </c>
      <c r="H4" s="65" t="s">
        <v>2172</v>
      </c>
      <c r="I4" s="65" t="s">
        <v>11</v>
      </c>
      <c r="J4" s="65" t="s">
        <v>12</v>
      </c>
      <c r="K4" s="65" t="s">
        <v>13</v>
      </c>
      <c r="L4" s="65" t="s">
        <v>14</v>
      </c>
      <c r="M4" s="65" t="s">
        <v>15</v>
      </c>
      <c r="N4" s="65" t="s">
        <v>16</v>
      </c>
      <c r="O4" s="65" t="s">
        <v>147</v>
      </c>
      <c r="P4" s="65" t="s">
        <v>18</v>
      </c>
      <c r="Q4" s="65" t="s">
        <v>19</v>
      </c>
      <c r="R4" s="65" t="s">
        <v>20</v>
      </c>
      <c r="S4" s="65" t="s">
        <v>21</v>
      </c>
      <c r="T4" s="65" t="s">
        <v>22</v>
      </c>
      <c r="U4" s="65" t="s">
        <v>23</v>
      </c>
      <c r="V4" s="65" t="s">
        <v>701</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14.25" customHeight="1">
      <c r="A5" s="67">
        <v>1.0</v>
      </c>
      <c r="B5" s="67" t="s">
        <v>2173</v>
      </c>
      <c r="C5" s="67" t="s">
        <v>2174</v>
      </c>
      <c r="D5" s="67" t="s">
        <v>2175</v>
      </c>
      <c r="E5" s="67" t="s">
        <v>2176</v>
      </c>
      <c r="F5" s="67" t="s">
        <v>2177</v>
      </c>
      <c r="G5" s="67" t="s">
        <v>43</v>
      </c>
      <c r="H5" s="67">
        <v>2025.0</v>
      </c>
      <c r="I5" s="67" t="s">
        <v>563</v>
      </c>
      <c r="J5" s="67" t="s">
        <v>2178</v>
      </c>
      <c r="K5" s="67">
        <v>8.1213253458E10</v>
      </c>
      <c r="L5" s="67">
        <v>3.36</v>
      </c>
      <c r="M5" s="67" t="s">
        <v>53</v>
      </c>
      <c r="N5" s="67" t="s">
        <v>2179</v>
      </c>
      <c r="O5" s="67" t="s">
        <v>2180</v>
      </c>
      <c r="P5" s="67" t="s">
        <v>2181</v>
      </c>
      <c r="Q5" s="67" t="s">
        <v>2182</v>
      </c>
      <c r="R5" s="67" t="s">
        <v>2183</v>
      </c>
      <c r="S5" s="67" t="s">
        <v>2184</v>
      </c>
      <c r="T5" s="67" t="s">
        <v>2185</v>
      </c>
      <c r="U5" s="67" t="s">
        <v>2186</v>
      </c>
      <c r="V5" s="67" t="s">
        <v>2187</v>
      </c>
      <c r="W5" s="67" t="s">
        <v>53</v>
      </c>
      <c r="X5" s="67" t="s">
        <v>53</v>
      </c>
      <c r="Y5" s="68"/>
      <c r="Z5" s="54" t="s">
        <v>54</v>
      </c>
      <c r="AA5" s="130" t="s">
        <v>54</v>
      </c>
      <c r="AB5" s="130"/>
      <c r="AC5" s="130" t="s">
        <v>54</v>
      </c>
      <c r="AD5" s="130" t="s">
        <v>54</v>
      </c>
      <c r="AE5" s="130" t="s">
        <v>54</v>
      </c>
      <c r="AF5" s="130" t="s">
        <v>54</v>
      </c>
      <c r="AG5" s="130" t="s">
        <v>54</v>
      </c>
      <c r="AH5" s="130"/>
      <c r="AI5" s="130">
        <v>49.0</v>
      </c>
    </row>
    <row r="6" ht="14.25" customHeight="1">
      <c r="A6" s="67">
        <v>2.0</v>
      </c>
      <c r="B6" s="67" t="s">
        <v>2188</v>
      </c>
      <c r="C6" s="67" t="s">
        <v>2189</v>
      </c>
      <c r="D6" s="209" t="s">
        <v>2190</v>
      </c>
      <c r="E6" s="71" t="s">
        <v>2191</v>
      </c>
      <c r="F6" s="67" t="s">
        <v>2192</v>
      </c>
      <c r="G6" s="67" t="s">
        <v>43</v>
      </c>
      <c r="H6" s="67">
        <v>2025.0</v>
      </c>
      <c r="I6" s="67" t="s">
        <v>563</v>
      </c>
      <c r="J6" s="67" t="s">
        <v>2193</v>
      </c>
      <c r="K6" s="72" t="s">
        <v>2194</v>
      </c>
      <c r="L6" s="80" t="s">
        <v>2195</v>
      </c>
      <c r="M6" s="68" t="s">
        <v>53</v>
      </c>
      <c r="N6" s="67" t="s">
        <v>2196</v>
      </c>
      <c r="O6" s="67" t="s">
        <v>2197</v>
      </c>
      <c r="P6" s="68" t="s">
        <v>53</v>
      </c>
      <c r="Q6" s="67" t="s">
        <v>2198</v>
      </c>
      <c r="R6" s="67" t="s">
        <v>2199</v>
      </c>
      <c r="S6" s="67" t="s">
        <v>2200</v>
      </c>
      <c r="T6" s="67" t="s">
        <v>2201</v>
      </c>
      <c r="U6" s="67" t="s">
        <v>2202</v>
      </c>
      <c r="V6" s="67" t="s">
        <v>2203</v>
      </c>
      <c r="W6" s="68" t="s">
        <v>53</v>
      </c>
      <c r="X6" s="68" t="s">
        <v>53</v>
      </c>
      <c r="Y6" s="67"/>
      <c r="Z6" s="138" t="s">
        <v>54</v>
      </c>
      <c r="AA6" s="138" t="s">
        <v>54</v>
      </c>
      <c r="AB6" s="138" t="s">
        <v>54</v>
      </c>
      <c r="AC6" s="138" t="s">
        <v>54</v>
      </c>
      <c r="AD6" s="138" t="s">
        <v>54</v>
      </c>
      <c r="AE6" s="138" t="s">
        <v>54</v>
      </c>
      <c r="AF6" s="138" t="s">
        <v>54</v>
      </c>
      <c r="AG6" s="138" t="s">
        <v>54</v>
      </c>
      <c r="AH6" s="131"/>
      <c r="AI6" s="138">
        <v>47.0</v>
      </c>
    </row>
    <row r="7" ht="14.25" customHeight="1">
      <c r="A7" s="68">
        <v>3.0</v>
      </c>
      <c r="B7" s="68" t="s">
        <v>2204</v>
      </c>
      <c r="C7" s="68" t="s">
        <v>2205</v>
      </c>
      <c r="D7" s="68" t="s">
        <v>2206</v>
      </c>
      <c r="E7" s="68" t="s">
        <v>2207</v>
      </c>
      <c r="F7" s="68" t="s">
        <v>2208</v>
      </c>
      <c r="G7" s="67" t="s">
        <v>43</v>
      </c>
      <c r="H7" s="67">
        <v>2025.0</v>
      </c>
      <c r="I7" s="68" t="s">
        <v>563</v>
      </c>
      <c r="J7" s="68" t="s">
        <v>2209</v>
      </c>
      <c r="K7" s="68">
        <v>8.7872409668E10</v>
      </c>
      <c r="L7" s="68">
        <v>3173.0</v>
      </c>
      <c r="M7" s="68" t="s">
        <v>53</v>
      </c>
      <c r="N7" s="68" t="s">
        <v>53</v>
      </c>
      <c r="O7" s="68" t="s">
        <v>2210</v>
      </c>
      <c r="P7" s="68" t="s">
        <v>2211</v>
      </c>
      <c r="Q7" s="68" t="s">
        <v>2212</v>
      </c>
      <c r="R7" s="68" t="s">
        <v>2213</v>
      </c>
      <c r="S7" s="68"/>
      <c r="T7" s="68" t="s">
        <v>2214</v>
      </c>
      <c r="U7" s="68" t="s">
        <v>2215</v>
      </c>
      <c r="V7" s="68" t="s">
        <v>2216</v>
      </c>
      <c r="W7" s="68" t="s">
        <v>2217</v>
      </c>
      <c r="X7" s="68" t="s">
        <v>53</v>
      </c>
      <c r="Y7" s="68"/>
      <c r="Z7" s="139" t="s">
        <v>54</v>
      </c>
      <c r="AA7" s="139" t="s">
        <v>54</v>
      </c>
      <c r="AB7" s="139" t="s">
        <v>54</v>
      </c>
      <c r="AC7" s="139" t="s">
        <v>54</v>
      </c>
      <c r="AD7" s="139" t="s">
        <v>54</v>
      </c>
      <c r="AE7" s="139" t="s">
        <v>146</v>
      </c>
      <c r="AF7" s="139" t="s">
        <v>54</v>
      </c>
      <c r="AG7" s="139" t="s">
        <v>54</v>
      </c>
      <c r="AH7" s="139" t="s">
        <v>146</v>
      </c>
      <c r="AI7" s="139">
        <v>47.0</v>
      </c>
    </row>
    <row r="8" ht="14.25" customHeight="1">
      <c r="A8" s="68">
        <v>4.0</v>
      </c>
      <c r="B8" s="68" t="s">
        <v>2218</v>
      </c>
      <c r="C8" s="68" t="s">
        <v>2219</v>
      </c>
      <c r="D8" s="68" t="s">
        <v>2220</v>
      </c>
      <c r="E8" s="68" t="s">
        <v>2191</v>
      </c>
      <c r="F8" s="68" t="s">
        <v>2221</v>
      </c>
      <c r="G8" s="67" t="s">
        <v>43</v>
      </c>
      <c r="H8" s="67">
        <v>2025.0</v>
      </c>
      <c r="I8" s="68" t="s">
        <v>563</v>
      </c>
      <c r="J8" s="68" t="s">
        <v>2222</v>
      </c>
      <c r="K8" s="68" t="s">
        <v>2223</v>
      </c>
      <c r="L8" s="68">
        <v>0.0</v>
      </c>
      <c r="M8" s="68"/>
      <c r="N8" s="67"/>
      <c r="O8" s="67"/>
      <c r="P8" s="67"/>
      <c r="Q8" s="67"/>
      <c r="R8" s="68"/>
      <c r="S8" s="68"/>
      <c r="T8" s="67"/>
      <c r="U8" s="67"/>
      <c r="V8" s="67"/>
      <c r="W8" s="68"/>
      <c r="X8" s="68"/>
      <c r="Y8" s="68"/>
      <c r="Z8" s="131" t="s">
        <v>54</v>
      </c>
      <c r="AA8" s="131" t="s">
        <v>54</v>
      </c>
      <c r="AB8" s="138" t="s">
        <v>54</v>
      </c>
      <c r="AC8" s="138" t="s">
        <v>54</v>
      </c>
      <c r="AD8" s="131" t="s">
        <v>54</v>
      </c>
      <c r="AE8" s="131" t="s">
        <v>146</v>
      </c>
      <c r="AF8" s="131" t="s">
        <v>146</v>
      </c>
      <c r="AG8" s="138" t="s">
        <v>54</v>
      </c>
      <c r="AH8" s="131" t="s">
        <v>146</v>
      </c>
      <c r="AI8" s="131">
        <v>47.0</v>
      </c>
    </row>
    <row r="9" ht="14.25" customHeight="1">
      <c r="A9" s="68">
        <v>5.0</v>
      </c>
      <c r="B9" s="68" t="s">
        <v>2224</v>
      </c>
      <c r="C9" s="68" t="s">
        <v>2225</v>
      </c>
      <c r="D9" s="68" t="s">
        <v>2226</v>
      </c>
      <c r="E9" s="68" t="s">
        <v>2227</v>
      </c>
      <c r="F9" s="68" t="s">
        <v>2228</v>
      </c>
      <c r="G9" s="67" t="s">
        <v>43</v>
      </c>
      <c r="H9" s="67">
        <v>2025.0</v>
      </c>
      <c r="I9" s="68" t="s">
        <v>563</v>
      </c>
      <c r="J9" s="68" t="s">
        <v>2229</v>
      </c>
      <c r="K9" s="68" t="s">
        <v>2230</v>
      </c>
      <c r="L9" s="68">
        <v>2.959</v>
      </c>
      <c r="M9" s="68"/>
      <c r="N9" s="68" t="s">
        <v>2231</v>
      </c>
      <c r="O9" s="68" t="s">
        <v>2232</v>
      </c>
      <c r="P9" s="68" t="s">
        <v>2233</v>
      </c>
      <c r="Q9" s="68" t="s">
        <v>2234</v>
      </c>
      <c r="R9" s="68" t="s">
        <v>2235</v>
      </c>
      <c r="S9" s="68" t="s">
        <v>2236</v>
      </c>
      <c r="T9" s="68" t="s">
        <v>2237</v>
      </c>
      <c r="U9" s="68" t="s">
        <v>2238</v>
      </c>
      <c r="V9" s="68" t="s">
        <v>2239</v>
      </c>
      <c r="W9" s="68"/>
      <c r="X9" s="68"/>
      <c r="Y9" s="68"/>
      <c r="Z9" s="130" t="s">
        <v>54</v>
      </c>
      <c r="AA9" s="130" t="s">
        <v>54</v>
      </c>
      <c r="AB9" s="130" t="s">
        <v>54</v>
      </c>
      <c r="AC9" s="130" t="s">
        <v>54</v>
      </c>
      <c r="AD9" s="130" t="s">
        <v>54</v>
      </c>
      <c r="AE9" s="130" t="s">
        <v>54</v>
      </c>
      <c r="AF9" s="130" t="s">
        <v>54</v>
      </c>
      <c r="AG9" s="130" t="s">
        <v>54</v>
      </c>
      <c r="AH9" s="130" t="s">
        <v>145</v>
      </c>
      <c r="AI9" s="130">
        <v>49.0</v>
      </c>
    </row>
    <row r="10" ht="14.25" customHeight="1">
      <c r="A10" s="68">
        <v>6.0</v>
      </c>
      <c r="B10" s="68" t="s">
        <v>2224</v>
      </c>
      <c r="C10" s="68" t="s">
        <v>2240</v>
      </c>
      <c r="D10" s="68" t="s">
        <v>2241</v>
      </c>
      <c r="E10" s="68" t="s">
        <v>2242</v>
      </c>
      <c r="F10" s="68" t="s">
        <v>2243</v>
      </c>
      <c r="G10" s="67" t="s">
        <v>43</v>
      </c>
      <c r="H10" s="68"/>
      <c r="I10" s="68" t="s">
        <v>44</v>
      </c>
      <c r="J10" s="68" t="s">
        <v>2244</v>
      </c>
      <c r="K10" s="210">
        <v>8.7886780282E10</v>
      </c>
      <c r="L10" s="85">
        <v>2927.0</v>
      </c>
      <c r="M10" s="68"/>
      <c r="N10" s="68"/>
      <c r="O10" s="68"/>
      <c r="P10" s="68"/>
      <c r="Q10" s="68"/>
      <c r="R10" s="68"/>
      <c r="S10" s="68"/>
      <c r="T10" s="67" t="s">
        <v>2245</v>
      </c>
      <c r="U10" s="67" t="s">
        <v>2246</v>
      </c>
      <c r="V10" s="67" t="s">
        <v>2247</v>
      </c>
      <c r="W10" s="68"/>
      <c r="X10" s="68"/>
      <c r="Y10" s="68"/>
      <c r="Z10" s="131" t="s">
        <v>54</v>
      </c>
      <c r="AA10" s="131" t="s">
        <v>54</v>
      </c>
      <c r="AB10" s="131" t="s">
        <v>145</v>
      </c>
      <c r="AC10" s="138" t="s">
        <v>54</v>
      </c>
      <c r="AD10" s="131" t="s">
        <v>54</v>
      </c>
      <c r="AE10" s="131" t="s">
        <v>54</v>
      </c>
      <c r="AF10" s="131" t="s">
        <v>54</v>
      </c>
      <c r="AG10" s="131" t="s">
        <v>54</v>
      </c>
      <c r="AH10" s="131" t="s">
        <v>145</v>
      </c>
      <c r="AI10" s="131">
        <v>49.0</v>
      </c>
    </row>
    <row r="11" ht="14.25" customHeight="1">
      <c r="A11" s="68">
        <v>7.0</v>
      </c>
      <c r="B11" s="68" t="s">
        <v>2248</v>
      </c>
      <c r="C11" s="68" t="s">
        <v>2249</v>
      </c>
      <c r="D11" s="68" t="s">
        <v>2250</v>
      </c>
      <c r="E11" s="68" t="s">
        <v>2044</v>
      </c>
      <c r="F11" s="68" t="s">
        <v>2251</v>
      </c>
      <c r="G11" s="68" t="s">
        <v>43</v>
      </c>
      <c r="H11" s="68"/>
      <c r="I11" s="68" t="s">
        <v>2252</v>
      </c>
      <c r="J11" s="68" t="s">
        <v>2253</v>
      </c>
      <c r="K11" s="68">
        <v>8.2294546182E10</v>
      </c>
      <c r="L11" s="68">
        <v>2738.0</v>
      </c>
      <c r="M11" s="68" t="s">
        <v>2254</v>
      </c>
      <c r="N11" s="68" t="s">
        <v>2255</v>
      </c>
      <c r="O11" s="68" t="s">
        <v>2256</v>
      </c>
      <c r="P11" s="68" t="s">
        <v>2257</v>
      </c>
      <c r="Q11" s="68" t="s">
        <v>2258</v>
      </c>
      <c r="R11" s="68" t="s">
        <v>2259</v>
      </c>
      <c r="S11" s="68" t="s">
        <v>2260</v>
      </c>
      <c r="T11" s="68" t="s">
        <v>2261</v>
      </c>
      <c r="U11" s="68" t="s">
        <v>2261</v>
      </c>
      <c r="V11" s="68" t="s">
        <v>2261</v>
      </c>
      <c r="W11" s="68" t="s">
        <v>53</v>
      </c>
      <c r="X11" s="68" t="s">
        <v>53</v>
      </c>
      <c r="Y11" s="68"/>
      <c r="Z11" s="139" t="s">
        <v>54</v>
      </c>
      <c r="AA11" s="139" t="s">
        <v>54</v>
      </c>
      <c r="AB11" s="139" t="s">
        <v>54</v>
      </c>
      <c r="AC11" s="139" t="s">
        <v>54</v>
      </c>
      <c r="AD11" s="139" t="s">
        <v>54</v>
      </c>
      <c r="AE11" s="130"/>
      <c r="AF11" s="130"/>
      <c r="AG11" s="139" t="s">
        <v>54</v>
      </c>
      <c r="AH11" s="130"/>
      <c r="AI11" s="139">
        <v>47.0</v>
      </c>
    </row>
    <row r="12" ht="14.25" customHeight="1">
      <c r="A12" s="68">
        <v>8.0</v>
      </c>
      <c r="B12" s="68" t="s">
        <v>2262</v>
      </c>
      <c r="C12" s="68" t="s">
        <v>2263</v>
      </c>
      <c r="D12" s="68" t="s">
        <v>2264</v>
      </c>
      <c r="E12" s="68" t="s">
        <v>1689</v>
      </c>
      <c r="F12" s="68" t="s">
        <v>2265</v>
      </c>
      <c r="G12" s="67" t="s">
        <v>43</v>
      </c>
      <c r="H12" s="68">
        <v>2026.0</v>
      </c>
      <c r="I12" s="68" t="s">
        <v>1009</v>
      </c>
      <c r="J12" s="68" t="s">
        <v>2266</v>
      </c>
      <c r="K12" s="68">
        <v>8.2125675351E10</v>
      </c>
      <c r="L12" s="68">
        <v>2990.0</v>
      </c>
      <c r="M12" s="68" t="s">
        <v>2267</v>
      </c>
      <c r="N12" s="68" t="s">
        <v>2268</v>
      </c>
      <c r="O12" s="68" t="s">
        <v>2269</v>
      </c>
      <c r="P12" s="68" t="s">
        <v>2270</v>
      </c>
      <c r="Q12" s="68" t="s">
        <v>2271</v>
      </c>
      <c r="R12" s="68" t="s">
        <v>2272</v>
      </c>
      <c r="S12" s="68" t="s">
        <v>53</v>
      </c>
      <c r="T12" s="68" t="s">
        <v>2273</v>
      </c>
      <c r="U12" s="68" t="s">
        <v>2274</v>
      </c>
      <c r="V12" s="68" t="s">
        <v>2275</v>
      </c>
      <c r="W12" s="68" t="s">
        <v>2276</v>
      </c>
      <c r="X12" s="68"/>
      <c r="Y12" s="68"/>
      <c r="Z12" s="138" t="s">
        <v>54</v>
      </c>
      <c r="AA12" s="138" t="s">
        <v>54</v>
      </c>
      <c r="AB12" s="138" t="s">
        <v>54</v>
      </c>
      <c r="AC12" s="138" t="s">
        <v>54</v>
      </c>
      <c r="AD12" s="138" t="s">
        <v>54</v>
      </c>
      <c r="AE12" s="131"/>
      <c r="AF12" s="131"/>
      <c r="AG12" s="138" t="s">
        <v>54</v>
      </c>
      <c r="AH12" s="131"/>
      <c r="AI12" s="138">
        <v>47.0</v>
      </c>
    </row>
    <row r="13" ht="14.25" customHeight="1">
      <c r="A13" s="68">
        <v>9.0</v>
      </c>
      <c r="B13" s="68" t="s">
        <v>2262</v>
      </c>
      <c r="C13" s="68" t="s">
        <v>2277</v>
      </c>
      <c r="D13" s="68" t="s">
        <v>2278</v>
      </c>
      <c r="E13" s="68" t="s">
        <v>2279</v>
      </c>
      <c r="F13" s="68" t="s">
        <v>2280</v>
      </c>
      <c r="G13" s="67" t="s">
        <v>43</v>
      </c>
      <c r="H13" s="68">
        <v>2026.0</v>
      </c>
      <c r="I13" s="68" t="s">
        <v>44</v>
      </c>
      <c r="J13" s="68" t="s">
        <v>2281</v>
      </c>
      <c r="K13" s="80" t="s">
        <v>2282</v>
      </c>
      <c r="L13" s="68">
        <v>2970.0</v>
      </c>
      <c r="M13" s="68"/>
      <c r="N13" s="68" t="s">
        <v>2283</v>
      </c>
      <c r="O13" s="68" t="s">
        <v>2284</v>
      </c>
      <c r="P13" s="68" t="s">
        <v>2285</v>
      </c>
      <c r="Q13" s="68" t="s">
        <v>2286</v>
      </c>
      <c r="R13" s="68" t="s">
        <v>2287</v>
      </c>
      <c r="S13" s="68" t="s">
        <v>2288</v>
      </c>
      <c r="T13" s="68" t="s">
        <v>2289</v>
      </c>
      <c r="U13" s="68" t="s">
        <v>2290</v>
      </c>
      <c r="V13" s="68" t="s">
        <v>2291</v>
      </c>
      <c r="W13" s="68" t="s">
        <v>53</v>
      </c>
      <c r="X13" s="68" t="s">
        <v>53</v>
      </c>
      <c r="Y13" s="68"/>
      <c r="Z13" s="139" t="s">
        <v>54</v>
      </c>
      <c r="AA13" s="139" t="s">
        <v>54</v>
      </c>
      <c r="AB13" s="139" t="s">
        <v>54</v>
      </c>
      <c r="AC13" s="139" t="s">
        <v>54</v>
      </c>
      <c r="AD13" s="139" t="s">
        <v>54</v>
      </c>
      <c r="AE13" s="139" t="s">
        <v>146</v>
      </c>
      <c r="AF13" s="130"/>
      <c r="AG13" s="139" t="s">
        <v>54</v>
      </c>
      <c r="AH13" s="130"/>
      <c r="AI13" s="139">
        <v>47.0</v>
      </c>
    </row>
    <row r="14" ht="14.25" customHeight="1">
      <c r="A14" s="68">
        <v>10.0</v>
      </c>
      <c r="B14" s="68" t="s">
        <v>2292</v>
      </c>
      <c r="C14" s="68" t="s">
        <v>2293</v>
      </c>
      <c r="D14" s="68" t="s">
        <v>2294</v>
      </c>
      <c r="E14" s="68" t="s">
        <v>2295</v>
      </c>
      <c r="F14" s="68" t="s">
        <v>2296</v>
      </c>
      <c r="G14" s="68" t="s">
        <v>2297</v>
      </c>
      <c r="H14" s="68">
        <v>2026.0</v>
      </c>
      <c r="I14" s="68" t="s">
        <v>44</v>
      </c>
      <c r="J14" s="68" t="s">
        <v>2298</v>
      </c>
      <c r="K14" s="68">
        <v>8.5358950505E10</v>
      </c>
      <c r="L14" s="85">
        <v>1689.0</v>
      </c>
      <c r="M14" s="68"/>
      <c r="N14" s="68"/>
      <c r="O14" s="68"/>
      <c r="P14" s="68"/>
      <c r="Q14" s="68"/>
      <c r="R14" s="68"/>
      <c r="S14" s="68"/>
      <c r="T14" s="68"/>
      <c r="U14" s="68"/>
      <c r="V14" s="68"/>
      <c r="W14" s="68"/>
      <c r="X14" s="68"/>
      <c r="Y14" s="68"/>
      <c r="Z14" s="138" t="s">
        <v>54</v>
      </c>
      <c r="AA14" s="138" t="s">
        <v>54</v>
      </c>
      <c r="AB14" s="138" t="s">
        <v>54</v>
      </c>
      <c r="AC14" s="131"/>
      <c r="AD14" s="138" t="s">
        <v>145</v>
      </c>
      <c r="AE14" s="138" t="s">
        <v>146</v>
      </c>
      <c r="AF14" s="138" t="s">
        <v>146</v>
      </c>
      <c r="AG14" s="138" t="s">
        <v>54</v>
      </c>
      <c r="AH14" s="131"/>
      <c r="AI14" s="138">
        <v>47.0</v>
      </c>
    </row>
    <row r="15" ht="14.25" customHeight="1">
      <c r="Z15" s="25"/>
      <c r="AA15" s="25"/>
      <c r="AB15" s="25"/>
      <c r="AC15" s="25"/>
      <c r="AD15" s="25"/>
      <c r="AE15" s="25"/>
      <c r="AF15" s="25"/>
      <c r="AG15" s="25"/>
      <c r="AH15" s="25"/>
      <c r="AI15" s="25"/>
    </row>
    <row r="16" ht="14.25" customHeight="1">
      <c r="Z16" s="26"/>
      <c r="AA16" s="26"/>
      <c r="AB16" s="26"/>
      <c r="AC16" s="26"/>
      <c r="AD16" s="26"/>
      <c r="AE16" s="26"/>
      <c r="AF16" s="26"/>
      <c r="AG16" s="26"/>
      <c r="AH16" s="26"/>
      <c r="AI16" s="26"/>
    </row>
    <row r="17" ht="14.25" customHeight="1">
      <c r="Z17" s="25"/>
      <c r="AA17" s="25"/>
      <c r="AB17" s="25"/>
      <c r="AC17" s="25"/>
      <c r="AD17" s="25"/>
      <c r="AE17" s="25"/>
      <c r="AF17" s="25"/>
      <c r="AG17" s="25"/>
      <c r="AH17" s="25"/>
      <c r="AI17" s="25"/>
    </row>
    <row r="18" ht="14.25" customHeight="1">
      <c r="Z18" s="26"/>
      <c r="AA18" s="26"/>
      <c r="AB18" s="26"/>
      <c r="AC18" s="26"/>
      <c r="AD18" s="26"/>
      <c r="AE18" s="26"/>
      <c r="AF18" s="26"/>
      <c r="AG18" s="26"/>
      <c r="AH18" s="26"/>
      <c r="AI18" s="26"/>
    </row>
    <row r="19" ht="14.25" customHeight="1">
      <c r="C19" s="62" t="s">
        <v>216</v>
      </c>
      <c r="D19" s="62">
        <v>9.0</v>
      </c>
      <c r="Z19" s="25"/>
      <c r="AA19" s="25"/>
      <c r="AB19" s="25"/>
      <c r="AC19" s="25"/>
      <c r="AD19" s="25"/>
      <c r="AE19" s="25"/>
      <c r="AF19" s="25"/>
      <c r="AG19" s="25"/>
      <c r="AH19" s="25"/>
      <c r="AI19" s="25"/>
    </row>
    <row r="20" ht="14.25" customHeight="1">
      <c r="C20" s="62" t="s">
        <v>217</v>
      </c>
      <c r="D20" s="62">
        <v>0.0</v>
      </c>
      <c r="E20" s="62"/>
      <c r="Z20" s="26"/>
      <c r="AA20" s="26"/>
      <c r="AB20" s="26"/>
      <c r="AC20" s="26"/>
      <c r="AD20" s="26"/>
      <c r="AE20" s="26"/>
      <c r="AF20" s="26"/>
      <c r="AG20" s="26"/>
      <c r="AH20" s="26"/>
      <c r="AI20" s="26"/>
    </row>
    <row r="21" ht="14.25" customHeight="1">
      <c r="C21" s="62" t="s">
        <v>2299</v>
      </c>
      <c r="D21" s="62">
        <v>1.0</v>
      </c>
      <c r="E21" s="62" t="s">
        <v>2300</v>
      </c>
      <c r="Z21" s="25"/>
      <c r="AA21" s="25"/>
      <c r="AB21" s="25"/>
      <c r="AC21" s="25"/>
      <c r="AD21" s="25"/>
      <c r="AE21" s="25"/>
      <c r="AF21" s="25"/>
      <c r="AG21" s="25"/>
      <c r="AH21" s="25"/>
      <c r="AI21" s="25"/>
    </row>
    <row r="22" ht="14.25" customHeight="1">
      <c r="C22" s="62" t="s">
        <v>2301</v>
      </c>
      <c r="D22" s="62">
        <v>4.0</v>
      </c>
      <c r="E22" s="62" t="s">
        <v>2302</v>
      </c>
      <c r="F22" s="62"/>
      <c r="Z22" s="26"/>
      <c r="AA22" s="26"/>
      <c r="AB22" s="26"/>
      <c r="AC22" s="26"/>
      <c r="AD22" s="26"/>
      <c r="AE22" s="26"/>
      <c r="AF22" s="26"/>
      <c r="AG22" s="26"/>
      <c r="AH22" s="26"/>
      <c r="AI22" s="26"/>
    </row>
    <row r="23" ht="14.25" customHeight="1">
      <c r="Z23" s="25"/>
      <c r="AA23" s="25"/>
      <c r="AB23" s="25"/>
      <c r="AC23" s="25"/>
      <c r="AD23" s="25"/>
      <c r="AE23" s="25"/>
      <c r="AF23" s="25"/>
      <c r="AG23" s="25"/>
      <c r="AH23" s="25"/>
      <c r="AI23" s="25"/>
    </row>
    <row r="24" ht="14.25" customHeight="1">
      <c r="Z24" s="62"/>
      <c r="AA24" s="62"/>
      <c r="AB24" s="62"/>
      <c r="AC24" s="62"/>
      <c r="AD24" s="62"/>
      <c r="AE24" s="62"/>
      <c r="AF24" s="62"/>
      <c r="AG24" s="62"/>
      <c r="AH24" s="62"/>
      <c r="AI24" s="62"/>
    </row>
    <row r="25" ht="14.25" customHeight="1">
      <c r="Z25" s="62"/>
      <c r="AA25" s="62"/>
      <c r="AB25" s="62"/>
      <c r="AC25" s="62"/>
      <c r="AD25" s="62"/>
      <c r="AE25" s="62"/>
      <c r="AF25" s="62"/>
      <c r="AG25" s="62"/>
      <c r="AH25" s="62"/>
      <c r="AI25" s="62"/>
    </row>
    <row r="26" ht="14.25" customHeight="1">
      <c r="Z26" s="62"/>
      <c r="AA26" s="62"/>
      <c r="AB26" s="62"/>
      <c r="AC26" s="62"/>
      <c r="AD26" s="62"/>
      <c r="AE26" s="62"/>
      <c r="AF26" s="62"/>
      <c r="AG26" s="62"/>
      <c r="AH26" s="62"/>
      <c r="AI26" s="62"/>
    </row>
    <row r="27" ht="14.25" customHeight="1">
      <c r="Z27" s="62"/>
      <c r="AA27" s="62"/>
      <c r="AB27" s="62"/>
      <c r="AC27" s="62"/>
      <c r="AD27" s="62"/>
      <c r="AE27" s="62"/>
      <c r="AF27" s="62"/>
      <c r="AG27" s="62"/>
      <c r="AH27" s="62"/>
      <c r="AI27" s="62"/>
    </row>
    <row r="28" ht="14.25" customHeight="1">
      <c r="Z28" s="62"/>
      <c r="AA28" s="62"/>
      <c r="AB28" s="62"/>
      <c r="AC28" s="62"/>
      <c r="AD28" s="62"/>
      <c r="AE28" s="62"/>
      <c r="AF28" s="62"/>
      <c r="AG28" s="62"/>
      <c r="AH28" s="62"/>
      <c r="AI28" s="62"/>
    </row>
    <row r="29" ht="14.25" customHeight="1">
      <c r="Z29" s="62"/>
      <c r="AA29" s="62"/>
      <c r="AB29" s="62"/>
      <c r="AC29" s="62"/>
      <c r="AD29" s="62"/>
      <c r="AE29" s="62"/>
      <c r="AF29" s="62"/>
      <c r="AG29" s="62"/>
      <c r="AH29" s="62"/>
      <c r="AI29" s="62"/>
    </row>
    <row r="30" ht="14.25" customHeight="1">
      <c r="Z30" s="62"/>
      <c r="AA30" s="62"/>
      <c r="AB30" s="62"/>
      <c r="AC30" s="62"/>
      <c r="AD30" s="62"/>
      <c r="AE30" s="62"/>
      <c r="AF30" s="62"/>
      <c r="AG30" s="62"/>
      <c r="AH30" s="62"/>
      <c r="AI30" s="62"/>
    </row>
    <row r="31" ht="14.25" customHeight="1">
      <c r="Z31" s="62"/>
      <c r="AA31" s="62"/>
      <c r="AB31" s="62"/>
      <c r="AC31" s="62"/>
      <c r="AD31" s="62"/>
      <c r="AE31" s="62"/>
      <c r="AF31" s="62"/>
      <c r="AG31" s="62"/>
      <c r="AH31" s="62"/>
      <c r="AI31" s="62"/>
    </row>
    <row r="32" ht="14.25" customHeight="1">
      <c r="Z32" s="62"/>
      <c r="AA32" s="62"/>
      <c r="AB32" s="62"/>
      <c r="AC32" s="62"/>
      <c r="AD32" s="62"/>
      <c r="AE32" s="62"/>
      <c r="AF32" s="62"/>
      <c r="AG32" s="62"/>
      <c r="AH32" s="62"/>
      <c r="AI32" s="62"/>
    </row>
    <row r="33" ht="14.25" customHeight="1">
      <c r="Z33" s="62"/>
      <c r="AA33" s="62"/>
      <c r="AB33" s="62"/>
      <c r="AC33" s="62"/>
      <c r="AD33" s="62"/>
      <c r="AE33" s="62"/>
      <c r="AF33" s="62"/>
      <c r="AG33" s="62"/>
      <c r="AH33" s="62"/>
      <c r="AI33" s="62"/>
    </row>
    <row r="34" ht="14.25" customHeight="1">
      <c r="Z34" s="62"/>
      <c r="AA34" s="62"/>
      <c r="AB34" s="62"/>
      <c r="AC34" s="62"/>
      <c r="AD34" s="62"/>
      <c r="AE34" s="62"/>
      <c r="AF34" s="62"/>
      <c r="AG34" s="62"/>
      <c r="AH34" s="62"/>
      <c r="AI34" s="62"/>
    </row>
    <row r="35" ht="14.25" customHeight="1">
      <c r="Z35" s="62"/>
      <c r="AA35" s="62"/>
      <c r="AB35" s="62"/>
      <c r="AC35" s="62"/>
      <c r="AD35" s="62"/>
      <c r="AE35" s="62"/>
      <c r="AF35" s="62"/>
      <c r="AG35" s="62"/>
      <c r="AH35" s="62"/>
      <c r="AI35" s="62"/>
    </row>
    <row r="36" ht="14.25" customHeight="1">
      <c r="Z36" s="62"/>
      <c r="AA36" s="62"/>
      <c r="AB36" s="62"/>
      <c r="AC36" s="62"/>
      <c r="AD36" s="62"/>
      <c r="AE36" s="62"/>
      <c r="AF36" s="62"/>
      <c r="AG36" s="62"/>
      <c r="AH36" s="62"/>
      <c r="AI36" s="62"/>
    </row>
    <row r="37" ht="14.25" customHeight="1">
      <c r="Z37" s="62"/>
      <c r="AA37" s="62"/>
      <c r="AB37" s="62"/>
      <c r="AC37" s="62"/>
      <c r="AD37" s="62"/>
      <c r="AE37" s="62"/>
      <c r="AF37" s="62"/>
      <c r="AG37" s="62"/>
      <c r="AH37" s="62"/>
      <c r="AI37" s="62"/>
    </row>
    <row r="38" ht="14.25" customHeight="1">
      <c r="Z38" s="62"/>
      <c r="AA38" s="62"/>
      <c r="AB38" s="62"/>
      <c r="AC38" s="62"/>
      <c r="AD38" s="62"/>
      <c r="AE38" s="62"/>
      <c r="AF38" s="62"/>
      <c r="AG38" s="62"/>
      <c r="AH38" s="62"/>
      <c r="AI38" s="62"/>
    </row>
    <row r="39" ht="14.25" customHeight="1">
      <c r="Z39" s="62"/>
      <c r="AA39" s="62"/>
      <c r="AB39" s="62"/>
      <c r="AC39" s="62"/>
      <c r="AD39" s="62"/>
      <c r="AE39" s="62"/>
      <c r="AF39" s="62"/>
      <c r="AG39" s="62"/>
      <c r="AH39" s="62"/>
      <c r="AI39" s="62"/>
    </row>
    <row r="40" ht="14.25" customHeight="1">
      <c r="Z40" s="62"/>
      <c r="AA40" s="62"/>
      <c r="AB40" s="62"/>
      <c r="AC40" s="62"/>
      <c r="AD40" s="62"/>
      <c r="AE40" s="62"/>
      <c r="AF40" s="62"/>
      <c r="AG40" s="62"/>
      <c r="AH40" s="62"/>
      <c r="AI40" s="62"/>
    </row>
    <row r="41" ht="14.25" customHeight="1">
      <c r="Z41" s="62"/>
      <c r="AA41" s="62"/>
      <c r="AB41" s="62"/>
      <c r="AC41" s="62"/>
      <c r="AD41" s="62"/>
      <c r="AE41" s="62"/>
      <c r="AF41" s="62"/>
      <c r="AG41" s="62"/>
      <c r="AH41" s="62"/>
      <c r="AI41" s="62"/>
    </row>
    <row r="42" ht="14.25" customHeight="1">
      <c r="Z42" s="62"/>
      <c r="AA42" s="62"/>
      <c r="AB42" s="62"/>
      <c r="AC42" s="62"/>
      <c r="AD42" s="62"/>
      <c r="AE42" s="62"/>
      <c r="AF42" s="62"/>
      <c r="AG42" s="62"/>
      <c r="AH42" s="62"/>
      <c r="AI42" s="62"/>
    </row>
    <row r="43" ht="14.25" customHeight="1">
      <c r="Z43" s="62"/>
      <c r="AA43" s="62"/>
      <c r="AB43" s="62"/>
      <c r="AC43" s="62"/>
      <c r="AD43" s="62"/>
      <c r="AE43" s="62"/>
      <c r="AF43" s="62"/>
      <c r="AG43" s="62"/>
      <c r="AH43" s="62"/>
      <c r="AI43" s="62"/>
    </row>
    <row r="44" ht="14.25" customHeight="1">
      <c r="Z44" s="62"/>
      <c r="AA44" s="62"/>
      <c r="AB44" s="62"/>
      <c r="AC44" s="62"/>
      <c r="AD44" s="62"/>
      <c r="AE44" s="62"/>
      <c r="AF44" s="62"/>
      <c r="AG44" s="62"/>
      <c r="AH44" s="62"/>
      <c r="AI44" s="62"/>
    </row>
    <row r="45" ht="14.25" customHeight="1">
      <c r="Z45" s="62"/>
      <c r="AA45" s="62"/>
      <c r="AB45" s="62"/>
      <c r="AC45" s="62"/>
      <c r="AD45" s="62"/>
      <c r="AE45" s="62"/>
      <c r="AF45" s="62"/>
      <c r="AG45" s="62"/>
      <c r="AH45" s="62"/>
      <c r="AI45" s="62"/>
    </row>
    <row r="46" ht="14.25" customHeight="1">
      <c r="Z46" s="62"/>
      <c r="AA46" s="62"/>
      <c r="AB46" s="62"/>
      <c r="AC46" s="62"/>
      <c r="AD46" s="62"/>
      <c r="AE46" s="62"/>
      <c r="AF46" s="62"/>
      <c r="AG46" s="62"/>
      <c r="AH46" s="62"/>
      <c r="AI46" s="62"/>
    </row>
    <row r="47" ht="14.25" customHeight="1">
      <c r="Z47" s="62"/>
      <c r="AA47" s="62"/>
      <c r="AB47" s="62"/>
      <c r="AC47" s="62"/>
      <c r="AD47" s="62"/>
      <c r="AE47" s="62"/>
      <c r="AF47" s="62"/>
      <c r="AG47" s="62"/>
      <c r="AH47" s="62"/>
      <c r="AI47" s="62"/>
    </row>
    <row r="48" ht="14.25" customHeight="1">
      <c r="Z48" s="62"/>
      <c r="AA48" s="62"/>
      <c r="AB48" s="62"/>
      <c r="AC48" s="62"/>
      <c r="AD48" s="62"/>
      <c r="AE48" s="62"/>
      <c r="AF48" s="62"/>
      <c r="AG48" s="62"/>
      <c r="AH48" s="62"/>
      <c r="AI48" s="62"/>
    </row>
    <row r="49" ht="14.25" customHeight="1">
      <c r="Z49" s="62"/>
      <c r="AA49" s="62"/>
      <c r="AB49" s="62"/>
      <c r="AC49" s="62"/>
      <c r="AD49" s="62"/>
      <c r="AE49" s="62"/>
      <c r="AF49" s="62"/>
      <c r="AG49" s="62"/>
      <c r="AH49" s="62"/>
      <c r="AI49" s="62"/>
    </row>
    <row r="50" ht="14.25" customHeight="1">
      <c r="Z50" s="62"/>
      <c r="AA50" s="62"/>
      <c r="AB50" s="62"/>
      <c r="AC50" s="62"/>
      <c r="AD50" s="62"/>
      <c r="AE50" s="62"/>
      <c r="AF50" s="62"/>
      <c r="AG50" s="62"/>
      <c r="AH50" s="62"/>
      <c r="AI50" s="62"/>
    </row>
    <row r="51" ht="14.25" customHeight="1">
      <c r="Z51" s="62"/>
      <c r="AA51" s="62"/>
      <c r="AB51" s="62"/>
      <c r="AC51" s="62"/>
      <c r="AD51" s="62"/>
      <c r="AE51" s="62"/>
      <c r="AF51" s="62"/>
      <c r="AG51" s="62"/>
      <c r="AH51" s="62"/>
      <c r="AI51" s="62"/>
    </row>
    <row r="52" ht="14.25" customHeight="1">
      <c r="Z52" s="62"/>
      <c r="AA52" s="62"/>
      <c r="AB52" s="62"/>
      <c r="AC52" s="62"/>
      <c r="AD52" s="62"/>
      <c r="AE52" s="62"/>
      <c r="AF52" s="62"/>
      <c r="AG52" s="62"/>
      <c r="AH52" s="62"/>
      <c r="AI52" s="62"/>
    </row>
    <row r="53" ht="14.25" customHeight="1">
      <c r="Z53" s="62"/>
      <c r="AA53" s="62"/>
      <c r="AB53" s="62"/>
      <c r="AC53" s="62"/>
      <c r="AD53" s="62"/>
      <c r="AE53" s="62"/>
      <c r="AF53" s="62"/>
      <c r="AG53" s="62"/>
      <c r="AH53" s="62"/>
      <c r="AI53" s="62"/>
    </row>
    <row r="54" ht="14.25" customHeight="1">
      <c r="Z54" s="62"/>
      <c r="AA54" s="62"/>
      <c r="AB54" s="62"/>
      <c r="AC54" s="62"/>
      <c r="AD54" s="62"/>
      <c r="AE54" s="62"/>
      <c r="AF54" s="62"/>
      <c r="AG54" s="62"/>
      <c r="AH54" s="62"/>
      <c r="AI54" s="62"/>
    </row>
    <row r="55" ht="14.25" customHeight="1">
      <c r="Z55" s="62"/>
      <c r="AA55" s="62"/>
      <c r="AB55" s="62"/>
      <c r="AC55" s="62"/>
      <c r="AD55" s="62"/>
      <c r="AE55" s="62"/>
      <c r="AF55" s="62"/>
      <c r="AG55" s="62"/>
      <c r="AH55" s="62"/>
      <c r="AI55" s="62"/>
    </row>
    <row r="56" ht="14.25" customHeight="1">
      <c r="Z56" s="62"/>
      <c r="AA56" s="62"/>
      <c r="AB56" s="62"/>
      <c r="AC56" s="62"/>
      <c r="AD56" s="62"/>
      <c r="AE56" s="62"/>
      <c r="AF56" s="62"/>
      <c r="AG56" s="62"/>
      <c r="AH56" s="62"/>
      <c r="AI56" s="62"/>
    </row>
    <row r="57" ht="14.25" customHeight="1">
      <c r="Z57" s="62"/>
      <c r="AA57" s="62"/>
      <c r="AB57" s="62"/>
      <c r="AC57" s="62"/>
      <c r="AD57" s="62"/>
      <c r="AE57" s="62"/>
      <c r="AF57" s="62"/>
      <c r="AG57" s="62"/>
      <c r="AH57" s="62"/>
      <c r="AI57" s="62"/>
    </row>
    <row r="58" ht="14.25" customHeight="1">
      <c r="Z58" s="62"/>
      <c r="AA58" s="62"/>
      <c r="AB58" s="62"/>
      <c r="AC58" s="62"/>
      <c r="AD58" s="62"/>
      <c r="AE58" s="62"/>
      <c r="AF58" s="62"/>
      <c r="AG58" s="62"/>
      <c r="AH58" s="62"/>
      <c r="AI58" s="62"/>
    </row>
    <row r="59" ht="14.25" customHeight="1">
      <c r="Z59" s="62"/>
      <c r="AA59" s="62"/>
      <c r="AB59" s="62"/>
      <c r="AC59" s="62"/>
      <c r="AD59" s="62"/>
      <c r="AE59" s="62"/>
      <c r="AF59" s="62"/>
      <c r="AG59" s="62"/>
      <c r="AH59" s="62"/>
      <c r="AI59" s="62"/>
    </row>
    <row r="60" ht="14.25" customHeight="1">
      <c r="Z60" s="62"/>
      <c r="AA60" s="62"/>
      <c r="AB60" s="62"/>
      <c r="AC60" s="62"/>
      <c r="AD60" s="62"/>
      <c r="AE60" s="62"/>
      <c r="AF60" s="62"/>
      <c r="AG60" s="62"/>
      <c r="AH60" s="62"/>
      <c r="AI60" s="62"/>
    </row>
    <row r="61" ht="14.25" customHeight="1">
      <c r="Z61" s="62"/>
      <c r="AA61" s="62"/>
      <c r="AB61" s="62"/>
      <c r="AC61" s="62"/>
      <c r="AD61" s="62"/>
      <c r="AE61" s="62"/>
      <c r="AF61" s="62"/>
      <c r="AG61" s="62"/>
      <c r="AH61" s="62"/>
      <c r="AI61" s="62"/>
    </row>
    <row r="62" ht="14.25" customHeight="1">
      <c r="Z62" s="62"/>
      <c r="AA62" s="62"/>
      <c r="AB62" s="62"/>
      <c r="AC62" s="62"/>
      <c r="AD62" s="62"/>
      <c r="AE62" s="62"/>
      <c r="AF62" s="62"/>
      <c r="AG62" s="62"/>
      <c r="AH62" s="62"/>
      <c r="AI62" s="62"/>
    </row>
    <row r="63" ht="14.25" customHeight="1">
      <c r="Z63" s="62"/>
      <c r="AA63" s="62"/>
      <c r="AB63" s="62"/>
      <c r="AC63" s="62"/>
      <c r="AD63" s="62"/>
      <c r="AE63" s="62"/>
      <c r="AF63" s="62"/>
      <c r="AG63" s="62"/>
      <c r="AH63" s="62"/>
      <c r="AI63" s="62"/>
    </row>
    <row r="64" ht="14.25" customHeight="1">
      <c r="Z64" s="62"/>
      <c r="AA64" s="62"/>
      <c r="AB64" s="62"/>
      <c r="AC64" s="62"/>
      <c r="AD64" s="62"/>
      <c r="AE64" s="62"/>
      <c r="AF64" s="62"/>
      <c r="AG64" s="62"/>
      <c r="AH64" s="62"/>
      <c r="AI64" s="62"/>
    </row>
    <row r="65" ht="14.25" customHeight="1">
      <c r="Z65" s="62"/>
      <c r="AA65" s="62"/>
      <c r="AB65" s="62"/>
      <c r="AC65" s="62"/>
      <c r="AD65" s="62"/>
      <c r="AE65" s="62"/>
      <c r="AF65" s="62"/>
      <c r="AG65" s="62"/>
      <c r="AH65" s="62"/>
      <c r="AI65" s="62"/>
    </row>
    <row r="66" ht="14.25" customHeight="1">
      <c r="Z66" s="62"/>
      <c r="AA66" s="62"/>
      <c r="AB66" s="62"/>
      <c r="AC66" s="62"/>
      <c r="AD66" s="62"/>
      <c r="AE66" s="62"/>
      <c r="AF66" s="62"/>
      <c r="AG66" s="62"/>
      <c r="AH66" s="62"/>
      <c r="AI66" s="62"/>
    </row>
    <row r="67" ht="14.25" customHeight="1">
      <c r="Z67" s="62"/>
      <c r="AA67" s="62"/>
      <c r="AB67" s="62"/>
      <c r="AC67" s="62"/>
      <c r="AD67" s="62"/>
      <c r="AE67" s="62"/>
      <c r="AF67" s="62"/>
      <c r="AG67" s="62"/>
      <c r="AH67" s="62"/>
      <c r="AI67" s="62"/>
    </row>
    <row r="68" ht="14.25" customHeight="1">
      <c r="Z68" s="62"/>
      <c r="AA68" s="62"/>
      <c r="AB68" s="62"/>
      <c r="AC68" s="62"/>
      <c r="AD68" s="62"/>
      <c r="AE68" s="62"/>
      <c r="AF68" s="62"/>
      <c r="AG68" s="62"/>
      <c r="AH68" s="62"/>
      <c r="AI68" s="62"/>
    </row>
    <row r="69" ht="14.25" customHeight="1">
      <c r="Z69" s="62"/>
      <c r="AA69" s="62"/>
      <c r="AB69" s="62"/>
      <c r="AC69" s="62"/>
      <c r="AD69" s="62"/>
      <c r="AE69" s="62"/>
      <c r="AF69" s="62"/>
      <c r="AG69" s="62"/>
      <c r="AH69" s="62"/>
      <c r="AI69" s="62"/>
    </row>
    <row r="70" ht="14.25" customHeight="1">
      <c r="Z70" s="62"/>
      <c r="AA70" s="62"/>
      <c r="AB70" s="62"/>
      <c r="AC70" s="62"/>
      <c r="AD70" s="62"/>
      <c r="AE70" s="62"/>
      <c r="AF70" s="62"/>
      <c r="AG70" s="62"/>
      <c r="AH70" s="62"/>
      <c r="AI70" s="62"/>
    </row>
    <row r="71" ht="14.25" customHeight="1">
      <c r="Z71" s="62"/>
      <c r="AA71" s="62"/>
      <c r="AB71" s="62"/>
      <c r="AC71" s="62"/>
      <c r="AD71" s="62"/>
      <c r="AE71" s="62"/>
      <c r="AF71" s="62"/>
      <c r="AG71" s="62"/>
      <c r="AH71" s="62"/>
      <c r="AI71" s="62"/>
    </row>
    <row r="72" ht="14.25" customHeight="1">
      <c r="Z72" s="62"/>
      <c r="AA72" s="62"/>
      <c r="AB72" s="62"/>
      <c r="AC72" s="62"/>
      <c r="AD72" s="62"/>
      <c r="AE72" s="62"/>
      <c r="AF72" s="62"/>
      <c r="AG72" s="62"/>
      <c r="AH72" s="62"/>
      <c r="AI72" s="62"/>
    </row>
    <row r="73" ht="14.25" customHeight="1">
      <c r="Z73" s="62"/>
      <c r="AA73" s="62"/>
      <c r="AB73" s="62"/>
      <c r="AC73" s="62"/>
      <c r="AD73" s="62"/>
      <c r="AE73" s="62"/>
      <c r="AF73" s="62"/>
      <c r="AG73" s="62"/>
      <c r="AH73" s="62"/>
      <c r="AI73" s="62"/>
    </row>
    <row r="74" ht="14.25" customHeight="1">
      <c r="Z74" s="62"/>
      <c r="AA74" s="62"/>
      <c r="AB74" s="62"/>
      <c r="AC74" s="62"/>
      <c r="AD74" s="62"/>
      <c r="AE74" s="62"/>
      <c r="AF74" s="62"/>
      <c r="AG74" s="62"/>
      <c r="AH74" s="62"/>
      <c r="AI74" s="62"/>
    </row>
    <row r="75" ht="14.25" customHeight="1">
      <c r="Z75" s="62"/>
      <c r="AA75" s="62"/>
      <c r="AB75" s="62"/>
      <c r="AC75" s="62"/>
      <c r="AD75" s="62"/>
      <c r="AE75" s="62"/>
      <c r="AF75" s="62"/>
      <c r="AG75" s="62"/>
      <c r="AH75" s="62"/>
      <c r="AI75" s="62"/>
    </row>
    <row r="76" ht="14.25" customHeight="1">
      <c r="Z76" s="62"/>
      <c r="AA76" s="62"/>
      <c r="AB76" s="62"/>
      <c r="AC76" s="62"/>
      <c r="AD76" s="62"/>
      <c r="AE76" s="62"/>
      <c r="AF76" s="62"/>
      <c r="AG76" s="62"/>
      <c r="AH76" s="62"/>
      <c r="AI76" s="62"/>
    </row>
    <row r="77" ht="14.25" customHeight="1">
      <c r="Z77" s="62"/>
      <c r="AA77" s="62"/>
      <c r="AB77" s="62"/>
      <c r="AC77" s="62"/>
      <c r="AD77" s="62"/>
      <c r="AE77" s="62"/>
      <c r="AF77" s="62"/>
      <c r="AG77" s="62"/>
      <c r="AH77" s="62"/>
      <c r="AI77" s="62"/>
    </row>
    <row r="78" ht="14.25" customHeight="1">
      <c r="Z78" s="62"/>
      <c r="AA78" s="62"/>
      <c r="AB78" s="62"/>
      <c r="AC78" s="62"/>
      <c r="AD78" s="62"/>
      <c r="AE78" s="62"/>
      <c r="AF78" s="62"/>
      <c r="AG78" s="62"/>
      <c r="AH78" s="62"/>
      <c r="AI78" s="62"/>
    </row>
    <row r="79" ht="14.25" customHeight="1">
      <c r="Z79" s="62"/>
      <c r="AA79" s="62"/>
      <c r="AB79" s="62"/>
      <c r="AC79" s="62"/>
      <c r="AD79" s="62"/>
      <c r="AE79" s="62"/>
      <c r="AF79" s="62"/>
      <c r="AG79" s="62"/>
      <c r="AH79" s="62"/>
      <c r="AI79" s="62"/>
    </row>
    <row r="80" ht="14.25" customHeight="1">
      <c r="Z80" s="62"/>
      <c r="AA80" s="62"/>
      <c r="AB80" s="62"/>
      <c r="AC80" s="62"/>
      <c r="AD80" s="62"/>
      <c r="AE80" s="62"/>
      <c r="AF80" s="62"/>
      <c r="AG80" s="62"/>
      <c r="AH80" s="62"/>
      <c r="AI80" s="62"/>
    </row>
    <row r="81" ht="14.25" customHeight="1">
      <c r="Z81" s="62"/>
      <c r="AA81" s="62"/>
      <c r="AB81" s="62"/>
      <c r="AC81" s="62"/>
      <c r="AD81" s="62"/>
      <c r="AE81" s="62"/>
      <c r="AF81" s="62"/>
      <c r="AG81" s="62"/>
      <c r="AH81" s="62"/>
      <c r="AI81" s="62"/>
    </row>
    <row r="82" ht="14.25" customHeight="1">
      <c r="Z82" s="62"/>
      <c r="AA82" s="62"/>
      <c r="AB82" s="62"/>
      <c r="AC82" s="62"/>
      <c r="AD82" s="62"/>
      <c r="AE82" s="62"/>
      <c r="AF82" s="62"/>
      <c r="AG82" s="62"/>
      <c r="AH82" s="62"/>
      <c r="AI82" s="62"/>
    </row>
    <row r="83" ht="14.25" customHeight="1">
      <c r="Z83" s="62"/>
      <c r="AA83" s="62"/>
      <c r="AB83" s="62"/>
      <c r="AC83" s="62"/>
      <c r="AD83" s="62"/>
      <c r="AE83" s="62"/>
      <c r="AF83" s="62"/>
      <c r="AG83" s="62"/>
      <c r="AH83" s="62"/>
      <c r="AI83" s="62"/>
    </row>
    <row r="84" ht="14.25" customHeight="1">
      <c r="Z84" s="62"/>
      <c r="AA84" s="62"/>
      <c r="AB84" s="62"/>
      <c r="AC84" s="62"/>
      <c r="AD84" s="62"/>
      <c r="AE84" s="62"/>
      <c r="AF84" s="62"/>
      <c r="AG84" s="62"/>
      <c r="AH84" s="62"/>
      <c r="AI84" s="62"/>
    </row>
    <row r="85" ht="14.25" customHeight="1">
      <c r="Z85" s="62"/>
      <c r="AA85" s="62"/>
      <c r="AB85" s="62"/>
      <c r="AC85" s="62"/>
      <c r="AD85" s="62"/>
      <c r="AE85" s="62"/>
      <c r="AF85" s="62"/>
      <c r="AG85" s="62"/>
      <c r="AH85" s="62"/>
      <c r="AI85" s="62"/>
    </row>
    <row r="86" ht="14.25" customHeight="1">
      <c r="Z86" s="62"/>
      <c r="AA86" s="62"/>
      <c r="AB86" s="62"/>
      <c r="AC86" s="62"/>
      <c r="AD86" s="62"/>
      <c r="AE86" s="62"/>
      <c r="AF86" s="62"/>
      <c r="AG86" s="62"/>
      <c r="AH86" s="62"/>
      <c r="AI86" s="62"/>
    </row>
    <row r="87" ht="14.25" customHeight="1">
      <c r="Z87" s="62"/>
      <c r="AA87" s="62"/>
      <c r="AB87" s="62"/>
      <c r="AC87" s="62"/>
      <c r="AD87" s="62"/>
      <c r="AE87" s="62"/>
      <c r="AF87" s="62"/>
      <c r="AG87" s="62"/>
      <c r="AH87" s="62"/>
      <c r="AI87" s="62"/>
    </row>
    <row r="88" ht="14.25" customHeight="1">
      <c r="Z88" s="62"/>
      <c r="AA88" s="62"/>
      <c r="AB88" s="62"/>
      <c r="AC88" s="62"/>
      <c r="AD88" s="62"/>
      <c r="AE88" s="62"/>
      <c r="AF88" s="62"/>
      <c r="AG88" s="62"/>
      <c r="AH88" s="62"/>
      <c r="AI88" s="62"/>
    </row>
    <row r="89" ht="14.25" customHeight="1">
      <c r="Z89" s="62"/>
      <c r="AA89" s="62"/>
      <c r="AB89" s="62"/>
      <c r="AC89" s="62"/>
      <c r="AD89" s="62"/>
      <c r="AE89" s="62"/>
      <c r="AF89" s="62"/>
      <c r="AG89" s="62"/>
      <c r="AH89" s="62"/>
      <c r="AI89" s="62"/>
    </row>
    <row r="90" ht="14.25" customHeight="1">
      <c r="Z90" s="62"/>
      <c r="AA90" s="62"/>
      <c r="AB90" s="62"/>
      <c r="AC90" s="62"/>
      <c r="AD90" s="62"/>
      <c r="AE90" s="62"/>
      <c r="AF90" s="62"/>
      <c r="AG90" s="62"/>
      <c r="AH90" s="62"/>
      <c r="AI90" s="62"/>
    </row>
    <row r="91" ht="14.25" customHeight="1">
      <c r="Z91" s="62"/>
      <c r="AA91" s="62"/>
      <c r="AB91" s="62"/>
      <c r="AC91" s="62"/>
      <c r="AD91" s="62"/>
      <c r="AE91" s="62"/>
      <c r="AF91" s="62"/>
      <c r="AG91" s="62"/>
      <c r="AH91" s="62"/>
      <c r="AI91" s="62"/>
    </row>
    <row r="92" ht="14.25" customHeight="1">
      <c r="Z92" s="62"/>
      <c r="AA92" s="62"/>
      <c r="AB92" s="62"/>
      <c r="AC92" s="62"/>
      <c r="AD92" s="62"/>
      <c r="AE92" s="62"/>
      <c r="AF92" s="62"/>
      <c r="AG92" s="62"/>
      <c r="AH92" s="62"/>
      <c r="AI92" s="62"/>
    </row>
    <row r="93" ht="14.25" customHeight="1">
      <c r="Z93" s="62"/>
      <c r="AA93" s="62"/>
      <c r="AB93" s="62"/>
      <c r="AC93" s="62"/>
      <c r="AD93" s="62"/>
      <c r="AE93" s="62"/>
      <c r="AF93" s="62"/>
      <c r="AG93" s="62"/>
      <c r="AH93" s="62"/>
      <c r="AI93" s="62"/>
    </row>
    <row r="94" ht="14.25" customHeight="1">
      <c r="Z94" s="62"/>
      <c r="AA94" s="62"/>
      <c r="AB94" s="62"/>
      <c r="AC94" s="62"/>
      <c r="AD94" s="62"/>
      <c r="AE94" s="62"/>
      <c r="AF94" s="62"/>
      <c r="AG94" s="62"/>
      <c r="AH94" s="62"/>
      <c r="AI94" s="62"/>
    </row>
    <row r="95" ht="14.25" customHeight="1">
      <c r="Z95" s="62"/>
      <c r="AA95" s="62"/>
      <c r="AB95" s="62"/>
      <c r="AC95" s="62"/>
      <c r="AD95" s="62"/>
      <c r="AE95" s="62"/>
      <c r="AF95" s="62"/>
      <c r="AG95" s="62"/>
      <c r="AH95" s="62"/>
      <c r="AI95" s="62"/>
    </row>
    <row r="96" ht="14.25" customHeight="1">
      <c r="Z96" s="62"/>
      <c r="AA96" s="62"/>
      <c r="AB96" s="62"/>
      <c r="AC96" s="62"/>
      <c r="AD96" s="62"/>
      <c r="AE96" s="62"/>
      <c r="AF96" s="62"/>
      <c r="AG96" s="62"/>
      <c r="AH96" s="62"/>
      <c r="AI96" s="62"/>
    </row>
    <row r="97" ht="14.25" customHeight="1">
      <c r="Z97" s="62"/>
      <c r="AA97" s="62"/>
      <c r="AB97" s="62"/>
      <c r="AC97" s="62"/>
      <c r="AD97" s="62"/>
      <c r="AE97" s="62"/>
      <c r="AF97" s="62"/>
      <c r="AG97" s="62"/>
      <c r="AH97" s="62"/>
      <c r="AI97" s="62"/>
    </row>
    <row r="98" ht="14.25" customHeight="1">
      <c r="Z98" s="62"/>
      <c r="AA98" s="62"/>
      <c r="AB98" s="62"/>
      <c r="AC98" s="62"/>
      <c r="AD98" s="62"/>
      <c r="AE98" s="62"/>
      <c r="AF98" s="62"/>
      <c r="AG98" s="62"/>
      <c r="AH98" s="62"/>
      <c r="AI98" s="62"/>
    </row>
    <row r="99" ht="14.25" customHeight="1">
      <c r="Z99" s="62"/>
      <c r="AA99" s="62"/>
      <c r="AB99" s="62"/>
      <c r="AC99" s="62"/>
      <c r="AD99" s="62"/>
      <c r="AE99" s="62"/>
      <c r="AF99" s="62"/>
      <c r="AG99" s="62"/>
      <c r="AH99" s="62"/>
      <c r="AI99" s="62"/>
    </row>
    <row r="100" ht="14.25" customHeight="1">
      <c r="Z100" s="62"/>
      <c r="AA100" s="62"/>
      <c r="AB100" s="62"/>
      <c r="AC100" s="62"/>
      <c r="AD100" s="62"/>
      <c r="AE100" s="62"/>
      <c r="AF100" s="62"/>
      <c r="AG100" s="62"/>
      <c r="AH100" s="62"/>
      <c r="AI100" s="62"/>
    </row>
    <row r="101" ht="14.25" customHeight="1">
      <c r="Z101" s="62"/>
      <c r="AA101" s="62"/>
      <c r="AB101" s="62"/>
      <c r="AC101" s="62"/>
      <c r="AD101" s="62"/>
      <c r="AE101" s="62"/>
      <c r="AF101" s="62"/>
      <c r="AG101" s="62"/>
      <c r="AH101" s="62"/>
      <c r="AI101" s="62"/>
    </row>
    <row r="102" ht="14.25" customHeight="1">
      <c r="Z102" s="62"/>
      <c r="AA102" s="62"/>
      <c r="AB102" s="62"/>
      <c r="AC102" s="62"/>
      <c r="AD102" s="62"/>
      <c r="AE102" s="62"/>
      <c r="AF102" s="62"/>
      <c r="AG102" s="62"/>
      <c r="AH102" s="62"/>
      <c r="AI102" s="62"/>
    </row>
    <row r="103" ht="14.25" customHeight="1">
      <c r="Z103" s="62"/>
      <c r="AA103" s="62"/>
      <c r="AB103" s="62"/>
      <c r="AC103" s="62"/>
      <c r="AD103" s="62"/>
      <c r="AE103" s="62"/>
      <c r="AF103" s="62"/>
      <c r="AG103" s="62"/>
      <c r="AH103" s="62"/>
      <c r="AI103" s="62"/>
    </row>
    <row r="104" ht="14.25" customHeight="1">
      <c r="Z104" s="62"/>
      <c r="AA104" s="62"/>
      <c r="AB104" s="62"/>
      <c r="AC104" s="62"/>
      <c r="AD104" s="62"/>
      <c r="AE104" s="62"/>
      <c r="AF104" s="62"/>
      <c r="AG104" s="62"/>
      <c r="AH104" s="62"/>
      <c r="AI104" s="62"/>
    </row>
    <row r="105" ht="14.25" customHeight="1">
      <c r="Z105" s="62"/>
      <c r="AA105" s="62"/>
      <c r="AB105" s="62"/>
      <c r="AC105" s="62"/>
      <c r="AD105" s="62"/>
      <c r="AE105" s="62"/>
      <c r="AF105" s="62"/>
      <c r="AG105" s="62"/>
      <c r="AH105" s="62"/>
      <c r="AI105" s="62"/>
    </row>
    <row r="106" ht="14.25" customHeight="1">
      <c r="Z106" s="62"/>
      <c r="AA106" s="62"/>
      <c r="AB106" s="62"/>
      <c r="AC106" s="62"/>
      <c r="AD106" s="62"/>
      <c r="AE106" s="62"/>
      <c r="AF106" s="62"/>
      <c r="AG106" s="62"/>
      <c r="AH106" s="62"/>
      <c r="AI106" s="62"/>
    </row>
    <row r="107" ht="14.25" customHeight="1">
      <c r="Z107" s="62"/>
      <c r="AA107" s="62"/>
      <c r="AB107" s="62"/>
      <c r="AC107" s="62"/>
      <c r="AD107" s="62"/>
      <c r="AE107" s="62"/>
      <c r="AF107" s="62"/>
      <c r="AG107" s="62"/>
      <c r="AH107" s="62"/>
      <c r="AI107" s="62"/>
    </row>
    <row r="108" ht="14.25" customHeight="1">
      <c r="Z108" s="62"/>
      <c r="AA108" s="62"/>
      <c r="AB108" s="62"/>
      <c r="AC108" s="62"/>
      <c r="AD108" s="62"/>
      <c r="AE108" s="62"/>
      <c r="AF108" s="62"/>
      <c r="AG108" s="62"/>
      <c r="AH108" s="62"/>
      <c r="AI108" s="62"/>
    </row>
    <row r="109" ht="14.25" customHeight="1">
      <c r="Z109" s="62"/>
      <c r="AA109" s="62"/>
      <c r="AB109" s="62"/>
      <c r="AC109" s="62"/>
      <c r="AD109" s="62"/>
      <c r="AE109" s="62"/>
      <c r="AF109" s="62"/>
      <c r="AG109" s="62"/>
      <c r="AH109" s="62"/>
      <c r="AI109" s="62"/>
    </row>
    <row r="110" ht="14.25" customHeight="1">
      <c r="Z110" s="62"/>
      <c r="AA110" s="62"/>
      <c r="AB110" s="62"/>
      <c r="AC110" s="62"/>
      <c r="AD110" s="62"/>
      <c r="AE110" s="62"/>
      <c r="AF110" s="62"/>
      <c r="AG110" s="62"/>
      <c r="AH110" s="62"/>
      <c r="AI110" s="62"/>
    </row>
    <row r="111" ht="14.25" customHeight="1">
      <c r="Z111" s="62"/>
      <c r="AA111" s="62"/>
      <c r="AB111" s="62"/>
      <c r="AC111" s="62"/>
      <c r="AD111" s="62"/>
      <c r="AE111" s="62"/>
      <c r="AF111" s="62"/>
      <c r="AG111" s="62"/>
      <c r="AH111" s="62"/>
      <c r="AI111" s="62"/>
    </row>
    <row r="112" ht="14.25" customHeight="1">
      <c r="Z112" s="62"/>
      <c r="AA112" s="62"/>
      <c r="AB112" s="62"/>
      <c r="AC112" s="62"/>
      <c r="AD112" s="62"/>
      <c r="AE112" s="62"/>
      <c r="AF112" s="62"/>
      <c r="AG112" s="62"/>
      <c r="AH112" s="62"/>
      <c r="AI112" s="62"/>
    </row>
    <row r="113" ht="14.25" customHeight="1">
      <c r="Z113" s="62"/>
      <c r="AA113" s="62"/>
      <c r="AB113" s="62"/>
      <c r="AC113" s="62"/>
      <c r="AD113" s="62"/>
      <c r="AE113" s="62"/>
      <c r="AF113" s="62"/>
      <c r="AG113" s="62"/>
      <c r="AH113" s="62"/>
      <c r="AI113" s="62"/>
    </row>
    <row r="114" ht="14.25" customHeight="1">
      <c r="Z114" s="62"/>
      <c r="AA114" s="62"/>
      <c r="AB114" s="62"/>
      <c r="AC114" s="62"/>
      <c r="AD114" s="62"/>
      <c r="AE114" s="62"/>
      <c r="AF114" s="62"/>
      <c r="AG114" s="62"/>
      <c r="AH114" s="62"/>
      <c r="AI114" s="62"/>
    </row>
    <row r="115" ht="14.25" customHeight="1">
      <c r="Z115" s="62"/>
      <c r="AA115" s="62"/>
      <c r="AB115" s="62"/>
      <c r="AC115" s="62"/>
      <c r="AD115" s="62"/>
      <c r="AE115" s="62"/>
      <c r="AF115" s="62"/>
      <c r="AG115" s="62"/>
      <c r="AH115" s="62"/>
      <c r="AI115" s="62"/>
    </row>
    <row r="116" ht="14.25" customHeight="1">
      <c r="Z116" s="62"/>
      <c r="AA116" s="62"/>
      <c r="AB116" s="62"/>
      <c r="AC116" s="62"/>
      <c r="AD116" s="62"/>
      <c r="AE116" s="62"/>
      <c r="AF116" s="62"/>
      <c r="AG116" s="62"/>
      <c r="AH116" s="62"/>
      <c r="AI116" s="62"/>
    </row>
    <row r="117" ht="14.25" customHeight="1">
      <c r="Z117" s="62"/>
      <c r="AA117" s="62"/>
      <c r="AB117" s="62"/>
      <c r="AC117" s="62"/>
      <c r="AD117" s="62"/>
      <c r="AE117" s="62"/>
      <c r="AF117" s="62"/>
      <c r="AG117" s="62"/>
      <c r="AH117" s="62"/>
      <c r="AI117" s="62"/>
    </row>
    <row r="118" ht="14.25" customHeight="1">
      <c r="Z118" s="62"/>
      <c r="AA118" s="62"/>
      <c r="AB118" s="62"/>
      <c r="AC118" s="62"/>
      <c r="AD118" s="62"/>
      <c r="AE118" s="62"/>
      <c r="AF118" s="62"/>
      <c r="AG118" s="62"/>
      <c r="AH118" s="62"/>
      <c r="AI118" s="62"/>
    </row>
    <row r="119" ht="14.25" customHeight="1">
      <c r="Z119" s="62"/>
      <c r="AA119" s="62"/>
      <c r="AB119" s="62"/>
      <c r="AC119" s="62"/>
      <c r="AD119" s="62"/>
      <c r="AE119" s="62"/>
      <c r="AF119" s="62"/>
      <c r="AG119" s="62"/>
      <c r="AH119" s="62"/>
      <c r="AI119" s="62"/>
    </row>
    <row r="120" ht="14.25" customHeight="1">
      <c r="Z120" s="62"/>
      <c r="AA120" s="62"/>
      <c r="AB120" s="62"/>
      <c r="AC120" s="62"/>
      <c r="AD120" s="62"/>
      <c r="AE120" s="62"/>
      <c r="AF120" s="62"/>
      <c r="AG120" s="62"/>
      <c r="AH120" s="62"/>
      <c r="AI120" s="62"/>
    </row>
    <row r="121" ht="14.25" customHeight="1">
      <c r="Z121" s="62"/>
      <c r="AA121" s="62"/>
      <c r="AB121" s="62"/>
      <c r="AC121" s="62"/>
      <c r="AD121" s="62"/>
      <c r="AE121" s="62"/>
      <c r="AF121" s="62"/>
      <c r="AG121" s="62"/>
      <c r="AH121" s="62"/>
      <c r="AI121" s="62"/>
    </row>
    <row r="122" ht="14.25" customHeight="1">
      <c r="Z122" s="62"/>
      <c r="AA122" s="62"/>
      <c r="AB122" s="62"/>
      <c r="AC122" s="62"/>
      <c r="AD122" s="62"/>
      <c r="AE122" s="62"/>
      <c r="AF122" s="62"/>
      <c r="AG122" s="62"/>
      <c r="AH122" s="62"/>
      <c r="AI122" s="62"/>
    </row>
    <row r="123" ht="14.25" customHeight="1">
      <c r="Z123" s="62"/>
      <c r="AA123" s="62"/>
      <c r="AB123" s="62"/>
      <c r="AC123" s="62"/>
      <c r="AD123" s="62"/>
      <c r="AE123" s="62"/>
      <c r="AF123" s="62"/>
      <c r="AG123" s="62"/>
      <c r="AH123" s="62"/>
      <c r="AI123" s="62"/>
    </row>
    <row r="124" ht="14.25" customHeight="1">
      <c r="Z124" s="62"/>
      <c r="AA124" s="62"/>
      <c r="AB124" s="62"/>
      <c r="AC124" s="62"/>
      <c r="AD124" s="62"/>
      <c r="AE124" s="62"/>
      <c r="AF124" s="62"/>
      <c r="AG124" s="62"/>
      <c r="AH124" s="62"/>
      <c r="AI124" s="62"/>
    </row>
    <row r="125" ht="14.25" customHeight="1">
      <c r="Z125" s="62"/>
      <c r="AA125" s="62"/>
      <c r="AB125" s="62"/>
      <c r="AC125" s="62"/>
      <c r="AD125" s="62"/>
      <c r="AE125" s="62"/>
      <c r="AF125" s="62"/>
      <c r="AG125" s="62"/>
      <c r="AH125" s="62"/>
      <c r="AI125" s="62"/>
    </row>
    <row r="126" ht="14.25" customHeight="1">
      <c r="Z126" s="62"/>
      <c r="AA126" s="62"/>
      <c r="AB126" s="62"/>
      <c r="AC126" s="62"/>
      <c r="AD126" s="62"/>
      <c r="AE126" s="62"/>
      <c r="AF126" s="62"/>
      <c r="AG126" s="62"/>
      <c r="AH126" s="62"/>
      <c r="AI126" s="62"/>
    </row>
    <row r="127" ht="14.25" customHeight="1">
      <c r="Z127" s="62"/>
      <c r="AA127" s="62"/>
      <c r="AB127" s="62"/>
      <c r="AC127" s="62"/>
      <c r="AD127" s="62"/>
      <c r="AE127" s="62"/>
      <c r="AF127" s="62"/>
      <c r="AG127" s="62"/>
      <c r="AH127" s="62"/>
      <c r="AI127" s="62"/>
    </row>
    <row r="128" ht="14.25" customHeight="1">
      <c r="Z128" s="62"/>
      <c r="AA128" s="62"/>
      <c r="AB128" s="62"/>
      <c r="AC128" s="62"/>
      <c r="AD128" s="62"/>
      <c r="AE128" s="62"/>
      <c r="AF128" s="62"/>
      <c r="AG128" s="62"/>
      <c r="AH128" s="62"/>
      <c r="AI128" s="62"/>
    </row>
    <row r="129" ht="14.25" customHeight="1">
      <c r="Z129" s="62"/>
      <c r="AA129" s="62"/>
      <c r="AB129" s="62"/>
      <c r="AC129" s="62"/>
      <c r="AD129" s="62"/>
      <c r="AE129" s="62"/>
      <c r="AF129" s="62"/>
      <c r="AG129" s="62"/>
      <c r="AH129" s="62"/>
      <c r="AI129" s="62"/>
    </row>
    <row r="130" ht="14.25" customHeight="1">
      <c r="Z130" s="62"/>
      <c r="AA130" s="62"/>
      <c r="AB130" s="62"/>
      <c r="AC130" s="62"/>
      <c r="AD130" s="62"/>
      <c r="AE130" s="62"/>
      <c r="AF130" s="62"/>
      <c r="AG130" s="62"/>
      <c r="AH130" s="62"/>
      <c r="AI130" s="62"/>
    </row>
    <row r="131" ht="14.25" customHeight="1">
      <c r="Z131" s="62"/>
      <c r="AA131" s="62"/>
      <c r="AB131" s="62"/>
      <c r="AC131" s="62"/>
      <c r="AD131" s="62"/>
      <c r="AE131" s="62"/>
      <c r="AF131" s="62"/>
      <c r="AG131" s="62"/>
      <c r="AH131" s="62"/>
      <c r="AI131" s="62"/>
    </row>
    <row r="132" ht="14.25" customHeight="1">
      <c r="Z132" s="62"/>
      <c r="AA132" s="62"/>
      <c r="AB132" s="62"/>
      <c r="AC132" s="62"/>
      <c r="AD132" s="62"/>
      <c r="AE132" s="62"/>
      <c r="AF132" s="62"/>
      <c r="AG132" s="62"/>
      <c r="AH132" s="62"/>
      <c r="AI132" s="62"/>
    </row>
    <row r="133" ht="14.25" customHeight="1">
      <c r="Z133" s="62"/>
      <c r="AA133" s="62"/>
      <c r="AB133" s="62"/>
      <c r="AC133" s="62"/>
      <c r="AD133" s="62"/>
      <c r="AE133" s="62"/>
      <c r="AF133" s="62"/>
      <c r="AG133" s="62"/>
      <c r="AH133" s="62"/>
      <c r="AI133" s="62"/>
    </row>
    <row r="134" ht="14.25" customHeight="1">
      <c r="Z134" s="62"/>
      <c r="AA134" s="62"/>
      <c r="AB134" s="62"/>
      <c r="AC134" s="62"/>
      <c r="AD134" s="62"/>
      <c r="AE134" s="62"/>
      <c r="AF134" s="62"/>
      <c r="AG134" s="62"/>
      <c r="AH134" s="62"/>
      <c r="AI134" s="62"/>
    </row>
    <row r="135" ht="14.25" customHeight="1">
      <c r="Z135" s="62"/>
      <c r="AA135" s="62"/>
      <c r="AB135" s="62"/>
      <c r="AC135" s="62"/>
      <c r="AD135" s="62"/>
      <c r="AE135" s="62"/>
      <c r="AF135" s="62"/>
      <c r="AG135" s="62"/>
      <c r="AH135" s="62"/>
      <c r="AI135" s="62"/>
    </row>
    <row r="136" ht="14.25" customHeight="1">
      <c r="Z136" s="62"/>
      <c r="AA136" s="62"/>
      <c r="AB136" s="62"/>
      <c r="AC136" s="62"/>
      <c r="AD136" s="62"/>
      <c r="AE136" s="62"/>
      <c r="AF136" s="62"/>
      <c r="AG136" s="62"/>
      <c r="AH136" s="62"/>
      <c r="AI136" s="62"/>
    </row>
    <row r="137" ht="14.25" customHeight="1">
      <c r="Z137" s="62"/>
      <c r="AA137" s="62"/>
      <c r="AB137" s="62"/>
      <c r="AC137" s="62"/>
      <c r="AD137" s="62"/>
      <c r="AE137" s="62"/>
      <c r="AF137" s="62"/>
      <c r="AG137" s="62"/>
      <c r="AH137" s="62"/>
      <c r="AI137" s="62"/>
    </row>
    <row r="138" ht="14.25" customHeight="1">
      <c r="Z138" s="62"/>
      <c r="AA138" s="62"/>
      <c r="AB138" s="62"/>
      <c r="AC138" s="62"/>
      <c r="AD138" s="62"/>
      <c r="AE138" s="62"/>
      <c r="AF138" s="62"/>
      <c r="AG138" s="62"/>
      <c r="AH138" s="62"/>
      <c r="AI138" s="62"/>
    </row>
    <row r="139" ht="14.25" customHeight="1">
      <c r="Z139" s="62"/>
      <c r="AA139" s="62"/>
      <c r="AB139" s="62"/>
      <c r="AC139" s="62"/>
      <c r="AD139" s="62"/>
      <c r="AE139" s="62"/>
      <c r="AF139" s="62"/>
      <c r="AG139" s="62"/>
      <c r="AH139" s="62"/>
      <c r="AI139" s="62"/>
    </row>
    <row r="140" ht="14.25" customHeight="1">
      <c r="Z140" s="62"/>
      <c r="AA140" s="62"/>
      <c r="AB140" s="62"/>
      <c r="AC140" s="62"/>
      <c r="AD140" s="62"/>
      <c r="AE140" s="62"/>
      <c r="AF140" s="62"/>
      <c r="AG140" s="62"/>
      <c r="AH140" s="62"/>
      <c r="AI140" s="62"/>
    </row>
    <row r="141" ht="14.25" customHeight="1">
      <c r="Z141" s="62"/>
      <c r="AA141" s="62"/>
      <c r="AB141" s="62"/>
      <c r="AC141" s="62"/>
      <c r="AD141" s="62"/>
      <c r="AE141" s="62"/>
      <c r="AF141" s="62"/>
      <c r="AG141" s="62"/>
      <c r="AH141" s="62"/>
      <c r="AI141" s="62"/>
    </row>
    <row r="142" ht="14.25" customHeight="1">
      <c r="Z142" s="62"/>
      <c r="AA142" s="62"/>
      <c r="AB142" s="62"/>
      <c r="AC142" s="62"/>
      <c r="AD142" s="62"/>
      <c r="AE142" s="62"/>
      <c r="AF142" s="62"/>
      <c r="AG142" s="62"/>
      <c r="AH142" s="62"/>
      <c r="AI142" s="62"/>
    </row>
    <row r="143" ht="14.25" customHeight="1">
      <c r="Z143" s="62"/>
      <c r="AA143" s="62"/>
      <c r="AB143" s="62"/>
      <c r="AC143" s="62"/>
      <c r="AD143" s="62"/>
      <c r="AE143" s="62"/>
      <c r="AF143" s="62"/>
      <c r="AG143" s="62"/>
      <c r="AH143" s="62"/>
      <c r="AI143" s="62"/>
    </row>
    <row r="144" ht="14.25" customHeight="1">
      <c r="Z144" s="62"/>
      <c r="AA144" s="62"/>
      <c r="AB144" s="62"/>
      <c r="AC144" s="62"/>
      <c r="AD144" s="62"/>
      <c r="AE144" s="62"/>
      <c r="AF144" s="62"/>
      <c r="AG144" s="62"/>
      <c r="AH144" s="62"/>
      <c r="AI144" s="62"/>
    </row>
    <row r="145" ht="14.25" customHeight="1">
      <c r="Z145" s="62"/>
      <c r="AA145" s="62"/>
      <c r="AB145" s="62"/>
      <c r="AC145" s="62"/>
      <c r="AD145" s="62"/>
      <c r="AE145" s="62"/>
      <c r="AF145" s="62"/>
      <c r="AG145" s="62"/>
      <c r="AH145" s="62"/>
      <c r="AI145" s="62"/>
    </row>
    <row r="146" ht="14.25" customHeight="1">
      <c r="Z146" s="62"/>
      <c r="AA146" s="62"/>
      <c r="AB146" s="62"/>
      <c r="AC146" s="62"/>
      <c r="AD146" s="62"/>
      <c r="AE146" s="62"/>
      <c r="AF146" s="62"/>
      <c r="AG146" s="62"/>
      <c r="AH146" s="62"/>
      <c r="AI146" s="62"/>
    </row>
    <row r="147" ht="14.25" customHeight="1">
      <c r="Z147" s="62"/>
      <c r="AA147" s="62"/>
      <c r="AB147" s="62"/>
      <c r="AC147" s="62"/>
      <c r="AD147" s="62"/>
      <c r="AE147" s="62"/>
      <c r="AF147" s="62"/>
      <c r="AG147" s="62"/>
      <c r="AH147" s="62"/>
      <c r="AI147" s="62"/>
    </row>
    <row r="148" ht="14.25" customHeight="1">
      <c r="Z148" s="62"/>
      <c r="AA148" s="62"/>
      <c r="AB148" s="62"/>
      <c r="AC148" s="62"/>
      <c r="AD148" s="62"/>
      <c r="AE148" s="62"/>
      <c r="AF148" s="62"/>
      <c r="AG148" s="62"/>
      <c r="AH148" s="62"/>
      <c r="AI148" s="62"/>
    </row>
    <row r="149" ht="14.25" customHeight="1">
      <c r="Z149" s="62"/>
      <c r="AA149" s="62"/>
      <c r="AB149" s="62"/>
      <c r="AC149" s="62"/>
      <c r="AD149" s="62"/>
      <c r="AE149" s="62"/>
      <c r="AF149" s="62"/>
      <c r="AG149" s="62"/>
      <c r="AH149" s="62"/>
      <c r="AI149" s="62"/>
    </row>
    <row r="150" ht="14.25" customHeight="1">
      <c r="Z150" s="62"/>
      <c r="AA150" s="62"/>
      <c r="AB150" s="62"/>
      <c r="AC150" s="62"/>
      <c r="AD150" s="62"/>
      <c r="AE150" s="62"/>
      <c r="AF150" s="62"/>
      <c r="AG150" s="62"/>
      <c r="AH150" s="62"/>
      <c r="AI150" s="62"/>
    </row>
    <row r="151" ht="14.25" customHeight="1">
      <c r="Z151" s="62"/>
      <c r="AA151" s="62"/>
      <c r="AB151" s="62"/>
      <c r="AC151" s="62"/>
      <c r="AD151" s="62"/>
      <c r="AE151" s="62"/>
      <c r="AF151" s="62"/>
      <c r="AG151" s="62"/>
      <c r="AH151" s="62"/>
      <c r="AI151" s="62"/>
    </row>
    <row r="152" ht="14.25" customHeight="1">
      <c r="Z152" s="62"/>
      <c r="AA152" s="62"/>
      <c r="AB152" s="62"/>
      <c r="AC152" s="62"/>
      <c r="AD152" s="62"/>
      <c r="AE152" s="62"/>
      <c r="AF152" s="62"/>
      <c r="AG152" s="62"/>
      <c r="AH152" s="62"/>
      <c r="AI152" s="62"/>
    </row>
    <row r="153" ht="14.25" customHeight="1">
      <c r="Z153" s="62"/>
      <c r="AA153" s="62"/>
      <c r="AB153" s="62"/>
      <c r="AC153" s="62"/>
      <c r="AD153" s="62"/>
      <c r="AE153" s="62"/>
      <c r="AF153" s="62"/>
      <c r="AG153" s="62"/>
      <c r="AH153" s="62"/>
      <c r="AI153" s="62"/>
    </row>
    <row r="154" ht="14.25" customHeight="1">
      <c r="Z154" s="62"/>
      <c r="AA154" s="62"/>
      <c r="AB154" s="62"/>
      <c r="AC154" s="62"/>
      <c r="AD154" s="62"/>
      <c r="AE154" s="62"/>
      <c r="AF154" s="62"/>
      <c r="AG154" s="62"/>
      <c r="AH154" s="62"/>
      <c r="AI154" s="62"/>
    </row>
    <row r="155" ht="14.25" customHeight="1">
      <c r="Z155" s="62"/>
      <c r="AA155" s="62"/>
      <c r="AB155" s="62"/>
      <c r="AC155" s="62"/>
      <c r="AD155" s="62"/>
      <c r="AE155" s="62"/>
      <c r="AF155" s="62"/>
      <c r="AG155" s="62"/>
      <c r="AH155" s="62"/>
      <c r="AI155" s="62"/>
    </row>
    <row r="156" ht="14.25" customHeight="1">
      <c r="Z156" s="62"/>
      <c r="AA156" s="62"/>
      <c r="AB156" s="62"/>
      <c r="AC156" s="62"/>
      <c r="AD156" s="62"/>
      <c r="AE156" s="62"/>
      <c r="AF156" s="62"/>
      <c r="AG156" s="62"/>
      <c r="AH156" s="62"/>
      <c r="AI156" s="62"/>
    </row>
    <row r="157" ht="14.25" customHeight="1">
      <c r="Z157" s="62"/>
      <c r="AA157" s="62"/>
      <c r="AB157" s="62"/>
      <c r="AC157" s="62"/>
      <c r="AD157" s="62"/>
      <c r="AE157" s="62"/>
      <c r="AF157" s="62"/>
      <c r="AG157" s="62"/>
      <c r="AH157" s="62"/>
      <c r="AI157" s="62"/>
    </row>
    <row r="158" ht="14.25" customHeight="1">
      <c r="Z158" s="62"/>
      <c r="AA158" s="62"/>
      <c r="AB158" s="62"/>
      <c r="AC158" s="62"/>
      <c r="AD158" s="62"/>
      <c r="AE158" s="62"/>
      <c r="AF158" s="62"/>
      <c r="AG158" s="62"/>
      <c r="AH158" s="62"/>
      <c r="AI158" s="62"/>
    </row>
    <row r="159" ht="14.25" customHeight="1">
      <c r="Z159" s="62"/>
      <c r="AA159" s="62"/>
      <c r="AB159" s="62"/>
      <c r="AC159" s="62"/>
      <c r="AD159" s="62"/>
      <c r="AE159" s="62"/>
      <c r="AF159" s="62"/>
      <c r="AG159" s="62"/>
      <c r="AH159" s="62"/>
      <c r="AI159" s="62"/>
    </row>
    <row r="160" ht="14.25" customHeight="1">
      <c r="Z160" s="62"/>
      <c r="AA160" s="62"/>
      <c r="AB160" s="62"/>
      <c r="AC160" s="62"/>
      <c r="AD160" s="62"/>
      <c r="AE160" s="62"/>
      <c r="AF160" s="62"/>
      <c r="AG160" s="62"/>
      <c r="AH160" s="62"/>
      <c r="AI160" s="62"/>
    </row>
    <row r="161" ht="14.25" customHeight="1">
      <c r="Z161" s="62"/>
      <c r="AA161" s="62"/>
      <c r="AB161" s="62"/>
      <c r="AC161" s="62"/>
      <c r="AD161" s="62"/>
      <c r="AE161" s="62"/>
      <c r="AF161" s="62"/>
      <c r="AG161" s="62"/>
      <c r="AH161" s="62"/>
      <c r="AI161" s="62"/>
    </row>
    <row r="162" ht="14.25" customHeight="1">
      <c r="Z162" s="62"/>
      <c r="AA162" s="62"/>
      <c r="AB162" s="62"/>
      <c r="AC162" s="62"/>
      <c r="AD162" s="62"/>
      <c r="AE162" s="62"/>
      <c r="AF162" s="62"/>
      <c r="AG162" s="62"/>
      <c r="AH162" s="62"/>
      <c r="AI162" s="62"/>
    </row>
    <row r="163" ht="14.25" customHeight="1">
      <c r="Z163" s="62"/>
      <c r="AA163" s="62"/>
      <c r="AB163" s="62"/>
      <c r="AC163" s="62"/>
      <c r="AD163" s="62"/>
      <c r="AE163" s="62"/>
      <c r="AF163" s="62"/>
      <c r="AG163" s="62"/>
      <c r="AH163" s="62"/>
      <c r="AI163" s="62"/>
    </row>
    <row r="164" ht="14.25" customHeight="1">
      <c r="Z164" s="62"/>
      <c r="AA164" s="62"/>
      <c r="AB164" s="62"/>
      <c r="AC164" s="62"/>
      <c r="AD164" s="62"/>
      <c r="AE164" s="62"/>
      <c r="AF164" s="62"/>
      <c r="AG164" s="62"/>
      <c r="AH164" s="62"/>
      <c r="AI164" s="62"/>
    </row>
    <row r="165" ht="14.25" customHeight="1">
      <c r="Z165" s="62"/>
      <c r="AA165" s="62"/>
      <c r="AB165" s="62"/>
      <c r="AC165" s="62"/>
      <c r="AD165" s="62"/>
      <c r="AE165" s="62"/>
      <c r="AF165" s="62"/>
      <c r="AG165" s="62"/>
      <c r="AH165" s="62"/>
      <c r="AI165" s="62"/>
    </row>
    <row r="166" ht="14.25" customHeight="1">
      <c r="Z166" s="62"/>
      <c r="AA166" s="62"/>
      <c r="AB166" s="62"/>
      <c r="AC166" s="62"/>
      <c r="AD166" s="62"/>
      <c r="AE166" s="62"/>
      <c r="AF166" s="62"/>
      <c r="AG166" s="62"/>
      <c r="AH166" s="62"/>
      <c r="AI166" s="62"/>
    </row>
    <row r="167" ht="14.25" customHeight="1">
      <c r="Z167" s="62"/>
      <c r="AA167" s="62"/>
      <c r="AB167" s="62"/>
      <c r="AC167" s="62"/>
      <c r="AD167" s="62"/>
      <c r="AE167" s="62"/>
      <c r="AF167" s="62"/>
      <c r="AG167" s="62"/>
      <c r="AH167" s="62"/>
      <c r="AI167" s="62"/>
    </row>
    <row r="168" ht="14.25" customHeight="1">
      <c r="Z168" s="62"/>
      <c r="AA168" s="62"/>
      <c r="AB168" s="62"/>
      <c r="AC168" s="62"/>
      <c r="AD168" s="62"/>
      <c r="AE168" s="62"/>
      <c r="AF168" s="62"/>
      <c r="AG168" s="62"/>
      <c r="AH168" s="62"/>
      <c r="AI168" s="62"/>
    </row>
    <row r="169" ht="14.25" customHeight="1">
      <c r="Z169" s="62"/>
      <c r="AA169" s="62"/>
      <c r="AB169" s="62"/>
      <c r="AC169" s="62"/>
      <c r="AD169" s="62"/>
      <c r="AE169" s="62"/>
      <c r="AF169" s="62"/>
      <c r="AG169" s="62"/>
      <c r="AH169" s="62"/>
      <c r="AI169" s="62"/>
    </row>
    <row r="170" ht="14.25" customHeight="1">
      <c r="Z170" s="62"/>
      <c r="AA170" s="62"/>
      <c r="AB170" s="62"/>
      <c r="AC170" s="62"/>
      <c r="AD170" s="62"/>
      <c r="AE170" s="62"/>
      <c r="AF170" s="62"/>
      <c r="AG170" s="62"/>
      <c r="AH170" s="62"/>
      <c r="AI170" s="62"/>
    </row>
    <row r="171" ht="14.25" customHeight="1">
      <c r="Z171" s="62"/>
      <c r="AA171" s="62"/>
      <c r="AB171" s="62"/>
      <c r="AC171" s="62"/>
      <c r="AD171" s="62"/>
      <c r="AE171" s="62"/>
      <c r="AF171" s="62"/>
      <c r="AG171" s="62"/>
      <c r="AH171" s="62"/>
      <c r="AI171" s="62"/>
    </row>
    <row r="172" ht="14.25" customHeight="1">
      <c r="Z172" s="62"/>
      <c r="AA172" s="62"/>
      <c r="AB172" s="62"/>
      <c r="AC172" s="62"/>
      <c r="AD172" s="62"/>
      <c r="AE172" s="62"/>
      <c r="AF172" s="62"/>
      <c r="AG172" s="62"/>
      <c r="AH172" s="62"/>
      <c r="AI172" s="62"/>
    </row>
    <row r="173" ht="14.25" customHeight="1">
      <c r="Z173" s="62"/>
      <c r="AA173" s="62"/>
      <c r="AB173" s="62"/>
      <c r="AC173" s="62"/>
      <c r="AD173" s="62"/>
      <c r="AE173" s="62"/>
      <c r="AF173" s="62"/>
      <c r="AG173" s="62"/>
      <c r="AH173" s="62"/>
      <c r="AI173" s="62"/>
    </row>
    <row r="174" ht="14.25" customHeight="1">
      <c r="Z174" s="62"/>
      <c r="AA174" s="62"/>
      <c r="AB174" s="62"/>
      <c r="AC174" s="62"/>
      <c r="AD174" s="62"/>
      <c r="AE174" s="62"/>
      <c r="AF174" s="62"/>
      <c r="AG174" s="62"/>
      <c r="AH174" s="62"/>
      <c r="AI174" s="62"/>
    </row>
    <row r="175" ht="14.25" customHeight="1">
      <c r="Z175" s="62"/>
      <c r="AA175" s="62"/>
      <c r="AB175" s="62"/>
      <c r="AC175" s="62"/>
      <c r="AD175" s="62"/>
      <c r="AE175" s="62"/>
      <c r="AF175" s="62"/>
      <c r="AG175" s="62"/>
      <c r="AH175" s="62"/>
      <c r="AI175" s="62"/>
    </row>
    <row r="176" ht="14.25" customHeight="1">
      <c r="Z176" s="62"/>
      <c r="AA176" s="62"/>
      <c r="AB176" s="62"/>
      <c r="AC176" s="62"/>
      <c r="AD176" s="62"/>
      <c r="AE176" s="62"/>
      <c r="AF176" s="62"/>
      <c r="AG176" s="62"/>
      <c r="AH176" s="62"/>
      <c r="AI176" s="62"/>
    </row>
    <row r="177" ht="14.25" customHeight="1">
      <c r="Z177" s="62"/>
      <c r="AA177" s="62"/>
      <c r="AB177" s="62"/>
      <c r="AC177" s="62"/>
      <c r="AD177" s="62"/>
      <c r="AE177" s="62"/>
      <c r="AF177" s="62"/>
      <c r="AG177" s="62"/>
      <c r="AH177" s="62"/>
      <c r="AI177" s="62"/>
    </row>
    <row r="178" ht="14.25" customHeight="1">
      <c r="Z178" s="62"/>
      <c r="AA178" s="62"/>
      <c r="AB178" s="62"/>
      <c r="AC178" s="62"/>
      <c r="AD178" s="62"/>
      <c r="AE178" s="62"/>
      <c r="AF178" s="62"/>
      <c r="AG178" s="62"/>
      <c r="AH178" s="62"/>
      <c r="AI178" s="62"/>
    </row>
    <row r="179" ht="14.25" customHeight="1">
      <c r="Z179" s="62"/>
      <c r="AA179" s="62"/>
      <c r="AB179" s="62"/>
      <c r="AC179" s="62"/>
      <c r="AD179" s="62"/>
      <c r="AE179" s="62"/>
      <c r="AF179" s="62"/>
      <c r="AG179" s="62"/>
      <c r="AH179" s="62"/>
      <c r="AI179" s="62"/>
    </row>
    <row r="180" ht="14.25" customHeight="1">
      <c r="Z180" s="62"/>
      <c r="AA180" s="62"/>
      <c r="AB180" s="62"/>
      <c r="AC180" s="62"/>
      <c r="AD180" s="62"/>
      <c r="AE180" s="62"/>
      <c r="AF180" s="62"/>
      <c r="AG180" s="62"/>
      <c r="AH180" s="62"/>
      <c r="AI180" s="62"/>
    </row>
    <row r="181" ht="14.25" customHeight="1">
      <c r="Z181" s="62"/>
      <c r="AA181" s="62"/>
      <c r="AB181" s="62"/>
      <c r="AC181" s="62"/>
      <c r="AD181" s="62"/>
      <c r="AE181" s="62"/>
      <c r="AF181" s="62"/>
      <c r="AG181" s="62"/>
      <c r="AH181" s="62"/>
      <c r="AI181" s="62"/>
    </row>
    <row r="182" ht="14.25" customHeight="1">
      <c r="Z182" s="62"/>
      <c r="AA182" s="62"/>
      <c r="AB182" s="62"/>
      <c r="AC182" s="62"/>
      <c r="AD182" s="62"/>
      <c r="AE182" s="62"/>
      <c r="AF182" s="62"/>
      <c r="AG182" s="62"/>
      <c r="AH182" s="62"/>
      <c r="AI182" s="62"/>
    </row>
    <row r="183" ht="14.25" customHeight="1">
      <c r="Z183" s="62"/>
      <c r="AA183" s="62"/>
      <c r="AB183" s="62"/>
      <c r="AC183" s="62"/>
      <c r="AD183" s="62"/>
      <c r="AE183" s="62"/>
      <c r="AF183" s="62"/>
      <c r="AG183" s="62"/>
      <c r="AH183" s="62"/>
      <c r="AI183" s="62"/>
    </row>
    <row r="184" ht="14.25" customHeight="1">
      <c r="Z184" s="62"/>
      <c r="AA184" s="62"/>
      <c r="AB184" s="62"/>
      <c r="AC184" s="62"/>
      <c r="AD184" s="62"/>
      <c r="AE184" s="62"/>
      <c r="AF184" s="62"/>
      <c r="AG184" s="62"/>
      <c r="AH184" s="62"/>
      <c r="AI184" s="62"/>
    </row>
    <row r="185" ht="14.25" customHeight="1">
      <c r="Z185" s="62"/>
      <c r="AA185" s="62"/>
      <c r="AB185" s="62"/>
      <c r="AC185" s="62"/>
      <c r="AD185" s="62"/>
      <c r="AE185" s="62"/>
      <c r="AF185" s="62"/>
      <c r="AG185" s="62"/>
      <c r="AH185" s="62"/>
      <c r="AI185" s="62"/>
    </row>
    <row r="186" ht="14.25" customHeight="1">
      <c r="Z186" s="62"/>
      <c r="AA186" s="62"/>
      <c r="AB186" s="62"/>
      <c r="AC186" s="62"/>
      <c r="AD186" s="62"/>
      <c r="AE186" s="62"/>
      <c r="AF186" s="62"/>
      <c r="AG186" s="62"/>
      <c r="AH186" s="62"/>
      <c r="AI186" s="62"/>
    </row>
    <row r="187" ht="14.25" customHeight="1">
      <c r="Z187" s="62"/>
      <c r="AA187" s="62"/>
      <c r="AB187" s="62"/>
      <c r="AC187" s="62"/>
      <c r="AD187" s="62"/>
      <c r="AE187" s="62"/>
      <c r="AF187" s="62"/>
      <c r="AG187" s="62"/>
      <c r="AH187" s="62"/>
      <c r="AI187" s="62"/>
    </row>
    <row r="188" ht="14.25" customHeight="1">
      <c r="Z188" s="62"/>
      <c r="AA188" s="62"/>
      <c r="AB188" s="62"/>
      <c r="AC188" s="62"/>
      <c r="AD188" s="62"/>
      <c r="AE188" s="62"/>
      <c r="AF188" s="62"/>
      <c r="AG188" s="62"/>
      <c r="AH188" s="62"/>
      <c r="AI188" s="62"/>
    </row>
    <row r="189" ht="14.25" customHeight="1">
      <c r="Z189" s="62"/>
      <c r="AA189" s="62"/>
      <c r="AB189" s="62"/>
      <c r="AC189" s="62"/>
      <c r="AD189" s="62"/>
      <c r="AE189" s="62"/>
      <c r="AF189" s="62"/>
      <c r="AG189" s="62"/>
      <c r="AH189" s="62"/>
      <c r="AI189" s="62"/>
    </row>
    <row r="190" ht="14.25" customHeight="1">
      <c r="Z190" s="62"/>
      <c r="AA190" s="62"/>
      <c r="AB190" s="62"/>
      <c r="AC190" s="62"/>
      <c r="AD190" s="62"/>
      <c r="AE190" s="62"/>
      <c r="AF190" s="62"/>
      <c r="AG190" s="62"/>
      <c r="AH190" s="62"/>
      <c r="AI190" s="62"/>
    </row>
    <row r="191" ht="14.25" customHeight="1">
      <c r="Z191" s="62"/>
      <c r="AA191" s="62"/>
      <c r="AB191" s="62"/>
      <c r="AC191" s="62"/>
      <c r="AD191" s="62"/>
      <c r="AE191" s="62"/>
      <c r="AF191" s="62"/>
      <c r="AG191" s="62"/>
      <c r="AH191" s="62"/>
      <c r="AI191" s="62"/>
    </row>
    <row r="192" ht="14.25" customHeight="1">
      <c r="Z192" s="62"/>
      <c r="AA192" s="62"/>
      <c r="AB192" s="62"/>
      <c r="AC192" s="62"/>
      <c r="AD192" s="62"/>
      <c r="AE192" s="62"/>
      <c r="AF192" s="62"/>
      <c r="AG192" s="62"/>
      <c r="AH192" s="62"/>
      <c r="AI192" s="62"/>
    </row>
    <row r="193" ht="14.25" customHeight="1">
      <c r="Z193" s="62"/>
      <c r="AA193" s="62"/>
      <c r="AB193" s="62"/>
      <c r="AC193" s="62"/>
      <c r="AD193" s="62"/>
      <c r="AE193" s="62"/>
      <c r="AF193" s="62"/>
      <c r="AG193" s="62"/>
      <c r="AH193" s="62"/>
      <c r="AI193" s="62"/>
    </row>
    <row r="194" ht="14.25" customHeight="1">
      <c r="Z194" s="62"/>
      <c r="AA194" s="62"/>
      <c r="AB194" s="62"/>
      <c r="AC194" s="62"/>
      <c r="AD194" s="62"/>
      <c r="AE194" s="62"/>
      <c r="AF194" s="62"/>
      <c r="AG194" s="62"/>
      <c r="AH194" s="62"/>
      <c r="AI194" s="62"/>
    </row>
    <row r="195" ht="14.25" customHeight="1">
      <c r="Z195" s="62"/>
      <c r="AA195" s="62"/>
      <c r="AB195" s="62"/>
      <c r="AC195" s="62"/>
      <c r="AD195" s="62"/>
      <c r="AE195" s="62"/>
      <c r="AF195" s="62"/>
      <c r="AG195" s="62"/>
      <c r="AH195" s="62"/>
      <c r="AI195" s="62"/>
    </row>
    <row r="196" ht="14.25" customHeight="1">
      <c r="Z196" s="62"/>
      <c r="AA196" s="62"/>
      <c r="AB196" s="62"/>
      <c r="AC196" s="62"/>
      <c r="AD196" s="62"/>
      <c r="AE196" s="62"/>
      <c r="AF196" s="62"/>
      <c r="AG196" s="62"/>
      <c r="AH196" s="62"/>
      <c r="AI196" s="62"/>
    </row>
    <row r="197" ht="14.25" customHeight="1">
      <c r="Z197" s="62"/>
      <c r="AA197" s="62"/>
      <c r="AB197" s="62"/>
      <c r="AC197" s="62"/>
      <c r="AD197" s="62"/>
      <c r="AE197" s="62"/>
      <c r="AF197" s="62"/>
      <c r="AG197" s="62"/>
      <c r="AH197" s="62"/>
      <c r="AI197" s="62"/>
    </row>
    <row r="198" ht="14.25" customHeight="1">
      <c r="Z198" s="62"/>
      <c r="AA198" s="62"/>
      <c r="AB198" s="62"/>
      <c r="AC198" s="62"/>
      <c r="AD198" s="62"/>
      <c r="AE198" s="62"/>
      <c r="AF198" s="62"/>
      <c r="AG198" s="62"/>
      <c r="AH198" s="62"/>
      <c r="AI198" s="62"/>
    </row>
    <row r="199" ht="14.25" customHeight="1">
      <c r="Z199" s="62"/>
      <c r="AA199" s="62"/>
      <c r="AB199" s="62"/>
      <c r="AC199" s="62"/>
      <c r="AD199" s="62"/>
      <c r="AE199" s="62"/>
      <c r="AF199" s="62"/>
      <c r="AG199" s="62"/>
      <c r="AH199" s="62"/>
      <c r="AI199" s="62"/>
    </row>
    <row r="200" ht="14.25" customHeight="1">
      <c r="Z200" s="62"/>
      <c r="AA200" s="62"/>
      <c r="AB200" s="62"/>
      <c r="AC200" s="62"/>
      <c r="AD200" s="62"/>
      <c r="AE200" s="62"/>
      <c r="AF200" s="62"/>
      <c r="AG200" s="62"/>
      <c r="AH200" s="62"/>
      <c r="AI200" s="62"/>
    </row>
    <row r="201" ht="14.25" customHeight="1">
      <c r="Z201" s="62"/>
      <c r="AA201" s="62"/>
      <c r="AB201" s="62"/>
      <c r="AC201" s="62"/>
      <c r="AD201" s="62"/>
      <c r="AE201" s="62"/>
      <c r="AF201" s="62"/>
      <c r="AG201" s="62"/>
      <c r="AH201" s="62"/>
      <c r="AI201" s="62"/>
    </row>
    <row r="202" ht="14.25" customHeight="1">
      <c r="Z202" s="62"/>
      <c r="AA202" s="62"/>
      <c r="AB202" s="62"/>
      <c r="AC202" s="62"/>
      <c r="AD202" s="62"/>
      <c r="AE202" s="62"/>
      <c r="AF202" s="62"/>
      <c r="AG202" s="62"/>
      <c r="AH202" s="62"/>
      <c r="AI202" s="62"/>
    </row>
    <row r="203" ht="14.25" customHeight="1">
      <c r="Z203" s="62"/>
      <c r="AA203" s="62"/>
      <c r="AB203" s="62"/>
      <c r="AC203" s="62"/>
      <c r="AD203" s="62"/>
      <c r="AE203" s="62"/>
      <c r="AF203" s="62"/>
      <c r="AG203" s="62"/>
      <c r="AH203" s="62"/>
      <c r="AI203" s="62"/>
    </row>
    <row r="204" ht="14.25" customHeight="1">
      <c r="Z204" s="62"/>
      <c r="AA204" s="62"/>
      <c r="AB204" s="62"/>
      <c r="AC204" s="62"/>
      <c r="AD204" s="62"/>
      <c r="AE204" s="62"/>
      <c r="AF204" s="62"/>
      <c r="AG204" s="62"/>
      <c r="AH204" s="62"/>
      <c r="AI204" s="62"/>
    </row>
    <row r="205" ht="14.25" customHeight="1">
      <c r="Z205" s="62"/>
      <c r="AA205" s="62"/>
      <c r="AB205" s="62"/>
      <c r="AC205" s="62"/>
      <c r="AD205" s="62"/>
      <c r="AE205" s="62"/>
      <c r="AF205" s="62"/>
      <c r="AG205" s="62"/>
      <c r="AH205" s="62"/>
      <c r="AI205" s="62"/>
    </row>
    <row r="206" ht="14.25" customHeight="1">
      <c r="Z206" s="62"/>
      <c r="AA206" s="62"/>
      <c r="AB206" s="62"/>
      <c r="AC206" s="62"/>
      <c r="AD206" s="62"/>
      <c r="AE206" s="62"/>
      <c r="AF206" s="62"/>
      <c r="AG206" s="62"/>
      <c r="AH206" s="62"/>
      <c r="AI206" s="62"/>
    </row>
    <row r="207" ht="14.25" customHeight="1">
      <c r="Z207" s="62"/>
      <c r="AA207" s="62"/>
      <c r="AB207" s="62"/>
      <c r="AC207" s="62"/>
      <c r="AD207" s="62"/>
      <c r="AE207" s="62"/>
      <c r="AF207" s="62"/>
      <c r="AG207" s="62"/>
      <c r="AH207" s="62"/>
      <c r="AI207" s="62"/>
    </row>
    <row r="208" ht="14.25" customHeight="1">
      <c r="Z208" s="62"/>
      <c r="AA208" s="62"/>
      <c r="AB208" s="62"/>
      <c r="AC208" s="62"/>
      <c r="AD208" s="62"/>
      <c r="AE208" s="62"/>
      <c r="AF208" s="62"/>
      <c r="AG208" s="62"/>
      <c r="AH208" s="62"/>
      <c r="AI208" s="62"/>
    </row>
    <row r="209" ht="14.25" customHeight="1">
      <c r="Z209" s="62"/>
      <c r="AA209" s="62"/>
      <c r="AB209" s="62"/>
      <c r="AC209" s="62"/>
      <c r="AD209" s="62"/>
      <c r="AE209" s="62"/>
      <c r="AF209" s="62"/>
      <c r="AG209" s="62"/>
      <c r="AH209" s="62"/>
      <c r="AI209" s="62"/>
    </row>
    <row r="210" ht="14.25" customHeight="1">
      <c r="Z210" s="62"/>
      <c r="AA210" s="62"/>
      <c r="AB210" s="62"/>
      <c r="AC210" s="62"/>
      <c r="AD210" s="62"/>
      <c r="AE210" s="62"/>
      <c r="AF210" s="62"/>
      <c r="AG210" s="62"/>
      <c r="AH210" s="62"/>
      <c r="AI210" s="62"/>
    </row>
    <row r="211" ht="14.25" customHeight="1">
      <c r="Z211" s="62"/>
      <c r="AA211" s="62"/>
      <c r="AB211" s="62"/>
      <c r="AC211" s="62"/>
      <c r="AD211" s="62"/>
      <c r="AE211" s="62"/>
      <c r="AF211" s="62"/>
      <c r="AG211" s="62"/>
      <c r="AH211" s="62"/>
      <c r="AI211" s="62"/>
    </row>
    <row r="212" ht="14.25" customHeight="1">
      <c r="Z212" s="62"/>
      <c r="AA212" s="62"/>
      <c r="AB212" s="62"/>
      <c r="AC212" s="62"/>
      <c r="AD212" s="62"/>
      <c r="AE212" s="62"/>
      <c r="AF212" s="62"/>
      <c r="AG212" s="62"/>
      <c r="AH212" s="62"/>
      <c r="AI212" s="62"/>
    </row>
    <row r="213" ht="14.25" customHeight="1">
      <c r="Z213" s="62"/>
      <c r="AA213" s="62"/>
      <c r="AB213" s="62"/>
      <c r="AC213" s="62"/>
      <c r="AD213" s="62"/>
      <c r="AE213" s="62"/>
      <c r="AF213" s="62"/>
      <c r="AG213" s="62"/>
      <c r="AH213" s="62"/>
      <c r="AI213" s="62"/>
    </row>
    <row r="214" ht="14.25" customHeight="1">
      <c r="Z214" s="62"/>
      <c r="AA214" s="62"/>
      <c r="AB214" s="62"/>
      <c r="AC214" s="62"/>
      <c r="AD214" s="62"/>
      <c r="AE214" s="62"/>
      <c r="AF214" s="62"/>
      <c r="AG214" s="62"/>
      <c r="AH214" s="62"/>
      <c r="AI214" s="62"/>
    </row>
    <row r="215" ht="14.25" customHeight="1">
      <c r="Z215" s="62"/>
      <c r="AA215" s="62"/>
      <c r="AB215" s="62"/>
      <c r="AC215" s="62"/>
      <c r="AD215" s="62"/>
      <c r="AE215" s="62"/>
      <c r="AF215" s="62"/>
      <c r="AG215" s="62"/>
      <c r="AH215" s="62"/>
      <c r="AI215" s="62"/>
    </row>
    <row r="216" ht="14.25" customHeight="1">
      <c r="Z216" s="62"/>
      <c r="AA216" s="62"/>
      <c r="AB216" s="62"/>
      <c r="AC216" s="62"/>
      <c r="AD216" s="62"/>
      <c r="AE216" s="62"/>
      <c r="AF216" s="62"/>
      <c r="AG216" s="62"/>
      <c r="AH216" s="62"/>
      <c r="AI216" s="62"/>
    </row>
    <row r="217" ht="14.25" customHeight="1">
      <c r="Z217" s="62"/>
      <c r="AA217" s="62"/>
      <c r="AB217" s="62"/>
      <c r="AC217" s="62"/>
      <c r="AD217" s="62"/>
      <c r="AE217" s="62"/>
      <c r="AF217" s="62"/>
      <c r="AG217" s="62"/>
      <c r="AH217" s="62"/>
      <c r="AI217" s="62"/>
    </row>
    <row r="218" ht="14.25" customHeight="1">
      <c r="Z218" s="62"/>
      <c r="AA218" s="62"/>
      <c r="AB218" s="62"/>
      <c r="AC218" s="62"/>
      <c r="AD218" s="62"/>
      <c r="AE218" s="62"/>
      <c r="AF218" s="62"/>
      <c r="AG218" s="62"/>
      <c r="AH218" s="62"/>
      <c r="AI218" s="62"/>
    </row>
    <row r="219" ht="14.25" customHeight="1">
      <c r="Z219" s="62"/>
      <c r="AA219" s="62"/>
      <c r="AB219" s="62"/>
      <c r="AC219" s="62"/>
      <c r="AD219" s="62"/>
      <c r="AE219" s="62"/>
      <c r="AF219" s="62"/>
      <c r="AG219" s="62"/>
      <c r="AH219" s="62"/>
      <c r="AI219" s="62"/>
    </row>
    <row r="220" ht="14.25" customHeight="1">
      <c r="Z220" s="62"/>
      <c r="AA220" s="62"/>
      <c r="AB220" s="62"/>
      <c r="AC220" s="62"/>
      <c r="AD220" s="62"/>
      <c r="AE220" s="62"/>
      <c r="AF220" s="62"/>
      <c r="AG220" s="62"/>
      <c r="AH220" s="62"/>
      <c r="AI220" s="62"/>
    </row>
    <row r="221" ht="14.25" customHeight="1">
      <c r="Z221" s="62"/>
      <c r="AA221" s="62"/>
      <c r="AB221" s="62"/>
      <c r="AC221" s="62"/>
      <c r="AD221" s="62"/>
      <c r="AE221" s="62"/>
      <c r="AF221" s="62"/>
      <c r="AG221" s="62"/>
      <c r="AH221" s="62"/>
      <c r="AI221" s="62"/>
    </row>
    <row r="222" ht="14.25" customHeight="1">
      <c r="Z222" s="62"/>
      <c r="AA222" s="62"/>
      <c r="AB222" s="62"/>
      <c r="AC222" s="62"/>
      <c r="AD222" s="62"/>
      <c r="AE222" s="62"/>
      <c r="AF222" s="62"/>
      <c r="AG222" s="62"/>
      <c r="AH222" s="62"/>
      <c r="AI222" s="62"/>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H28">
      <formula1>"Ada,Belum Ada,Proses,Belum mengurus"</formula1>
    </dataValidation>
    <dataValidation type="list" allowBlank="1" showErrorMessage="1" sqref="G5:G10 G12:G13">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9.86"/>
    <col customWidth="1" min="3" max="3" width="21.86"/>
    <col customWidth="1" min="4" max="4" width="11.86"/>
    <col customWidth="1" min="5" max="5" width="19.29"/>
    <col customWidth="1" min="6" max="6" width="15.86"/>
    <col customWidth="1" min="7" max="7" width="17.14"/>
    <col customWidth="1" min="8" max="11" width="21.14"/>
    <col customWidth="1" min="12" max="12" width="27.0"/>
    <col customWidth="1" min="13" max="13" width="29.86"/>
    <col customWidth="1" min="14" max="14" width="27.0"/>
    <col customWidth="1" min="15" max="15" width="39.57"/>
    <col customWidth="1" min="16" max="16" width="27.0"/>
    <col customWidth="1" min="17" max="17" width="30.43"/>
    <col customWidth="1" min="18" max="18" width="30.0"/>
    <col customWidth="1" min="19" max="19" width="29.14"/>
    <col customWidth="1" min="20" max="24" width="26.43"/>
    <col customWidth="1" min="25" max="25" width="18.43"/>
    <col customWidth="1" min="26" max="35" width="8.71"/>
  </cols>
  <sheetData>
    <row r="1" ht="14.25" customHeight="1">
      <c r="L1" s="63" t="s">
        <v>1</v>
      </c>
      <c r="Z1" s="62"/>
      <c r="AA1" s="62"/>
      <c r="AB1" s="62"/>
      <c r="AC1" s="62"/>
      <c r="AD1" s="62"/>
      <c r="AE1" s="62"/>
      <c r="AF1" s="62"/>
      <c r="AG1" s="62"/>
      <c r="AH1" s="62"/>
      <c r="AI1" s="62"/>
    </row>
    <row r="2" ht="14.25" customHeight="1">
      <c r="L2" s="64" t="s">
        <v>2</v>
      </c>
      <c r="Z2" s="62"/>
      <c r="AA2" s="62"/>
      <c r="AB2" s="62"/>
      <c r="AC2" s="62"/>
      <c r="AD2" s="62"/>
      <c r="AE2" s="62"/>
      <c r="AF2" s="62"/>
      <c r="AG2" s="62"/>
      <c r="AH2" s="62"/>
      <c r="AI2" s="62"/>
    </row>
    <row r="3" ht="14.25" customHeight="1">
      <c r="Z3" s="62"/>
      <c r="AA3" s="62"/>
      <c r="AB3" s="62"/>
      <c r="AC3" s="62"/>
      <c r="AD3" s="62"/>
      <c r="AE3" s="62"/>
      <c r="AF3" s="62"/>
      <c r="AG3" s="62"/>
      <c r="AH3" s="62"/>
      <c r="AI3" s="62"/>
    </row>
    <row r="4" ht="40.5" customHeight="1">
      <c r="A4" s="65" t="s">
        <v>3</v>
      </c>
      <c r="B4" s="65" t="s">
        <v>4</v>
      </c>
      <c r="C4" s="65" t="s">
        <v>5</v>
      </c>
      <c r="D4" s="65" t="s">
        <v>6</v>
      </c>
      <c r="E4" s="65" t="s">
        <v>7</v>
      </c>
      <c r="F4" s="65" t="s">
        <v>8</v>
      </c>
      <c r="G4" s="65" t="s">
        <v>9</v>
      </c>
      <c r="H4" s="65" t="s">
        <v>1084</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63.0" customHeight="1">
      <c r="A5" s="67">
        <v>1.0</v>
      </c>
      <c r="B5" s="67" t="s">
        <v>2303</v>
      </c>
      <c r="C5" s="67" t="s">
        <v>2304</v>
      </c>
      <c r="D5" s="67" t="s">
        <v>2305</v>
      </c>
      <c r="E5" s="67" t="s">
        <v>2306</v>
      </c>
      <c r="F5" s="67" t="s">
        <v>2307</v>
      </c>
      <c r="G5" s="67" t="s">
        <v>43</v>
      </c>
      <c r="H5" s="67">
        <v>2025.0</v>
      </c>
      <c r="I5" s="67" t="s">
        <v>44</v>
      </c>
      <c r="J5" s="67" t="s">
        <v>2308</v>
      </c>
      <c r="K5" s="67">
        <v>8.3891390861E10</v>
      </c>
      <c r="L5" s="67">
        <v>3612.0</v>
      </c>
      <c r="M5" s="67" t="s">
        <v>2309</v>
      </c>
      <c r="N5" s="67" t="s">
        <v>2310</v>
      </c>
      <c r="O5" s="67" t="s">
        <v>2311</v>
      </c>
      <c r="P5" s="67"/>
      <c r="Q5" s="67" t="s">
        <v>2312</v>
      </c>
      <c r="R5" s="67" t="s">
        <v>2313</v>
      </c>
      <c r="S5" s="67" t="s">
        <v>2314</v>
      </c>
      <c r="T5" s="67">
        <v>89.0</v>
      </c>
      <c r="U5" s="67">
        <v>306.0</v>
      </c>
      <c r="V5" s="67">
        <v>616.0</v>
      </c>
      <c r="W5" s="67"/>
      <c r="X5" s="67"/>
      <c r="Y5" s="68"/>
      <c r="Z5" s="54" t="s">
        <v>54</v>
      </c>
      <c r="AA5" s="130"/>
      <c r="AB5" s="130"/>
      <c r="AC5" s="130"/>
      <c r="AD5" s="130"/>
      <c r="AE5" s="130"/>
      <c r="AF5" s="130"/>
      <c r="AG5" s="130"/>
      <c r="AH5" s="130"/>
      <c r="AI5" s="130"/>
    </row>
    <row r="6" ht="255.0" customHeight="1">
      <c r="A6" s="67">
        <v>2.0</v>
      </c>
      <c r="B6" s="67" t="s">
        <v>2303</v>
      </c>
      <c r="C6" s="67" t="s">
        <v>2315</v>
      </c>
      <c r="D6" s="67" t="s">
        <v>2316</v>
      </c>
      <c r="E6" s="71" t="s">
        <v>2317</v>
      </c>
      <c r="F6" s="67" t="s">
        <v>2318</v>
      </c>
      <c r="G6" s="67" t="s">
        <v>43</v>
      </c>
      <c r="H6" s="67">
        <v>2025.0</v>
      </c>
      <c r="I6" s="67" t="s">
        <v>44</v>
      </c>
      <c r="J6" s="67" t="s">
        <v>2319</v>
      </c>
      <c r="K6" s="116">
        <v>8.5218265325E10</v>
      </c>
      <c r="L6" s="76">
        <v>2502.0</v>
      </c>
      <c r="M6" s="67" t="s">
        <v>2320</v>
      </c>
      <c r="N6" s="67" t="s">
        <v>2321</v>
      </c>
      <c r="O6" s="67" t="s">
        <v>2322</v>
      </c>
      <c r="P6" s="67" t="s">
        <v>2323</v>
      </c>
      <c r="Q6" s="67" t="s">
        <v>2324</v>
      </c>
      <c r="R6" s="67" t="s">
        <v>2325</v>
      </c>
      <c r="S6" s="67" t="s">
        <v>2326</v>
      </c>
      <c r="T6" s="211" t="s">
        <v>2327</v>
      </c>
      <c r="U6" s="212" t="s">
        <v>2328</v>
      </c>
      <c r="V6" s="213" t="s">
        <v>2329</v>
      </c>
      <c r="W6" s="67"/>
      <c r="X6" s="67"/>
      <c r="Y6" s="214" t="s">
        <v>2330</v>
      </c>
      <c r="Z6" s="138" t="s">
        <v>54</v>
      </c>
      <c r="AA6" s="138" t="s">
        <v>54</v>
      </c>
      <c r="AB6" s="138" t="s">
        <v>54</v>
      </c>
      <c r="AC6" s="138" t="s">
        <v>54</v>
      </c>
      <c r="AD6" s="138" t="s">
        <v>54</v>
      </c>
      <c r="AE6" s="138" t="s">
        <v>145</v>
      </c>
      <c r="AF6" s="138" t="s">
        <v>54</v>
      </c>
      <c r="AG6" s="138" t="s">
        <v>54</v>
      </c>
      <c r="AH6" s="138" t="s">
        <v>54</v>
      </c>
      <c r="AI6" s="138">
        <v>49.0</v>
      </c>
    </row>
    <row r="7" ht="248.25" customHeight="1">
      <c r="A7" s="68">
        <v>3.0</v>
      </c>
      <c r="B7" s="68" t="s">
        <v>2331</v>
      </c>
      <c r="C7" s="68" t="s">
        <v>2332</v>
      </c>
      <c r="D7" s="68" t="s">
        <v>2333</v>
      </c>
      <c r="E7" s="68" t="s">
        <v>2334</v>
      </c>
      <c r="F7" s="68" t="s">
        <v>2335</v>
      </c>
      <c r="G7" s="67" t="s">
        <v>43</v>
      </c>
      <c r="H7" s="67">
        <v>2025.0</v>
      </c>
      <c r="I7" s="76" t="s">
        <v>44</v>
      </c>
      <c r="J7" s="68" t="s">
        <v>2336</v>
      </c>
      <c r="K7" s="68">
        <v>8.1389956729E10</v>
      </c>
      <c r="L7" s="76">
        <v>2.826</v>
      </c>
      <c r="M7" s="90" t="s">
        <v>2337</v>
      </c>
      <c r="N7" s="90" t="s">
        <v>2338</v>
      </c>
      <c r="O7" s="68"/>
      <c r="P7" s="68"/>
      <c r="Q7" s="90" t="s">
        <v>2339</v>
      </c>
      <c r="R7" s="90" t="s">
        <v>2340</v>
      </c>
      <c r="S7" s="90" t="s">
        <v>2341</v>
      </c>
      <c r="T7" s="215" t="s">
        <v>2342</v>
      </c>
      <c r="U7" s="215" t="s">
        <v>2343</v>
      </c>
      <c r="V7" s="215" t="s">
        <v>2344</v>
      </c>
      <c r="W7" s="68"/>
      <c r="X7" s="68"/>
      <c r="Y7" s="68"/>
      <c r="Z7" s="139" t="s">
        <v>54</v>
      </c>
      <c r="AA7" s="139" t="s">
        <v>54</v>
      </c>
      <c r="AB7" s="139" t="s">
        <v>54</v>
      </c>
      <c r="AC7" s="139" t="s">
        <v>54</v>
      </c>
      <c r="AD7" s="139" t="s">
        <v>54</v>
      </c>
      <c r="AE7" s="139" t="s">
        <v>145</v>
      </c>
      <c r="AF7" s="139" t="s">
        <v>145</v>
      </c>
      <c r="AG7" s="139" t="s">
        <v>54</v>
      </c>
      <c r="AH7" s="139" t="s">
        <v>146</v>
      </c>
      <c r="AI7" s="139">
        <v>49.0</v>
      </c>
    </row>
    <row r="8" ht="14.25" customHeight="1">
      <c r="A8" s="68">
        <v>4.0</v>
      </c>
      <c r="B8" s="68" t="s">
        <v>2345</v>
      </c>
      <c r="C8" s="68" t="s">
        <v>2346</v>
      </c>
      <c r="D8" s="68" t="s">
        <v>2347</v>
      </c>
      <c r="E8" s="68" t="s">
        <v>2348</v>
      </c>
      <c r="F8" s="68" t="s">
        <v>2349</v>
      </c>
      <c r="G8" s="67" t="s">
        <v>43</v>
      </c>
      <c r="H8" s="68">
        <v>2026.0</v>
      </c>
      <c r="I8" s="68" t="s">
        <v>696</v>
      </c>
      <c r="J8" s="68" t="s">
        <v>2350</v>
      </c>
      <c r="K8" s="68">
        <v>8.2166851429E10</v>
      </c>
      <c r="L8" s="68">
        <v>1.425</v>
      </c>
      <c r="M8" s="73" t="s">
        <v>2351</v>
      </c>
      <c r="N8" s="68" t="s">
        <v>2352</v>
      </c>
      <c r="O8" s="68" t="s">
        <v>2353</v>
      </c>
      <c r="P8" s="68"/>
      <c r="Q8" s="68" t="s">
        <v>2354</v>
      </c>
      <c r="R8" s="68" t="s">
        <v>2355</v>
      </c>
      <c r="S8" s="68" t="s">
        <v>2356</v>
      </c>
      <c r="T8" s="216" t="s">
        <v>2357</v>
      </c>
      <c r="U8" s="217" t="s">
        <v>2358</v>
      </c>
      <c r="V8" s="68" t="s">
        <v>2359</v>
      </c>
      <c r="W8" s="68"/>
      <c r="X8" s="68"/>
      <c r="Y8" s="68"/>
      <c r="Z8" s="131" t="s">
        <v>146</v>
      </c>
      <c r="AA8" s="131" t="s">
        <v>54</v>
      </c>
      <c r="AB8" s="131" t="s">
        <v>146</v>
      </c>
      <c r="AC8" s="131" t="s">
        <v>146</v>
      </c>
      <c r="AD8" s="131" t="s">
        <v>145</v>
      </c>
      <c r="AE8" s="131" t="s">
        <v>54</v>
      </c>
      <c r="AF8" s="131" t="s">
        <v>54</v>
      </c>
      <c r="AG8" s="131" t="s">
        <v>54</v>
      </c>
      <c r="AH8" s="131" t="s">
        <v>146</v>
      </c>
      <c r="AI8" s="131">
        <v>48.0</v>
      </c>
    </row>
    <row r="9" ht="14.25" customHeight="1">
      <c r="A9" s="68">
        <v>5.0</v>
      </c>
      <c r="B9" s="68" t="s">
        <v>2360</v>
      </c>
      <c r="C9" s="68" t="s">
        <v>2361</v>
      </c>
      <c r="D9" s="218" t="s">
        <v>2362</v>
      </c>
      <c r="E9" s="68" t="s">
        <v>2363</v>
      </c>
      <c r="F9" s="76" t="s">
        <v>2364</v>
      </c>
      <c r="G9" s="67" t="s">
        <v>43</v>
      </c>
      <c r="H9" s="93">
        <v>46160.0</v>
      </c>
      <c r="I9" s="68" t="s">
        <v>696</v>
      </c>
      <c r="J9" s="68" t="s">
        <v>2365</v>
      </c>
      <c r="K9" s="68">
        <v>8.2283290703E10</v>
      </c>
      <c r="L9" s="68">
        <v>1368.0</v>
      </c>
      <c r="M9" s="73"/>
      <c r="N9" s="68"/>
      <c r="O9" s="68"/>
      <c r="P9" s="68"/>
      <c r="Q9" s="68"/>
      <c r="R9" s="68"/>
      <c r="S9" s="68"/>
      <c r="T9" s="216"/>
      <c r="U9" s="217"/>
      <c r="V9" s="68"/>
      <c r="W9" s="68"/>
      <c r="X9" s="68"/>
      <c r="Y9" s="68"/>
      <c r="Z9" s="130"/>
      <c r="AA9" s="130"/>
      <c r="AB9" s="130"/>
      <c r="AC9" s="130"/>
      <c r="AD9" s="130"/>
      <c r="AE9" s="130"/>
      <c r="AF9" s="130"/>
      <c r="AG9" s="130"/>
      <c r="AH9" s="130"/>
      <c r="AI9" s="130"/>
    </row>
    <row r="10" ht="14.25" customHeight="1">
      <c r="A10" s="68">
        <v>6.0</v>
      </c>
      <c r="B10" s="68"/>
      <c r="C10" s="68"/>
      <c r="D10" s="68"/>
      <c r="E10" s="68"/>
      <c r="F10" s="68"/>
      <c r="G10" s="68"/>
      <c r="H10" s="68"/>
      <c r="I10" s="68"/>
      <c r="J10" s="68"/>
      <c r="K10" s="68"/>
      <c r="L10" s="68"/>
      <c r="M10" s="83"/>
      <c r="N10" s="68"/>
      <c r="O10" s="68"/>
      <c r="P10" s="68"/>
      <c r="Q10" s="68"/>
      <c r="R10" s="68"/>
      <c r="S10" s="68"/>
      <c r="T10" s="216"/>
      <c r="U10" s="217"/>
      <c r="V10" s="68"/>
      <c r="W10" s="68"/>
      <c r="X10" s="68"/>
      <c r="Y10" s="68"/>
      <c r="Z10" s="131"/>
      <c r="AA10" s="131"/>
      <c r="AB10" s="131"/>
      <c r="AC10" s="131"/>
      <c r="AD10" s="131"/>
      <c r="AE10" s="131"/>
      <c r="AF10" s="131"/>
      <c r="AG10" s="131"/>
      <c r="AH10" s="131"/>
      <c r="AI10" s="131"/>
    </row>
    <row r="11" ht="14.25" customHeight="1">
      <c r="A11" s="68">
        <v>7.0</v>
      </c>
      <c r="B11" s="68"/>
      <c r="C11" s="68"/>
      <c r="D11" s="68"/>
      <c r="E11" s="68"/>
      <c r="F11" s="68"/>
      <c r="G11" s="68"/>
      <c r="H11" s="68"/>
      <c r="I11" s="68"/>
      <c r="J11" s="68"/>
      <c r="K11" s="68"/>
      <c r="L11" s="68"/>
      <c r="M11" s="68"/>
      <c r="N11" s="68"/>
      <c r="O11" s="68"/>
      <c r="P11" s="68"/>
      <c r="Q11" s="68"/>
      <c r="R11" s="68"/>
      <c r="S11" s="68"/>
      <c r="T11" s="216"/>
      <c r="U11" s="217"/>
      <c r="V11" s="68"/>
      <c r="W11" s="68"/>
      <c r="X11" s="68"/>
      <c r="Y11" s="68"/>
      <c r="Z11" s="130"/>
      <c r="AA11" s="130"/>
      <c r="AB11" s="130"/>
      <c r="AC11" s="130"/>
      <c r="AD11" s="130"/>
      <c r="AE11" s="130"/>
      <c r="AF11" s="130"/>
      <c r="AG11" s="130"/>
      <c r="AH11" s="130"/>
      <c r="AI11" s="130"/>
    </row>
    <row r="12" ht="14.25" customHeight="1">
      <c r="A12" s="68">
        <v>8.0</v>
      </c>
      <c r="B12" s="68"/>
      <c r="C12" s="68"/>
      <c r="D12" s="68"/>
      <c r="E12" s="68"/>
      <c r="F12" s="68"/>
      <c r="G12" s="68"/>
      <c r="H12" s="68"/>
      <c r="I12" s="68"/>
      <c r="J12" s="68"/>
      <c r="K12" s="68"/>
      <c r="L12" s="68"/>
      <c r="M12" s="68"/>
      <c r="N12" s="68"/>
      <c r="O12" s="68"/>
      <c r="P12" s="68"/>
      <c r="Q12" s="68"/>
      <c r="R12" s="68"/>
      <c r="S12" s="68"/>
      <c r="T12" s="216"/>
      <c r="U12" s="217"/>
      <c r="V12" s="68"/>
      <c r="W12" s="68"/>
      <c r="X12" s="68"/>
      <c r="Y12" s="68"/>
      <c r="Z12" s="131"/>
      <c r="AA12" s="131"/>
      <c r="AB12" s="131"/>
      <c r="AC12" s="131"/>
      <c r="AD12" s="131"/>
      <c r="AE12" s="131"/>
      <c r="AF12" s="131"/>
      <c r="AG12" s="131"/>
      <c r="AH12" s="131"/>
      <c r="AI12" s="131"/>
    </row>
    <row r="13" ht="14.25" customHeight="1">
      <c r="A13" s="68">
        <v>9.0</v>
      </c>
      <c r="B13" s="68"/>
      <c r="C13" s="68"/>
      <c r="D13" s="68"/>
      <c r="E13" s="68"/>
      <c r="F13" s="68"/>
      <c r="G13" s="68"/>
      <c r="H13" s="68"/>
      <c r="I13" s="68"/>
      <c r="J13" s="68"/>
      <c r="K13" s="68"/>
      <c r="L13" s="68"/>
      <c r="M13" s="68"/>
      <c r="N13" s="68"/>
      <c r="O13" s="68"/>
      <c r="P13" s="68"/>
      <c r="Q13" s="68"/>
      <c r="R13" s="68"/>
      <c r="S13" s="68"/>
      <c r="T13" s="216"/>
      <c r="U13" s="217"/>
      <c r="V13" s="68"/>
      <c r="W13" s="68"/>
      <c r="X13" s="68"/>
      <c r="Y13" s="68"/>
      <c r="Z13" s="130"/>
      <c r="AA13" s="130"/>
      <c r="AB13" s="130"/>
      <c r="AC13" s="130"/>
      <c r="AD13" s="130"/>
      <c r="AE13" s="130"/>
      <c r="AF13" s="130"/>
      <c r="AG13" s="130"/>
      <c r="AH13" s="130"/>
      <c r="AI13" s="130"/>
    </row>
    <row r="14" ht="14.25" customHeight="1">
      <c r="A14" s="68">
        <v>10.0</v>
      </c>
      <c r="B14" s="68"/>
      <c r="C14" s="68"/>
      <c r="D14" s="68"/>
      <c r="E14" s="68"/>
      <c r="F14" s="68"/>
      <c r="G14" s="68"/>
      <c r="H14" s="68"/>
      <c r="I14" s="68"/>
      <c r="J14" s="68"/>
      <c r="K14" s="68"/>
      <c r="L14" s="68"/>
      <c r="M14" s="68"/>
      <c r="N14" s="68"/>
      <c r="O14" s="68"/>
      <c r="P14" s="68"/>
      <c r="Q14" s="68"/>
      <c r="R14" s="68"/>
      <c r="S14" s="68"/>
      <c r="T14" s="219"/>
      <c r="U14" s="216"/>
      <c r="V14" s="68"/>
      <c r="W14" s="68"/>
      <c r="X14" s="68"/>
      <c r="Y14" s="68"/>
      <c r="Z14" s="131"/>
      <c r="AA14" s="131"/>
      <c r="AB14" s="131"/>
      <c r="AC14" s="131"/>
      <c r="AD14" s="131"/>
      <c r="AE14" s="131"/>
      <c r="AF14" s="131"/>
      <c r="AG14" s="131"/>
      <c r="AH14" s="131"/>
      <c r="AI14" s="131"/>
    </row>
    <row r="15" ht="14.25" customHeight="1">
      <c r="A15" s="68"/>
      <c r="B15" s="68"/>
      <c r="C15" s="68"/>
      <c r="D15" s="68"/>
      <c r="E15" s="68"/>
      <c r="F15" s="68"/>
      <c r="G15" s="68"/>
      <c r="H15" s="68"/>
      <c r="I15" s="68"/>
      <c r="J15" s="68"/>
      <c r="K15" s="68"/>
      <c r="L15" s="68"/>
      <c r="M15" s="68"/>
      <c r="N15" s="68"/>
      <c r="O15" s="68"/>
      <c r="P15" s="68"/>
      <c r="Q15" s="68"/>
      <c r="R15" s="68"/>
      <c r="S15" s="68"/>
      <c r="T15" s="219"/>
      <c r="U15" s="216"/>
      <c r="V15" s="68"/>
      <c r="W15" s="68"/>
      <c r="X15" s="68"/>
      <c r="Y15" s="68"/>
      <c r="Z15" s="130"/>
      <c r="AA15" s="130"/>
      <c r="AB15" s="130"/>
      <c r="AC15" s="130"/>
      <c r="AD15" s="130"/>
      <c r="AE15" s="130"/>
      <c r="AF15" s="130"/>
      <c r="AG15" s="130"/>
      <c r="AH15" s="130"/>
      <c r="AI15" s="130"/>
    </row>
    <row r="16" ht="14.25" customHeight="1">
      <c r="A16" s="68"/>
      <c r="B16" s="68"/>
      <c r="C16" s="68"/>
      <c r="D16" s="68"/>
      <c r="E16" s="68"/>
      <c r="F16" s="68"/>
      <c r="G16" s="68"/>
      <c r="H16" s="68"/>
      <c r="I16" s="68"/>
      <c r="J16" s="68"/>
      <c r="K16" s="68"/>
      <c r="L16" s="68"/>
      <c r="M16" s="68"/>
      <c r="N16" s="68"/>
      <c r="O16" s="68"/>
      <c r="P16" s="68"/>
      <c r="Q16" s="68"/>
      <c r="R16" s="68"/>
      <c r="S16" s="68"/>
      <c r="T16" s="219"/>
      <c r="U16" s="216"/>
      <c r="V16" s="68"/>
      <c r="W16" s="68"/>
      <c r="X16" s="68"/>
      <c r="Y16" s="68"/>
      <c r="Z16" s="131"/>
      <c r="AA16" s="131"/>
      <c r="AB16" s="131"/>
      <c r="AC16" s="131"/>
      <c r="AD16" s="131"/>
      <c r="AE16" s="131"/>
      <c r="AF16" s="131"/>
      <c r="AG16" s="131"/>
      <c r="AH16" s="131"/>
      <c r="AI16" s="131"/>
    </row>
    <row r="17" ht="14.25" customHeight="1">
      <c r="A17" s="68"/>
      <c r="B17" s="68"/>
      <c r="C17" s="68"/>
      <c r="D17" s="68"/>
      <c r="E17" s="68"/>
      <c r="F17" s="68"/>
      <c r="G17" s="68"/>
      <c r="H17" s="68"/>
      <c r="I17" s="68"/>
      <c r="J17" s="68"/>
      <c r="K17" s="68"/>
      <c r="L17" s="68"/>
      <c r="M17" s="68"/>
      <c r="N17" s="68"/>
      <c r="O17" s="68"/>
      <c r="P17" s="68"/>
      <c r="Q17" s="68"/>
      <c r="R17" s="68"/>
      <c r="S17" s="68"/>
      <c r="T17" s="219"/>
      <c r="U17" s="216"/>
      <c r="V17" s="68"/>
      <c r="W17" s="68"/>
      <c r="X17" s="68"/>
      <c r="Y17" s="68"/>
      <c r="Z17" s="130"/>
      <c r="AA17" s="130"/>
      <c r="AB17" s="130"/>
      <c r="AC17" s="130"/>
      <c r="AD17" s="130"/>
      <c r="AE17" s="130"/>
      <c r="AF17" s="130"/>
      <c r="AG17" s="130"/>
      <c r="AH17" s="130"/>
      <c r="AI17" s="130"/>
    </row>
    <row r="18" ht="14.25" customHeight="1">
      <c r="A18" s="68"/>
      <c r="B18" s="68"/>
      <c r="C18" s="68"/>
      <c r="D18" s="68"/>
      <c r="E18" s="68"/>
      <c r="F18" s="68"/>
      <c r="G18" s="68"/>
      <c r="H18" s="68"/>
      <c r="I18" s="68"/>
      <c r="J18" s="68"/>
      <c r="K18" s="68"/>
      <c r="L18" s="68"/>
      <c r="M18" s="68"/>
      <c r="N18" s="68"/>
      <c r="O18" s="68"/>
      <c r="P18" s="68"/>
      <c r="Q18" s="68"/>
      <c r="R18" s="68"/>
      <c r="S18" s="68"/>
      <c r="T18" s="219"/>
      <c r="U18" s="216"/>
      <c r="V18" s="68"/>
      <c r="W18" s="68"/>
      <c r="X18" s="68"/>
      <c r="Y18" s="68"/>
      <c r="Z18" s="131"/>
      <c r="AA18" s="131"/>
      <c r="AB18" s="131"/>
      <c r="AC18" s="131"/>
      <c r="AD18" s="131"/>
      <c r="AE18" s="131"/>
      <c r="AF18" s="131"/>
      <c r="AG18" s="131"/>
      <c r="AH18" s="131"/>
      <c r="AI18" s="131"/>
    </row>
    <row r="19" ht="14.25" customHeight="1">
      <c r="A19" s="68"/>
      <c r="B19" s="68"/>
      <c r="C19" s="68"/>
      <c r="D19" s="68"/>
      <c r="E19" s="68"/>
      <c r="F19" s="68"/>
      <c r="G19" s="68"/>
      <c r="H19" s="68"/>
      <c r="I19" s="68"/>
      <c r="J19" s="68"/>
      <c r="K19" s="68"/>
      <c r="L19" s="68"/>
      <c r="M19" s="68"/>
      <c r="N19" s="68"/>
      <c r="O19" s="68"/>
      <c r="P19" s="68"/>
      <c r="Q19" s="68"/>
      <c r="R19" s="68"/>
      <c r="S19" s="68"/>
      <c r="T19" s="220"/>
      <c r="U19" s="216"/>
      <c r="V19" s="68"/>
      <c r="W19" s="68"/>
      <c r="X19" s="68"/>
      <c r="Y19" s="68"/>
      <c r="Z19" s="130"/>
      <c r="AA19" s="130"/>
      <c r="AB19" s="130"/>
      <c r="AC19" s="130"/>
      <c r="AD19" s="130"/>
      <c r="AE19" s="130"/>
      <c r="AF19" s="130"/>
      <c r="AG19" s="130"/>
      <c r="AH19" s="130"/>
      <c r="AI19" s="130"/>
    </row>
    <row r="20" ht="14.25" customHeight="1">
      <c r="A20" s="68"/>
      <c r="B20" s="68"/>
      <c r="C20" s="68"/>
      <c r="D20" s="68"/>
      <c r="E20" s="68"/>
      <c r="F20" s="68"/>
      <c r="G20" s="68"/>
      <c r="H20" s="68"/>
      <c r="I20" s="68"/>
      <c r="J20" s="68"/>
      <c r="K20" s="68"/>
      <c r="L20" s="68"/>
      <c r="M20" s="68"/>
      <c r="N20" s="68"/>
      <c r="O20" s="68"/>
      <c r="P20" s="68"/>
      <c r="Q20" s="68"/>
      <c r="R20" s="68"/>
      <c r="S20" s="68"/>
      <c r="T20" s="220"/>
      <c r="U20" s="216"/>
      <c r="V20" s="68"/>
      <c r="W20" s="68"/>
      <c r="X20" s="68"/>
      <c r="Y20" s="68"/>
      <c r="Z20" s="131"/>
      <c r="AA20" s="131"/>
      <c r="AB20" s="131"/>
      <c r="AC20" s="131"/>
      <c r="AD20" s="131"/>
      <c r="AE20" s="131"/>
      <c r="AF20" s="131"/>
      <c r="AG20" s="131"/>
      <c r="AH20" s="131"/>
      <c r="AI20" s="131"/>
    </row>
    <row r="21" ht="14.25" customHeight="1">
      <c r="A21" s="68"/>
      <c r="B21" s="68"/>
      <c r="C21" s="68"/>
      <c r="D21" s="68"/>
      <c r="E21" s="68"/>
      <c r="F21" s="68"/>
      <c r="G21" s="68"/>
      <c r="H21" s="68"/>
      <c r="I21" s="68"/>
      <c r="J21" s="68"/>
      <c r="K21" s="68"/>
      <c r="L21" s="68"/>
      <c r="M21" s="68"/>
      <c r="N21" s="68"/>
      <c r="O21" s="68"/>
      <c r="P21" s="68"/>
      <c r="Q21" s="68"/>
      <c r="R21" s="68"/>
      <c r="S21" s="68"/>
      <c r="T21" s="220"/>
      <c r="U21" s="216"/>
      <c r="V21" s="68"/>
      <c r="W21" s="68"/>
      <c r="X21" s="68"/>
      <c r="Y21" s="68"/>
      <c r="Z21" s="130"/>
      <c r="AA21" s="130"/>
      <c r="AB21" s="130"/>
      <c r="AC21" s="130"/>
      <c r="AD21" s="130"/>
      <c r="AE21" s="130"/>
      <c r="AF21" s="130"/>
      <c r="AG21" s="130"/>
      <c r="AH21" s="130"/>
      <c r="AI21" s="130"/>
    </row>
    <row r="22" ht="14.25" customHeight="1">
      <c r="A22" s="68"/>
      <c r="B22" s="68"/>
      <c r="C22" s="68"/>
      <c r="D22" s="68"/>
      <c r="E22" s="68"/>
      <c r="F22" s="68"/>
      <c r="G22" s="68"/>
      <c r="H22" s="68"/>
      <c r="I22" s="68"/>
      <c r="J22" s="68"/>
      <c r="K22" s="68"/>
      <c r="L22" s="68"/>
      <c r="M22" s="68"/>
      <c r="N22" s="68"/>
      <c r="O22" s="68"/>
      <c r="P22" s="68"/>
      <c r="Q22" s="68"/>
      <c r="R22" s="68"/>
      <c r="S22" s="68"/>
      <c r="T22" s="220"/>
      <c r="U22" s="216"/>
      <c r="V22" s="68"/>
      <c r="W22" s="68"/>
      <c r="X22" s="68"/>
      <c r="Y22" s="68"/>
      <c r="Z22" s="131"/>
      <c r="AA22" s="131"/>
      <c r="AB22" s="131"/>
      <c r="AC22" s="131"/>
      <c r="AD22" s="131"/>
      <c r="AE22" s="131"/>
      <c r="AF22" s="131"/>
      <c r="AG22" s="131"/>
      <c r="AH22" s="131"/>
      <c r="AI22" s="131"/>
    </row>
    <row r="23" ht="14.25" customHeight="1">
      <c r="A23" s="68"/>
      <c r="B23" s="68"/>
      <c r="C23" s="68"/>
      <c r="D23" s="68"/>
      <c r="E23" s="68"/>
      <c r="F23" s="68"/>
      <c r="G23" s="68"/>
      <c r="H23" s="68"/>
      <c r="I23" s="68"/>
      <c r="J23" s="68"/>
      <c r="K23" s="68"/>
      <c r="L23" s="68"/>
      <c r="M23" s="68"/>
      <c r="N23" s="68"/>
      <c r="O23" s="68"/>
      <c r="P23" s="68"/>
      <c r="Q23" s="68"/>
      <c r="R23" s="68"/>
      <c r="S23" s="68"/>
      <c r="T23" s="220"/>
      <c r="U23" s="216"/>
      <c r="V23" s="68"/>
      <c r="W23" s="68"/>
      <c r="X23" s="68"/>
      <c r="Y23" s="68"/>
      <c r="Z23" s="130"/>
      <c r="AA23" s="130"/>
      <c r="AB23" s="130"/>
      <c r="AC23" s="130"/>
      <c r="AD23" s="130"/>
      <c r="AE23" s="130"/>
      <c r="AF23" s="130"/>
      <c r="AG23" s="130"/>
      <c r="AH23" s="130"/>
      <c r="AI23" s="130"/>
    </row>
    <row r="24" ht="14.25" customHeight="1">
      <c r="Z24" s="62"/>
      <c r="AA24" s="62"/>
      <c r="AB24" s="62"/>
      <c r="AC24" s="62"/>
      <c r="AD24" s="62"/>
      <c r="AE24" s="62"/>
      <c r="AF24" s="62"/>
      <c r="AG24" s="62"/>
      <c r="AH24" s="62"/>
      <c r="AI24" s="62"/>
    </row>
    <row r="25" ht="14.25" customHeight="1">
      <c r="Z25" s="62"/>
      <c r="AA25" s="62"/>
      <c r="AB25" s="62"/>
      <c r="AC25" s="62"/>
      <c r="AD25" s="62"/>
      <c r="AE25" s="62"/>
      <c r="AF25" s="62"/>
      <c r="AG25" s="62"/>
      <c r="AH25" s="62"/>
      <c r="AI25" s="62"/>
    </row>
    <row r="26" ht="14.25" customHeight="1">
      <c r="Z26" s="62"/>
      <c r="AA26" s="62"/>
      <c r="AB26" s="62"/>
      <c r="AC26" s="62"/>
      <c r="AD26" s="62"/>
      <c r="AE26" s="62"/>
      <c r="AF26" s="62"/>
      <c r="AG26" s="62"/>
      <c r="AH26" s="62"/>
      <c r="AI26" s="62"/>
    </row>
    <row r="27" ht="14.25" customHeight="1">
      <c r="Z27" s="62"/>
      <c r="AA27" s="62"/>
      <c r="AB27" s="62"/>
      <c r="AC27" s="62"/>
      <c r="AD27" s="62"/>
      <c r="AE27" s="62"/>
      <c r="AF27" s="62"/>
      <c r="AG27" s="62"/>
      <c r="AH27" s="62"/>
      <c r="AI27" s="62"/>
    </row>
    <row r="28" ht="14.25" customHeight="1">
      <c r="Z28" s="62"/>
      <c r="AA28" s="62"/>
      <c r="AB28" s="62"/>
      <c r="AC28" s="62"/>
      <c r="AD28" s="62"/>
      <c r="AE28" s="62"/>
      <c r="AF28" s="62"/>
      <c r="AG28" s="62"/>
      <c r="AH28" s="62"/>
      <c r="AI28" s="62"/>
    </row>
    <row r="29" ht="14.25" customHeight="1">
      <c r="C29" s="62" t="s">
        <v>216</v>
      </c>
      <c r="D29" s="62">
        <v>3.0</v>
      </c>
      <c r="Z29" s="62"/>
      <c r="AA29" s="62"/>
      <c r="AB29" s="62"/>
      <c r="AC29" s="62"/>
      <c r="AD29" s="62"/>
      <c r="AE29" s="62"/>
      <c r="AF29" s="62"/>
      <c r="AG29" s="62"/>
      <c r="AH29" s="62"/>
      <c r="AI29" s="62"/>
    </row>
    <row r="30" ht="14.25" customHeight="1">
      <c r="C30" s="62" t="s">
        <v>217</v>
      </c>
      <c r="D30" s="62">
        <v>0.0</v>
      </c>
      <c r="Z30" s="62"/>
      <c r="AA30" s="62"/>
      <c r="AB30" s="62"/>
      <c r="AC30" s="62"/>
      <c r="AD30" s="62"/>
      <c r="AE30" s="62"/>
      <c r="AF30" s="62"/>
      <c r="AG30" s="62"/>
      <c r="AH30" s="62"/>
      <c r="AI30" s="62"/>
    </row>
    <row r="31" ht="14.25" customHeight="1">
      <c r="Z31" s="62"/>
      <c r="AA31" s="62"/>
      <c r="AB31" s="62"/>
      <c r="AC31" s="62"/>
      <c r="AD31" s="62"/>
      <c r="AE31" s="62"/>
      <c r="AF31" s="62"/>
      <c r="AG31" s="62"/>
      <c r="AH31" s="62"/>
      <c r="AI31" s="62"/>
    </row>
    <row r="32" ht="14.25" customHeight="1">
      <c r="Z32" s="62"/>
      <c r="AA32" s="62"/>
      <c r="AB32" s="62"/>
      <c r="AC32" s="62"/>
      <c r="AD32" s="62"/>
      <c r="AE32" s="62"/>
      <c r="AF32" s="62"/>
      <c r="AG32" s="62"/>
      <c r="AH32" s="62"/>
      <c r="AI32" s="62"/>
    </row>
    <row r="33" ht="14.25" customHeight="1">
      <c r="Z33" s="62"/>
      <c r="AA33" s="62"/>
      <c r="AB33" s="62"/>
      <c r="AC33" s="62"/>
      <c r="AD33" s="62"/>
      <c r="AE33" s="62"/>
      <c r="AF33" s="62"/>
      <c r="AG33" s="62"/>
      <c r="AH33" s="62"/>
      <c r="AI33" s="62"/>
    </row>
    <row r="34" ht="14.25" customHeight="1">
      <c r="Z34" s="62"/>
      <c r="AA34" s="62"/>
      <c r="AB34" s="62"/>
      <c r="AC34" s="62"/>
      <c r="AD34" s="62"/>
      <c r="AE34" s="62"/>
      <c r="AF34" s="62"/>
      <c r="AG34" s="62"/>
      <c r="AH34" s="62"/>
      <c r="AI34" s="62"/>
    </row>
    <row r="35" ht="14.25" customHeight="1">
      <c r="Z35" s="62"/>
      <c r="AA35" s="62"/>
      <c r="AB35" s="62"/>
      <c r="AC35" s="62"/>
      <c r="AD35" s="62"/>
      <c r="AE35" s="62"/>
      <c r="AF35" s="62"/>
      <c r="AG35" s="62"/>
      <c r="AH35" s="62"/>
      <c r="AI35" s="62"/>
    </row>
    <row r="36" ht="14.25" customHeight="1">
      <c r="Z36" s="62"/>
      <c r="AA36" s="62"/>
      <c r="AB36" s="62"/>
      <c r="AC36" s="62"/>
      <c r="AD36" s="62"/>
      <c r="AE36" s="62"/>
      <c r="AF36" s="62"/>
      <c r="AG36" s="62"/>
      <c r="AH36" s="62"/>
      <c r="AI36" s="62"/>
    </row>
    <row r="37" ht="14.25" customHeight="1">
      <c r="Z37" s="62"/>
      <c r="AA37" s="62"/>
      <c r="AB37" s="62"/>
      <c r="AC37" s="62"/>
      <c r="AD37" s="62"/>
      <c r="AE37" s="62"/>
      <c r="AF37" s="62"/>
      <c r="AG37" s="62"/>
      <c r="AH37" s="62"/>
      <c r="AI37" s="62"/>
    </row>
    <row r="38" ht="14.25" customHeight="1">
      <c r="Z38" s="62"/>
      <c r="AA38" s="62"/>
      <c r="AB38" s="62"/>
      <c r="AC38" s="62"/>
      <c r="AD38" s="62"/>
      <c r="AE38" s="62"/>
      <c r="AF38" s="62"/>
      <c r="AG38" s="62"/>
      <c r="AH38" s="62"/>
      <c r="AI38" s="62"/>
    </row>
    <row r="39" ht="14.25" customHeight="1">
      <c r="Z39" s="62"/>
      <c r="AA39" s="62"/>
      <c r="AB39" s="62"/>
      <c r="AC39" s="62"/>
      <c r="AD39" s="62"/>
      <c r="AE39" s="62"/>
      <c r="AF39" s="62"/>
      <c r="AG39" s="62"/>
      <c r="AH39" s="62"/>
      <c r="AI39" s="62"/>
    </row>
    <row r="40" ht="14.25" customHeight="1">
      <c r="Z40" s="62"/>
      <c r="AA40" s="62"/>
      <c r="AB40" s="62"/>
      <c r="AC40" s="62"/>
      <c r="AD40" s="62"/>
      <c r="AE40" s="62"/>
      <c r="AF40" s="62"/>
      <c r="AG40" s="62"/>
      <c r="AH40" s="62"/>
      <c r="AI40" s="62"/>
    </row>
    <row r="41" ht="14.25" customHeight="1">
      <c r="Z41" s="62"/>
      <c r="AA41" s="62"/>
      <c r="AB41" s="62"/>
      <c r="AC41" s="62"/>
      <c r="AD41" s="62"/>
      <c r="AE41" s="62"/>
      <c r="AF41" s="62"/>
      <c r="AG41" s="62"/>
      <c r="AH41" s="62"/>
      <c r="AI41" s="62"/>
    </row>
    <row r="42" ht="14.25" customHeight="1">
      <c r="Z42" s="62"/>
      <c r="AA42" s="62"/>
      <c r="AB42" s="62"/>
      <c r="AC42" s="62"/>
      <c r="AD42" s="62"/>
      <c r="AE42" s="62"/>
      <c r="AF42" s="62"/>
      <c r="AG42" s="62"/>
      <c r="AH42" s="62"/>
      <c r="AI42" s="62"/>
    </row>
    <row r="43" ht="14.25" customHeight="1">
      <c r="Z43" s="62"/>
      <c r="AA43" s="62"/>
      <c r="AB43" s="62"/>
      <c r="AC43" s="62"/>
      <c r="AD43" s="62"/>
      <c r="AE43" s="62"/>
      <c r="AF43" s="62"/>
      <c r="AG43" s="62"/>
      <c r="AH43" s="62"/>
      <c r="AI43" s="62"/>
    </row>
    <row r="44" ht="14.25" customHeight="1">
      <c r="Z44" s="62"/>
      <c r="AA44" s="62"/>
      <c r="AB44" s="62"/>
      <c r="AC44" s="62"/>
      <c r="AD44" s="62"/>
      <c r="AE44" s="62"/>
      <c r="AF44" s="62"/>
      <c r="AG44" s="62"/>
      <c r="AH44" s="62"/>
      <c r="AI44" s="62"/>
    </row>
    <row r="45" ht="14.25" customHeight="1">
      <c r="Z45" s="62"/>
      <c r="AA45" s="62"/>
      <c r="AB45" s="62"/>
      <c r="AC45" s="62"/>
      <c r="AD45" s="62"/>
      <c r="AE45" s="62"/>
      <c r="AF45" s="62"/>
      <c r="AG45" s="62"/>
      <c r="AH45" s="62"/>
      <c r="AI45" s="62"/>
    </row>
    <row r="46" ht="14.25" customHeight="1">
      <c r="Z46" s="62"/>
      <c r="AA46" s="62"/>
      <c r="AB46" s="62"/>
      <c r="AC46" s="62"/>
      <c r="AD46" s="62"/>
      <c r="AE46" s="62"/>
      <c r="AF46" s="62"/>
      <c r="AG46" s="62"/>
      <c r="AH46" s="62"/>
      <c r="AI46" s="62"/>
    </row>
    <row r="47" ht="14.25" customHeight="1">
      <c r="Z47" s="62"/>
      <c r="AA47" s="62"/>
      <c r="AB47" s="62"/>
      <c r="AC47" s="62"/>
      <c r="AD47" s="62"/>
      <c r="AE47" s="62"/>
      <c r="AF47" s="62"/>
      <c r="AG47" s="62"/>
      <c r="AH47" s="62"/>
      <c r="AI47" s="62"/>
    </row>
    <row r="48" ht="14.25" customHeight="1">
      <c r="Z48" s="62"/>
      <c r="AA48" s="62"/>
      <c r="AB48" s="62"/>
      <c r="AC48" s="62"/>
      <c r="AD48" s="62"/>
      <c r="AE48" s="62"/>
      <c r="AF48" s="62"/>
      <c r="AG48" s="62"/>
      <c r="AH48" s="62"/>
      <c r="AI48" s="62"/>
    </row>
    <row r="49" ht="14.25" customHeight="1">
      <c r="Z49" s="62"/>
      <c r="AA49" s="62"/>
      <c r="AB49" s="62"/>
      <c r="AC49" s="62"/>
      <c r="AD49" s="62"/>
      <c r="AE49" s="62"/>
      <c r="AF49" s="62"/>
      <c r="AG49" s="62"/>
      <c r="AH49" s="62"/>
      <c r="AI49" s="62"/>
    </row>
    <row r="50" ht="14.25" customHeight="1">
      <c r="Z50" s="62"/>
      <c r="AA50" s="62"/>
      <c r="AB50" s="62"/>
      <c r="AC50" s="62"/>
      <c r="AD50" s="62"/>
      <c r="AE50" s="62"/>
      <c r="AF50" s="62"/>
      <c r="AG50" s="62"/>
      <c r="AH50" s="62"/>
      <c r="AI50" s="62"/>
    </row>
    <row r="51" ht="14.25" customHeight="1">
      <c r="Z51" s="62"/>
      <c r="AA51" s="62"/>
      <c r="AB51" s="62"/>
      <c r="AC51" s="62"/>
      <c r="AD51" s="62"/>
      <c r="AE51" s="62"/>
      <c r="AF51" s="62"/>
      <c r="AG51" s="62"/>
      <c r="AH51" s="62"/>
      <c r="AI51" s="62"/>
    </row>
    <row r="52" ht="14.25" customHeight="1">
      <c r="Z52" s="62"/>
      <c r="AA52" s="62"/>
      <c r="AB52" s="62"/>
      <c r="AC52" s="62"/>
      <c r="AD52" s="62"/>
      <c r="AE52" s="62"/>
      <c r="AF52" s="62"/>
      <c r="AG52" s="62"/>
      <c r="AH52" s="62"/>
      <c r="AI52" s="62"/>
    </row>
    <row r="53" ht="14.25" customHeight="1">
      <c r="Z53" s="62"/>
      <c r="AA53" s="62"/>
      <c r="AB53" s="62"/>
      <c r="AC53" s="62"/>
      <c r="AD53" s="62"/>
      <c r="AE53" s="62"/>
      <c r="AF53" s="62"/>
      <c r="AG53" s="62"/>
      <c r="AH53" s="62"/>
      <c r="AI53" s="62"/>
    </row>
    <row r="54" ht="14.25" customHeight="1">
      <c r="Z54" s="62"/>
      <c r="AA54" s="62"/>
      <c r="AB54" s="62"/>
      <c r="AC54" s="62"/>
      <c r="AD54" s="62"/>
      <c r="AE54" s="62"/>
      <c r="AF54" s="62"/>
      <c r="AG54" s="62"/>
      <c r="AH54" s="62"/>
      <c r="AI54" s="62"/>
    </row>
    <row r="55" ht="14.25" customHeight="1">
      <c r="Z55" s="62"/>
      <c r="AA55" s="62"/>
      <c r="AB55" s="62"/>
      <c r="AC55" s="62"/>
      <c r="AD55" s="62"/>
      <c r="AE55" s="62"/>
      <c r="AF55" s="62"/>
      <c r="AG55" s="62"/>
      <c r="AH55" s="62"/>
      <c r="AI55" s="62"/>
    </row>
    <row r="56" ht="14.25" customHeight="1">
      <c r="Z56" s="62"/>
      <c r="AA56" s="62"/>
      <c r="AB56" s="62"/>
      <c r="AC56" s="62"/>
      <c r="AD56" s="62"/>
      <c r="AE56" s="62"/>
      <c r="AF56" s="62"/>
      <c r="AG56" s="62"/>
      <c r="AH56" s="62"/>
      <c r="AI56" s="62"/>
    </row>
    <row r="57" ht="14.25" customHeight="1">
      <c r="Z57" s="62"/>
      <c r="AA57" s="62"/>
      <c r="AB57" s="62"/>
      <c r="AC57" s="62"/>
      <c r="AD57" s="62"/>
      <c r="AE57" s="62"/>
      <c r="AF57" s="62"/>
      <c r="AG57" s="62"/>
      <c r="AH57" s="62"/>
      <c r="AI57" s="62"/>
    </row>
    <row r="58" ht="14.25" customHeight="1">
      <c r="Z58" s="62"/>
      <c r="AA58" s="62"/>
      <c r="AB58" s="62"/>
      <c r="AC58" s="62"/>
      <c r="AD58" s="62"/>
      <c r="AE58" s="62"/>
      <c r="AF58" s="62"/>
      <c r="AG58" s="62"/>
      <c r="AH58" s="62"/>
      <c r="AI58" s="62"/>
    </row>
    <row r="59" ht="14.25" customHeight="1">
      <c r="Z59" s="62"/>
      <c r="AA59" s="62"/>
      <c r="AB59" s="62"/>
      <c r="AC59" s="62"/>
      <c r="AD59" s="62"/>
      <c r="AE59" s="62"/>
      <c r="AF59" s="62"/>
      <c r="AG59" s="62"/>
      <c r="AH59" s="62"/>
      <c r="AI59" s="62"/>
    </row>
    <row r="60" ht="14.25" customHeight="1">
      <c r="Z60" s="62"/>
      <c r="AA60" s="62"/>
      <c r="AB60" s="62"/>
      <c r="AC60" s="62"/>
      <c r="AD60" s="62"/>
      <c r="AE60" s="62"/>
      <c r="AF60" s="62"/>
      <c r="AG60" s="62"/>
      <c r="AH60" s="62"/>
      <c r="AI60" s="62"/>
    </row>
    <row r="61" ht="14.25" customHeight="1">
      <c r="Z61" s="62"/>
      <c r="AA61" s="62"/>
      <c r="AB61" s="62"/>
      <c r="AC61" s="62"/>
      <c r="AD61" s="62"/>
      <c r="AE61" s="62"/>
      <c r="AF61" s="62"/>
      <c r="AG61" s="62"/>
      <c r="AH61" s="62"/>
      <c r="AI61" s="62"/>
    </row>
    <row r="62" ht="14.25" customHeight="1">
      <c r="Z62" s="62"/>
      <c r="AA62" s="62"/>
      <c r="AB62" s="62"/>
      <c r="AC62" s="62"/>
      <c r="AD62" s="62"/>
      <c r="AE62" s="62"/>
      <c r="AF62" s="62"/>
      <c r="AG62" s="62"/>
      <c r="AH62" s="62"/>
      <c r="AI62" s="62"/>
    </row>
    <row r="63" ht="14.25" customHeight="1">
      <c r="Z63" s="62"/>
      <c r="AA63" s="62"/>
      <c r="AB63" s="62"/>
      <c r="AC63" s="62"/>
      <c r="AD63" s="62"/>
      <c r="AE63" s="62"/>
      <c r="AF63" s="62"/>
      <c r="AG63" s="62"/>
      <c r="AH63" s="62"/>
      <c r="AI63" s="62"/>
    </row>
    <row r="64" ht="14.25" customHeight="1">
      <c r="Z64" s="62"/>
      <c r="AA64" s="62"/>
      <c r="AB64" s="62"/>
      <c r="AC64" s="62"/>
      <c r="AD64" s="62"/>
      <c r="AE64" s="62"/>
      <c r="AF64" s="62"/>
      <c r="AG64" s="62"/>
      <c r="AH64" s="62"/>
      <c r="AI64" s="62"/>
    </row>
    <row r="65" ht="14.25" customHeight="1">
      <c r="Z65" s="62"/>
      <c r="AA65" s="62"/>
      <c r="AB65" s="62"/>
      <c r="AC65" s="62"/>
      <c r="AD65" s="62"/>
      <c r="AE65" s="62"/>
      <c r="AF65" s="62"/>
      <c r="AG65" s="62"/>
      <c r="AH65" s="62"/>
      <c r="AI65" s="62"/>
    </row>
    <row r="66" ht="14.25" customHeight="1">
      <c r="Z66" s="62"/>
      <c r="AA66" s="62"/>
      <c r="AB66" s="62"/>
      <c r="AC66" s="62"/>
      <c r="AD66" s="62"/>
      <c r="AE66" s="62"/>
      <c r="AF66" s="62"/>
      <c r="AG66" s="62"/>
      <c r="AH66" s="62"/>
      <c r="AI66" s="62"/>
    </row>
    <row r="67" ht="14.25" customHeight="1">
      <c r="Z67" s="62"/>
      <c r="AA67" s="62"/>
      <c r="AB67" s="62"/>
      <c r="AC67" s="62"/>
      <c r="AD67" s="62"/>
      <c r="AE67" s="62"/>
      <c r="AF67" s="62"/>
      <c r="AG67" s="62"/>
      <c r="AH67" s="62"/>
      <c r="AI67" s="62"/>
    </row>
    <row r="68" ht="14.25" customHeight="1">
      <c r="Z68" s="62"/>
      <c r="AA68" s="62"/>
      <c r="AB68" s="62"/>
      <c r="AC68" s="62"/>
      <c r="AD68" s="62"/>
      <c r="AE68" s="62"/>
      <c r="AF68" s="62"/>
      <c r="AG68" s="62"/>
      <c r="AH68" s="62"/>
      <c r="AI68" s="62"/>
    </row>
    <row r="69" ht="14.25" customHeight="1">
      <c r="Z69" s="62"/>
      <c r="AA69" s="62"/>
      <c r="AB69" s="62"/>
      <c r="AC69" s="62"/>
      <c r="AD69" s="62"/>
      <c r="AE69" s="62"/>
      <c r="AF69" s="62"/>
      <c r="AG69" s="62"/>
      <c r="AH69" s="62"/>
      <c r="AI69" s="62"/>
    </row>
    <row r="70" ht="14.25" customHeight="1">
      <c r="Z70" s="62"/>
      <c r="AA70" s="62"/>
      <c r="AB70" s="62"/>
      <c r="AC70" s="62"/>
      <c r="AD70" s="62"/>
      <c r="AE70" s="62"/>
      <c r="AF70" s="62"/>
      <c r="AG70" s="62"/>
      <c r="AH70" s="62"/>
      <c r="AI70" s="62"/>
    </row>
    <row r="71" ht="14.25" customHeight="1">
      <c r="Z71" s="62"/>
      <c r="AA71" s="62"/>
      <c r="AB71" s="62"/>
      <c r="AC71" s="62"/>
      <c r="AD71" s="62"/>
      <c r="AE71" s="62"/>
      <c r="AF71" s="62"/>
      <c r="AG71" s="62"/>
      <c r="AH71" s="62"/>
      <c r="AI71" s="62"/>
    </row>
    <row r="72" ht="14.25" customHeight="1">
      <c r="Z72" s="62"/>
      <c r="AA72" s="62"/>
      <c r="AB72" s="62"/>
      <c r="AC72" s="62"/>
      <c r="AD72" s="62"/>
      <c r="AE72" s="62"/>
      <c r="AF72" s="62"/>
      <c r="AG72" s="62"/>
      <c r="AH72" s="62"/>
      <c r="AI72" s="62"/>
    </row>
    <row r="73" ht="14.25" customHeight="1">
      <c r="Z73" s="62"/>
      <c r="AA73" s="62"/>
      <c r="AB73" s="62"/>
      <c r="AC73" s="62"/>
      <c r="AD73" s="62"/>
      <c r="AE73" s="62"/>
      <c r="AF73" s="62"/>
      <c r="AG73" s="62"/>
      <c r="AH73" s="62"/>
      <c r="AI73" s="62"/>
    </row>
    <row r="74" ht="14.25" customHeight="1">
      <c r="Z74" s="62"/>
      <c r="AA74" s="62"/>
      <c r="AB74" s="62"/>
      <c r="AC74" s="62"/>
      <c r="AD74" s="62"/>
      <c r="AE74" s="62"/>
      <c r="AF74" s="62"/>
      <c r="AG74" s="62"/>
      <c r="AH74" s="62"/>
      <c r="AI74" s="62"/>
    </row>
    <row r="75" ht="14.25" customHeight="1">
      <c r="Z75" s="62"/>
      <c r="AA75" s="62"/>
      <c r="AB75" s="62"/>
      <c r="AC75" s="62"/>
      <c r="AD75" s="62"/>
      <c r="AE75" s="62"/>
      <c r="AF75" s="62"/>
      <c r="AG75" s="62"/>
      <c r="AH75" s="62"/>
      <c r="AI75" s="62"/>
    </row>
    <row r="76" ht="14.25" customHeight="1">
      <c r="Z76" s="62"/>
      <c r="AA76" s="62"/>
      <c r="AB76" s="62"/>
      <c r="AC76" s="62"/>
      <c r="AD76" s="62"/>
      <c r="AE76" s="62"/>
      <c r="AF76" s="62"/>
      <c r="AG76" s="62"/>
      <c r="AH76" s="62"/>
      <c r="AI76" s="62"/>
    </row>
    <row r="77" ht="14.25" customHeight="1">
      <c r="Z77" s="62"/>
      <c r="AA77" s="62"/>
      <c r="AB77" s="62"/>
      <c r="AC77" s="62"/>
      <c r="AD77" s="62"/>
      <c r="AE77" s="62"/>
      <c r="AF77" s="62"/>
      <c r="AG77" s="62"/>
      <c r="AH77" s="62"/>
      <c r="AI77" s="62"/>
    </row>
    <row r="78" ht="14.25" customHeight="1">
      <c r="Z78" s="62"/>
      <c r="AA78" s="62"/>
      <c r="AB78" s="62"/>
      <c r="AC78" s="62"/>
      <c r="AD78" s="62"/>
      <c r="AE78" s="62"/>
      <c r="AF78" s="62"/>
      <c r="AG78" s="62"/>
      <c r="AH78" s="62"/>
      <c r="AI78" s="62"/>
    </row>
    <row r="79" ht="14.25" customHeight="1">
      <c r="Z79" s="62"/>
      <c r="AA79" s="62"/>
      <c r="AB79" s="62"/>
      <c r="AC79" s="62"/>
      <c r="AD79" s="62"/>
      <c r="AE79" s="62"/>
      <c r="AF79" s="62"/>
      <c r="AG79" s="62"/>
      <c r="AH79" s="62"/>
      <c r="AI79" s="62"/>
    </row>
    <row r="80" ht="14.25" customHeight="1">
      <c r="Z80" s="62"/>
      <c r="AA80" s="62"/>
      <c r="AB80" s="62"/>
      <c r="AC80" s="62"/>
      <c r="AD80" s="62"/>
      <c r="AE80" s="62"/>
      <c r="AF80" s="62"/>
      <c r="AG80" s="62"/>
      <c r="AH80" s="62"/>
      <c r="AI80" s="62"/>
    </row>
    <row r="81" ht="14.25" customHeight="1">
      <c r="Z81" s="62"/>
      <c r="AA81" s="62"/>
      <c r="AB81" s="62"/>
      <c r="AC81" s="62"/>
      <c r="AD81" s="62"/>
      <c r="AE81" s="62"/>
      <c r="AF81" s="62"/>
      <c r="AG81" s="62"/>
      <c r="AH81" s="62"/>
      <c r="AI81" s="62"/>
    </row>
    <row r="82" ht="14.25" customHeight="1">
      <c r="Z82" s="62"/>
      <c r="AA82" s="62"/>
      <c r="AB82" s="62"/>
      <c r="AC82" s="62"/>
      <c r="AD82" s="62"/>
      <c r="AE82" s="62"/>
      <c r="AF82" s="62"/>
      <c r="AG82" s="62"/>
      <c r="AH82" s="62"/>
      <c r="AI82" s="62"/>
    </row>
    <row r="83" ht="14.25" customHeight="1">
      <c r="Z83" s="62"/>
      <c r="AA83" s="62"/>
      <c r="AB83" s="62"/>
      <c r="AC83" s="62"/>
      <c r="AD83" s="62"/>
      <c r="AE83" s="62"/>
      <c r="AF83" s="62"/>
      <c r="AG83" s="62"/>
      <c r="AH83" s="62"/>
      <c r="AI83" s="62"/>
    </row>
    <row r="84" ht="14.25" customHeight="1">
      <c r="Z84" s="62"/>
      <c r="AA84" s="62"/>
      <c r="AB84" s="62"/>
      <c r="AC84" s="62"/>
      <c r="AD84" s="62"/>
      <c r="AE84" s="62"/>
      <c r="AF84" s="62"/>
      <c r="AG84" s="62"/>
      <c r="AH84" s="62"/>
      <c r="AI84" s="62"/>
    </row>
    <row r="85" ht="14.25" customHeight="1">
      <c r="Z85" s="62"/>
      <c r="AA85" s="62"/>
      <c r="AB85" s="62"/>
      <c r="AC85" s="62"/>
      <c r="AD85" s="62"/>
      <c r="AE85" s="62"/>
      <c r="AF85" s="62"/>
      <c r="AG85" s="62"/>
      <c r="AH85" s="62"/>
      <c r="AI85" s="62"/>
    </row>
    <row r="86" ht="14.25" customHeight="1">
      <c r="Z86" s="62"/>
      <c r="AA86" s="62"/>
      <c r="AB86" s="62"/>
      <c r="AC86" s="62"/>
      <c r="AD86" s="62"/>
      <c r="AE86" s="62"/>
      <c r="AF86" s="62"/>
      <c r="AG86" s="62"/>
      <c r="AH86" s="62"/>
      <c r="AI86" s="62"/>
    </row>
    <row r="87" ht="14.25" customHeight="1">
      <c r="Z87" s="62"/>
      <c r="AA87" s="62"/>
      <c r="AB87" s="62"/>
      <c r="AC87" s="62"/>
      <c r="AD87" s="62"/>
      <c r="AE87" s="62"/>
      <c r="AF87" s="62"/>
      <c r="AG87" s="62"/>
      <c r="AH87" s="62"/>
      <c r="AI87" s="62"/>
    </row>
    <row r="88" ht="14.25" customHeight="1">
      <c r="Z88" s="62"/>
      <c r="AA88" s="62"/>
      <c r="AB88" s="62"/>
      <c r="AC88" s="62"/>
      <c r="AD88" s="62"/>
      <c r="AE88" s="62"/>
      <c r="AF88" s="62"/>
      <c r="AG88" s="62"/>
      <c r="AH88" s="62"/>
      <c r="AI88" s="62"/>
    </row>
    <row r="89" ht="14.25" customHeight="1">
      <c r="Z89" s="62"/>
      <c r="AA89" s="62"/>
      <c r="AB89" s="62"/>
      <c r="AC89" s="62"/>
      <c r="AD89" s="62"/>
      <c r="AE89" s="62"/>
      <c r="AF89" s="62"/>
      <c r="AG89" s="62"/>
      <c r="AH89" s="62"/>
      <c r="AI89" s="62"/>
    </row>
    <row r="90" ht="14.25" customHeight="1">
      <c r="Z90" s="62"/>
      <c r="AA90" s="62"/>
      <c r="AB90" s="62"/>
      <c r="AC90" s="62"/>
      <c r="AD90" s="62"/>
      <c r="AE90" s="62"/>
      <c r="AF90" s="62"/>
      <c r="AG90" s="62"/>
      <c r="AH90" s="62"/>
      <c r="AI90" s="62"/>
    </row>
    <row r="91" ht="14.25" customHeight="1">
      <c r="Z91" s="62"/>
      <c r="AA91" s="62"/>
      <c r="AB91" s="62"/>
      <c r="AC91" s="62"/>
      <c r="AD91" s="62"/>
      <c r="AE91" s="62"/>
      <c r="AF91" s="62"/>
      <c r="AG91" s="62"/>
      <c r="AH91" s="62"/>
      <c r="AI91" s="62"/>
    </row>
    <row r="92" ht="14.25" customHeight="1">
      <c r="Z92" s="62"/>
      <c r="AA92" s="62"/>
      <c r="AB92" s="62"/>
      <c r="AC92" s="62"/>
      <c r="AD92" s="62"/>
      <c r="AE92" s="62"/>
      <c r="AF92" s="62"/>
      <c r="AG92" s="62"/>
      <c r="AH92" s="62"/>
      <c r="AI92" s="62"/>
    </row>
    <row r="93" ht="14.25" customHeight="1">
      <c r="Z93" s="62"/>
      <c r="AA93" s="62"/>
      <c r="AB93" s="62"/>
      <c r="AC93" s="62"/>
      <c r="AD93" s="62"/>
      <c r="AE93" s="62"/>
      <c r="AF93" s="62"/>
      <c r="AG93" s="62"/>
      <c r="AH93" s="62"/>
      <c r="AI93" s="62"/>
    </row>
    <row r="94" ht="14.25" customHeight="1">
      <c r="Z94" s="62"/>
      <c r="AA94" s="62"/>
      <c r="AB94" s="62"/>
      <c r="AC94" s="62"/>
      <c r="AD94" s="62"/>
      <c r="AE94" s="62"/>
      <c r="AF94" s="62"/>
      <c r="AG94" s="62"/>
      <c r="AH94" s="62"/>
      <c r="AI94" s="62"/>
    </row>
    <row r="95" ht="14.25" customHeight="1">
      <c r="Z95" s="62"/>
      <c r="AA95" s="62"/>
      <c r="AB95" s="62"/>
      <c r="AC95" s="62"/>
      <c r="AD95" s="62"/>
      <c r="AE95" s="62"/>
      <c r="AF95" s="62"/>
      <c r="AG95" s="62"/>
      <c r="AH95" s="62"/>
      <c r="AI95" s="62"/>
    </row>
    <row r="96" ht="14.25" customHeight="1">
      <c r="Z96" s="62"/>
      <c r="AA96" s="62"/>
      <c r="AB96" s="62"/>
      <c r="AC96" s="62"/>
      <c r="AD96" s="62"/>
      <c r="AE96" s="62"/>
      <c r="AF96" s="62"/>
      <c r="AG96" s="62"/>
      <c r="AH96" s="62"/>
      <c r="AI96" s="62"/>
    </row>
    <row r="97" ht="14.25" customHeight="1">
      <c r="Z97" s="62"/>
      <c r="AA97" s="62"/>
      <c r="AB97" s="62"/>
      <c r="AC97" s="62"/>
      <c r="AD97" s="62"/>
      <c r="AE97" s="62"/>
      <c r="AF97" s="62"/>
      <c r="AG97" s="62"/>
      <c r="AH97" s="62"/>
      <c r="AI97" s="62"/>
    </row>
    <row r="98" ht="14.25" customHeight="1">
      <c r="Z98" s="62"/>
      <c r="AA98" s="62"/>
      <c r="AB98" s="62"/>
      <c r="AC98" s="62"/>
      <c r="AD98" s="62"/>
      <c r="AE98" s="62"/>
      <c r="AF98" s="62"/>
      <c r="AG98" s="62"/>
      <c r="AH98" s="62"/>
      <c r="AI98" s="62"/>
    </row>
    <row r="99" ht="14.25" customHeight="1">
      <c r="Z99" s="62"/>
      <c r="AA99" s="62"/>
      <c r="AB99" s="62"/>
      <c r="AC99" s="62"/>
      <c r="AD99" s="62"/>
      <c r="AE99" s="62"/>
      <c r="AF99" s="62"/>
      <c r="AG99" s="62"/>
      <c r="AH99" s="62"/>
      <c r="AI99" s="62"/>
    </row>
    <row r="100" ht="14.25" customHeight="1">
      <c r="Z100" s="62"/>
      <c r="AA100" s="62"/>
      <c r="AB100" s="62"/>
      <c r="AC100" s="62"/>
      <c r="AD100" s="62"/>
      <c r="AE100" s="62"/>
      <c r="AF100" s="62"/>
      <c r="AG100" s="62"/>
      <c r="AH100" s="62"/>
      <c r="AI100" s="62"/>
    </row>
    <row r="101" ht="14.25" customHeight="1">
      <c r="Z101" s="62"/>
      <c r="AA101" s="62"/>
      <c r="AB101" s="62"/>
      <c r="AC101" s="62"/>
      <c r="AD101" s="62"/>
      <c r="AE101" s="62"/>
      <c r="AF101" s="62"/>
      <c r="AG101" s="62"/>
      <c r="AH101" s="62"/>
      <c r="AI101" s="62"/>
    </row>
    <row r="102" ht="14.25" customHeight="1">
      <c r="Z102" s="62"/>
      <c r="AA102" s="62"/>
      <c r="AB102" s="62"/>
      <c r="AC102" s="62"/>
      <c r="AD102" s="62"/>
      <c r="AE102" s="62"/>
      <c r="AF102" s="62"/>
      <c r="AG102" s="62"/>
      <c r="AH102" s="62"/>
      <c r="AI102" s="62"/>
    </row>
    <row r="103" ht="14.25" customHeight="1">
      <c r="Z103" s="62"/>
      <c r="AA103" s="62"/>
      <c r="AB103" s="62"/>
      <c r="AC103" s="62"/>
      <c r="AD103" s="62"/>
      <c r="AE103" s="62"/>
      <c r="AF103" s="62"/>
      <c r="AG103" s="62"/>
      <c r="AH103" s="62"/>
      <c r="AI103" s="62"/>
    </row>
    <row r="104" ht="14.25" customHeight="1">
      <c r="Z104" s="62"/>
      <c r="AA104" s="62"/>
      <c r="AB104" s="62"/>
      <c r="AC104" s="62"/>
      <c r="AD104" s="62"/>
      <c r="AE104" s="62"/>
      <c r="AF104" s="62"/>
      <c r="AG104" s="62"/>
      <c r="AH104" s="62"/>
      <c r="AI104" s="62"/>
    </row>
    <row r="105" ht="14.25" customHeight="1">
      <c r="Z105" s="62"/>
      <c r="AA105" s="62"/>
      <c r="AB105" s="62"/>
      <c r="AC105" s="62"/>
      <c r="AD105" s="62"/>
      <c r="AE105" s="62"/>
      <c r="AF105" s="62"/>
      <c r="AG105" s="62"/>
      <c r="AH105" s="62"/>
      <c r="AI105" s="62"/>
    </row>
    <row r="106" ht="14.25" customHeight="1">
      <c r="Z106" s="62"/>
      <c r="AA106" s="62"/>
      <c r="AB106" s="62"/>
      <c r="AC106" s="62"/>
      <c r="AD106" s="62"/>
      <c r="AE106" s="62"/>
      <c r="AF106" s="62"/>
      <c r="AG106" s="62"/>
      <c r="AH106" s="62"/>
      <c r="AI106" s="62"/>
    </row>
    <row r="107" ht="14.25" customHeight="1">
      <c r="Z107" s="62"/>
      <c r="AA107" s="62"/>
      <c r="AB107" s="62"/>
      <c r="AC107" s="62"/>
      <c r="AD107" s="62"/>
      <c r="AE107" s="62"/>
      <c r="AF107" s="62"/>
      <c r="AG107" s="62"/>
      <c r="AH107" s="62"/>
      <c r="AI107" s="62"/>
    </row>
    <row r="108" ht="14.25" customHeight="1">
      <c r="Z108" s="62"/>
      <c r="AA108" s="62"/>
      <c r="AB108" s="62"/>
      <c r="AC108" s="62"/>
      <c r="AD108" s="62"/>
      <c r="AE108" s="62"/>
      <c r="AF108" s="62"/>
      <c r="AG108" s="62"/>
      <c r="AH108" s="62"/>
      <c r="AI108" s="62"/>
    </row>
    <row r="109" ht="14.25" customHeight="1">
      <c r="Z109" s="62"/>
      <c r="AA109" s="62"/>
      <c r="AB109" s="62"/>
      <c r="AC109" s="62"/>
      <c r="AD109" s="62"/>
      <c r="AE109" s="62"/>
      <c r="AF109" s="62"/>
      <c r="AG109" s="62"/>
      <c r="AH109" s="62"/>
      <c r="AI109" s="62"/>
    </row>
    <row r="110" ht="14.25" customHeight="1">
      <c r="Z110" s="62"/>
      <c r="AA110" s="62"/>
      <c r="AB110" s="62"/>
      <c r="AC110" s="62"/>
      <c r="AD110" s="62"/>
      <c r="AE110" s="62"/>
      <c r="AF110" s="62"/>
      <c r="AG110" s="62"/>
      <c r="AH110" s="62"/>
      <c r="AI110" s="62"/>
    </row>
    <row r="111" ht="14.25" customHeight="1">
      <c r="Z111" s="62"/>
      <c r="AA111" s="62"/>
      <c r="AB111" s="62"/>
      <c r="AC111" s="62"/>
      <c r="AD111" s="62"/>
      <c r="AE111" s="62"/>
      <c r="AF111" s="62"/>
      <c r="AG111" s="62"/>
      <c r="AH111" s="62"/>
      <c r="AI111" s="62"/>
    </row>
    <row r="112" ht="14.25" customHeight="1">
      <c r="Z112" s="62"/>
      <c r="AA112" s="62"/>
      <c r="AB112" s="62"/>
      <c r="AC112" s="62"/>
      <c r="AD112" s="62"/>
      <c r="AE112" s="62"/>
      <c r="AF112" s="62"/>
      <c r="AG112" s="62"/>
      <c r="AH112" s="62"/>
      <c r="AI112" s="62"/>
    </row>
    <row r="113" ht="14.25" customHeight="1">
      <c r="Z113" s="62"/>
      <c r="AA113" s="62"/>
      <c r="AB113" s="62"/>
      <c r="AC113" s="62"/>
      <c r="AD113" s="62"/>
      <c r="AE113" s="62"/>
      <c r="AF113" s="62"/>
      <c r="AG113" s="62"/>
      <c r="AH113" s="62"/>
      <c r="AI113" s="62"/>
    </row>
    <row r="114" ht="14.25" customHeight="1">
      <c r="Z114" s="62"/>
      <c r="AA114" s="62"/>
      <c r="AB114" s="62"/>
      <c r="AC114" s="62"/>
      <c r="AD114" s="62"/>
      <c r="AE114" s="62"/>
      <c r="AF114" s="62"/>
      <c r="AG114" s="62"/>
      <c r="AH114" s="62"/>
      <c r="AI114" s="62"/>
    </row>
    <row r="115" ht="14.25" customHeight="1">
      <c r="Z115" s="62"/>
      <c r="AA115" s="62"/>
      <c r="AB115" s="62"/>
      <c r="AC115" s="62"/>
      <c r="AD115" s="62"/>
      <c r="AE115" s="62"/>
      <c r="AF115" s="62"/>
      <c r="AG115" s="62"/>
      <c r="AH115" s="62"/>
      <c r="AI115" s="62"/>
    </row>
    <row r="116" ht="14.25" customHeight="1">
      <c r="Z116" s="62"/>
      <c r="AA116" s="62"/>
      <c r="AB116" s="62"/>
      <c r="AC116" s="62"/>
      <c r="AD116" s="62"/>
      <c r="AE116" s="62"/>
      <c r="AF116" s="62"/>
      <c r="AG116" s="62"/>
      <c r="AH116" s="62"/>
      <c r="AI116" s="62"/>
    </row>
    <row r="117" ht="14.25" customHeight="1">
      <c r="Z117" s="62"/>
      <c r="AA117" s="62"/>
      <c r="AB117" s="62"/>
      <c r="AC117" s="62"/>
      <c r="AD117" s="62"/>
      <c r="AE117" s="62"/>
      <c r="AF117" s="62"/>
      <c r="AG117" s="62"/>
      <c r="AH117" s="62"/>
      <c r="AI117" s="62"/>
    </row>
    <row r="118" ht="14.25" customHeight="1">
      <c r="Z118" s="62"/>
      <c r="AA118" s="62"/>
      <c r="AB118" s="62"/>
      <c r="AC118" s="62"/>
      <c r="AD118" s="62"/>
      <c r="AE118" s="62"/>
      <c r="AF118" s="62"/>
      <c r="AG118" s="62"/>
      <c r="AH118" s="62"/>
      <c r="AI118" s="62"/>
    </row>
    <row r="119" ht="14.25" customHeight="1">
      <c r="Z119" s="62"/>
      <c r="AA119" s="62"/>
      <c r="AB119" s="62"/>
      <c r="AC119" s="62"/>
      <c r="AD119" s="62"/>
      <c r="AE119" s="62"/>
      <c r="AF119" s="62"/>
      <c r="AG119" s="62"/>
      <c r="AH119" s="62"/>
      <c r="AI119" s="62"/>
    </row>
    <row r="120" ht="14.25" customHeight="1">
      <c r="Z120" s="62"/>
      <c r="AA120" s="62"/>
      <c r="AB120" s="62"/>
      <c r="AC120" s="62"/>
      <c r="AD120" s="62"/>
      <c r="AE120" s="62"/>
      <c r="AF120" s="62"/>
      <c r="AG120" s="62"/>
      <c r="AH120" s="62"/>
      <c r="AI120" s="62"/>
    </row>
    <row r="121" ht="14.25" customHeight="1">
      <c r="Z121" s="62"/>
      <c r="AA121" s="62"/>
      <c r="AB121" s="62"/>
      <c r="AC121" s="62"/>
      <c r="AD121" s="62"/>
      <c r="AE121" s="62"/>
      <c r="AF121" s="62"/>
      <c r="AG121" s="62"/>
      <c r="AH121" s="62"/>
      <c r="AI121" s="62"/>
    </row>
    <row r="122" ht="14.25" customHeight="1">
      <c r="Z122" s="62"/>
      <c r="AA122" s="62"/>
      <c r="AB122" s="62"/>
      <c r="AC122" s="62"/>
      <c r="AD122" s="62"/>
      <c r="AE122" s="62"/>
      <c r="AF122" s="62"/>
      <c r="AG122" s="62"/>
      <c r="AH122" s="62"/>
      <c r="AI122" s="62"/>
    </row>
    <row r="123" ht="14.25" customHeight="1">
      <c r="Z123" s="62"/>
      <c r="AA123" s="62"/>
      <c r="AB123" s="62"/>
      <c r="AC123" s="62"/>
      <c r="AD123" s="62"/>
      <c r="AE123" s="62"/>
      <c r="AF123" s="62"/>
      <c r="AG123" s="62"/>
      <c r="AH123" s="62"/>
      <c r="AI123" s="62"/>
    </row>
    <row r="124" ht="14.25" customHeight="1">
      <c r="Z124" s="62"/>
      <c r="AA124" s="62"/>
      <c r="AB124" s="62"/>
      <c r="AC124" s="62"/>
      <c r="AD124" s="62"/>
      <c r="AE124" s="62"/>
      <c r="AF124" s="62"/>
      <c r="AG124" s="62"/>
      <c r="AH124" s="62"/>
      <c r="AI124" s="62"/>
    </row>
    <row r="125" ht="14.25" customHeight="1">
      <c r="Z125" s="62"/>
      <c r="AA125" s="62"/>
      <c r="AB125" s="62"/>
      <c r="AC125" s="62"/>
      <c r="AD125" s="62"/>
      <c r="AE125" s="62"/>
      <c r="AF125" s="62"/>
      <c r="AG125" s="62"/>
      <c r="AH125" s="62"/>
      <c r="AI125" s="62"/>
    </row>
    <row r="126" ht="14.25" customHeight="1">
      <c r="Z126" s="62"/>
      <c r="AA126" s="62"/>
      <c r="AB126" s="62"/>
      <c r="AC126" s="62"/>
      <c r="AD126" s="62"/>
      <c r="AE126" s="62"/>
      <c r="AF126" s="62"/>
      <c r="AG126" s="62"/>
      <c r="AH126" s="62"/>
      <c r="AI126" s="62"/>
    </row>
    <row r="127" ht="14.25" customHeight="1">
      <c r="Z127" s="62"/>
      <c r="AA127" s="62"/>
      <c r="AB127" s="62"/>
      <c r="AC127" s="62"/>
      <c r="AD127" s="62"/>
      <c r="AE127" s="62"/>
      <c r="AF127" s="62"/>
      <c r="AG127" s="62"/>
      <c r="AH127" s="62"/>
      <c r="AI127" s="62"/>
    </row>
    <row r="128" ht="14.25" customHeight="1">
      <c r="Z128" s="62"/>
      <c r="AA128" s="62"/>
      <c r="AB128" s="62"/>
      <c r="AC128" s="62"/>
      <c r="AD128" s="62"/>
      <c r="AE128" s="62"/>
      <c r="AF128" s="62"/>
      <c r="AG128" s="62"/>
      <c r="AH128" s="62"/>
      <c r="AI128" s="62"/>
    </row>
    <row r="129" ht="14.25" customHeight="1">
      <c r="Z129" s="62"/>
      <c r="AA129" s="62"/>
      <c r="AB129" s="62"/>
      <c r="AC129" s="62"/>
      <c r="AD129" s="62"/>
      <c r="AE129" s="62"/>
      <c r="AF129" s="62"/>
      <c r="AG129" s="62"/>
      <c r="AH129" s="62"/>
      <c r="AI129" s="62"/>
    </row>
    <row r="130" ht="14.25" customHeight="1">
      <c r="Z130" s="62"/>
      <c r="AA130" s="62"/>
      <c r="AB130" s="62"/>
      <c r="AC130" s="62"/>
      <c r="AD130" s="62"/>
      <c r="AE130" s="62"/>
      <c r="AF130" s="62"/>
      <c r="AG130" s="62"/>
      <c r="AH130" s="62"/>
      <c r="AI130" s="62"/>
    </row>
    <row r="131" ht="14.25" customHeight="1">
      <c r="Z131" s="62"/>
      <c r="AA131" s="62"/>
      <c r="AB131" s="62"/>
      <c r="AC131" s="62"/>
      <c r="AD131" s="62"/>
      <c r="AE131" s="62"/>
      <c r="AF131" s="62"/>
      <c r="AG131" s="62"/>
      <c r="AH131" s="62"/>
      <c r="AI131" s="62"/>
    </row>
    <row r="132" ht="14.25" customHeight="1">
      <c r="Z132" s="62"/>
      <c r="AA132" s="62"/>
      <c r="AB132" s="62"/>
      <c r="AC132" s="62"/>
      <c r="AD132" s="62"/>
      <c r="AE132" s="62"/>
      <c r="AF132" s="62"/>
      <c r="AG132" s="62"/>
      <c r="AH132" s="62"/>
      <c r="AI132" s="62"/>
    </row>
    <row r="133" ht="14.25" customHeight="1">
      <c r="Z133" s="62"/>
      <c r="AA133" s="62"/>
      <c r="AB133" s="62"/>
      <c r="AC133" s="62"/>
      <c r="AD133" s="62"/>
      <c r="AE133" s="62"/>
      <c r="AF133" s="62"/>
      <c r="AG133" s="62"/>
      <c r="AH133" s="62"/>
      <c r="AI133" s="62"/>
    </row>
    <row r="134" ht="14.25" customHeight="1">
      <c r="Z134" s="62"/>
      <c r="AA134" s="62"/>
      <c r="AB134" s="62"/>
      <c r="AC134" s="62"/>
      <c r="AD134" s="62"/>
      <c r="AE134" s="62"/>
      <c r="AF134" s="62"/>
      <c r="AG134" s="62"/>
      <c r="AH134" s="62"/>
      <c r="AI134" s="62"/>
    </row>
    <row r="135" ht="14.25" customHeight="1">
      <c r="Z135" s="62"/>
      <c r="AA135" s="62"/>
      <c r="AB135" s="62"/>
      <c r="AC135" s="62"/>
      <c r="AD135" s="62"/>
      <c r="AE135" s="62"/>
      <c r="AF135" s="62"/>
      <c r="AG135" s="62"/>
      <c r="AH135" s="62"/>
      <c r="AI135" s="62"/>
    </row>
    <row r="136" ht="14.25" customHeight="1">
      <c r="Z136" s="62"/>
      <c r="AA136" s="62"/>
      <c r="AB136" s="62"/>
      <c r="AC136" s="62"/>
      <c r="AD136" s="62"/>
      <c r="AE136" s="62"/>
      <c r="AF136" s="62"/>
      <c r="AG136" s="62"/>
      <c r="AH136" s="62"/>
      <c r="AI136" s="62"/>
    </row>
    <row r="137" ht="14.25" customHeight="1">
      <c r="Z137" s="62"/>
      <c r="AA137" s="62"/>
      <c r="AB137" s="62"/>
      <c r="AC137" s="62"/>
      <c r="AD137" s="62"/>
      <c r="AE137" s="62"/>
      <c r="AF137" s="62"/>
      <c r="AG137" s="62"/>
      <c r="AH137" s="62"/>
      <c r="AI137" s="62"/>
    </row>
    <row r="138" ht="14.25" customHeight="1">
      <c r="Z138" s="62"/>
      <c r="AA138" s="62"/>
      <c r="AB138" s="62"/>
      <c r="AC138" s="62"/>
      <c r="AD138" s="62"/>
      <c r="AE138" s="62"/>
      <c r="AF138" s="62"/>
      <c r="AG138" s="62"/>
      <c r="AH138" s="62"/>
      <c r="AI138" s="62"/>
    </row>
    <row r="139" ht="14.25" customHeight="1">
      <c r="Z139" s="62"/>
      <c r="AA139" s="62"/>
      <c r="AB139" s="62"/>
      <c r="AC139" s="62"/>
      <c r="AD139" s="62"/>
      <c r="AE139" s="62"/>
      <c r="AF139" s="62"/>
      <c r="AG139" s="62"/>
      <c r="AH139" s="62"/>
      <c r="AI139" s="62"/>
    </row>
    <row r="140" ht="14.25" customHeight="1">
      <c r="Z140" s="62"/>
      <c r="AA140" s="62"/>
      <c r="AB140" s="62"/>
      <c r="AC140" s="62"/>
      <c r="AD140" s="62"/>
      <c r="AE140" s="62"/>
      <c r="AF140" s="62"/>
      <c r="AG140" s="62"/>
      <c r="AH140" s="62"/>
      <c r="AI140" s="62"/>
    </row>
    <row r="141" ht="14.25" customHeight="1">
      <c r="Z141" s="62"/>
      <c r="AA141" s="62"/>
      <c r="AB141" s="62"/>
      <c r="AC141" s="62"/>
      <c r="AD141" s="62"/>
      <c r="AE141" s="62"/>
      <c r="AF141" s="62"/>
      <c r="AG141" s="62"/>
      <c r="AH141" s="62"/>
      <c r="AI141" s="62"/>
    </row>
    <row r="142" ht="14.25" customHeight="1">
      <c r="Z142" s="62"/>
      <c r="AA142" s="62"/>
      <c r="AB142" s="62"/>
      <c r="AC142" s="62"/>
      <c r="AD142" s="62"/>
      <c r="AE142" s="62"/>
      <c r="AF142" s="62"/>
      <c r="AG142" s="62"/>
      <c r="AH142" s="62"/>
      <c r="AI142" s="62"/>
    </row>
    <row r="143" ht="14.25" customHeight="1">
      <c r="Z143" s="62"/>
      <c r="AA143" s="62"/>
      <c r="AB143" s="62"/>
      <c r="AC143" s="62"/>
      <c r="AD143" s="62"/>
      <c r="AE143" s="62"/>
      <c r="AF143" s="62"/>
      <c r="AG143" s="62"/>
      <c r="AH143" s="62"/>
      <c r="AI143" s="62"/>
    </row>
    <row r="144" ht="14.25" customHeight="1">
      <c r="Z144" s="62"/>
      <c r="AA144" s="62"/>
      <c r="AB144" s="62"/>
      <c r="AC144" s="62"/>
      <c r="AD144" s="62"/>
      <c r="AE144" s="62"/>
      <c r="AF144" s="62"/>
      <c r="AG144" s="62"/>
      <c r="AH144" s="62"/>
      <c r="AI144" s="62"/>
    </row>
    <row r="145" ht="14.25" customHeight="1">
      <c r="Z145" s="62"/>
      <c r="AA145" s="62"/>
      <c r="AB145" s="62"/>
      <c r="AC145" s="62"/>
      <c r="AD145" s="62"/>
      <c r="AE145" s="62"/>
      <c r="AF145" s="62"/>
      <c r="AG145" s="62"/>
      <c r="AH145" s="62"/>
      <c r="AI145" s="62"/>
    </row>
    <row r="146" ht="14.25" customHeight="1">
      <c r="Z146" s="62"/>
      <c r="AA146" s="62"/>
      <c r="AB146" s="62"/>
      <c r="AC146" s="62"/>
      <c r="AD146" s="62"/>
      <c r="AE146" s="62"/>
      <c r="AF146" s="62"/>
      <c r="AG146" s="62"/>
      <c r="AH146" s="62"/>
      <c r="AI146" s="62"/>
    </row>
    <row r="147" ht="14.25" customHeight="1">
      <c r="Z147" s="62"/>
      <c r="AA147" s="62"/>
      <c r="AB147" s="62"/>
      <c r="AC147" s="62"/>
      <c r="AD147" s="62"/>
      <c r="AE147" s="62"/>
      <c r="AF147" s="62"/>
      <c r="AG147" s="62"/>
      <c r="AH147" s="62"/>
      <c r="AI147" s="62"/>
    </row>
    <row r="148" ht="14.25" customHeight="1">
      <c r="Z148" s="62"/>
      <c r="AA148" s="62"/>
      <c r="AB148" s="62"/>
      <c r="AC148" s="62"/>
      <c r="AD148" s="62"/>
      <c r="AE148" s="62"/>
      <c r="AF148" s="62"/>
      <c r="AG148" s="62"/>
      <c r="AH148" s="62"/>
      <c r="AI148" s="62"/>
    </row>
    <row r="149" ht="14.25" customHeight="1">
      <c r="Z149" s="62"/>
      <c r="AA149" s="62"/>
      <c r="AB149" s="62"/>
      <c r="AC149" s="62"/>
      <c r="AD149" s="62"/>
      <c r="AE149" s="62"/>
      <c r="AF149" s="62"/>
      <c r="AG149" s="62"/>
      <c r="AH149" s="62"/>
      <c r="AI149" s="62"/>
    </row>
    <row r="150" ht="14.25" customHeight="1">
      <c r="Z150" s="62"/>
      <c r="AA150" s="62"/>
      <c r="AB150" s="62"/>
      <c r="AC150" s="62"/>
      <c r="AD150" s="62"/>
      <c r="AE150" s="62"/>
      <c r="AF150" s="62"/>
      <c r="AG150" s="62"/>
      <c r="AH150" s="62"/>
      <c r="AI150" s="62"/>
    </row>
    <row r="151" ht="14.25" customHeight="1">
      <c r="Z151" s="62"/>
      <c r="AA151" s="62"/>
      <c r="AB151" s="62"/>
      <c r="AC151" s="62"/>
      <c r="AD151" s="62"/>
      <c r="AE151" s="62"/>
      <c r="AF151" s="62"/>
      <c r="AG151" s="62"/>
      <c r="AH151" s="62"/>
      <c r="AI151" s="62"/>
    </row>
    <row r="152" ht="14.25" customHeight="1">
      <c r="Z152" s="62"/>
      <c r="AA152" s="62"/>
      <c r="AB152" s="62"/>
      <c r="AC152" s="62"/>
      <c r="AD152" s="62"/>
      <c r="AE152" s="62"/>
      <c r="AF152" s="62"/>
      <c r="AG152" s="62"/>
      <c r="AH152" s="62"/>
      <c r="AI152" s="62"/>
    </row>
    <row r="153" ht="14.25" customHeight="1">
      <c r="Z153" s="62"/>
      <c r="AA153" s="62"/>
      <c r="AB153" s="62"/>
      <c r="AC153" s="62"/>
      <c r="AD153" s="62"/>
      <c r="AE153" s="62"/>
      <c r="AF153" s="62"/>
      <c r="AG153" s="62"/>
      <c r="AH153" s="62"/>
      <c r="AI153" s="62"/>
    </row>
    <row r="154" ht="14.25" customHeight="1">
      <c r="Z154" s="62"/>
      <c r="AA154" s="62"/>
      <c r="AB154" s="62"/>
      <c r="AC154" s="62"/>
      <c r="AD154" s="62"/>
      <c r="AE154" s="62"/>
      <c r="AF154" s="62"/>
      <c r="AG154" s="62"/>
      <c r="AH154" s="62"/>
      <c r="AI154" s="62"/>
    </row>
    <row r="155" ht="14.25" customHeight="1">
      <c r="Z155" s="62"/>
      <c r="AA155" s="62"/>
      <c r="AB155" s="62"/>
      <c r="AC155" s="62"/>
      <c r="AD155" s="62"/>
      <c r="AE155" s="62"/>
      <c r="AF155" s="62"/>
      <c r="AG155" s="62"/>
      <c r="AH155" s="62"/>
      <c r="AI155" s="62"/>
    </row>
    <row r="156" ht="14.25" customHeight="1">
      <c r="Z156" s="62"/>
      <c r="AA156" s="62"/>
      <c r="AB156" s="62"/>
      <c r="AC156" s="62"/>
      <c r="AD156" s="62"/>
      <c r="AE156" s="62"/>
      <c r="AF156" s="62"/>
      <c r="AG156" s="62"/>
      <c r="AH156" s="62"/>
      <c r="AI156" s="62"/>
    </row>
    <row r="157" ht="14.25" customHeight="1">
      <c r="Z157" s="62"/>
      <c r="AA157" s="62"/>
      <c r="AB157" s="62"/>
      <c r="AC157" s="62"/>
      <c r="AD157" s="62"/>
      <c r="AE157" s="62"/>
      <c r="AF157" s="62"/>
      <c r="AG157" s="62"/>
      <c r="AH157" s="62"/>
      <c r="AI157" s="62"/>
    </row>
    <row r="158" ht="14.25" customHeight="1">
      <c r="Z158" s="62"/>
      <c r="AA158" s="62"/>
      <c r="AB158" s="62"/>
      <c r="AC158" s="62"/>
      <c r="AD158" s="62"/>
      <c r="AE158" s="62"/>
      <c r="AF158" s="62"/>
      <c r="AG158" s="62"/>
      <c r="AH158" s="62"/>
      <c r="AI158" s="62"/>
    </row>
    <row r="159" ht="14.25" customHeight="1">
      <c r="Z159" s="62"/>
      <c r="AA159" s="62"/>
      <c r="AB159" s="62"/>
      <c r="AC159" s="62"/>
      <c r="AD159" s="62"/>
      <c r="AE159" s="62"/>
      <c r="AF159" s="62"/>
      <c r="AG159" s="62"/>
      <c r="AH159" s="62"/>
      <c r="AI159" s="62"/>
    </row>
    <row r="160" ht="14.25" customHeight="1">
      <c r="Z160" s="62"/>
      <c r="AA160" s="62"/>
      <c r="AB160" s="62"/>
      <c r="AC160" s="62"/>
      <c r="AD160" s="62"/>
      <c r="AE160" s="62"/>
      <c r="AF160" s="62"/>
      <c r="AG160" s="62"/>
      <c r="AH160" s="62"/>
      <c r="AI160" s="62"/>
    </row>
    <row r="161" ht="14.25" customHeight="1">
      <c r="Z161" s="62"/>
      <c r="AA161" s="62"/>
      <c r="AB161" s="62"/>
      <c r="AC161" s="62"/>
      <c r="AD161" s="62"/>
      <c r="AE161" s="62"/>
      <c r="AF161" s="62"/>
      <c r="AG161" s="62"/>
      <c r="AH161" s="62"/>
      <c r="AI161" s="62"/>
    </row>
    <row r="162" ht="14.25" customHeight="1">
      <c r="Z162" s="62"/>
      <c r="AA162" s="62"/>
      <c r="AB162" s="62"/>
      <c r="AC162" s="62"/>
      <c r="AD162" s="62"/>
      <c r="AE162" s="62"/>
      <c r="AF162" s="62"/>
      <c r="AG162" s="62"/>
      <c r="AH162" s="62"/>
      <c r="AI162" s="62"/>
    </row>
    <row r="163" ht="14.25" customHeight="1">
      <c r="Z163" s="62"/>
      <c r="AA163" s="62"/>
      <c r="AB163" s="62"/>
      <c r="AC163" s="62"/>
      <c r="AD163" s="62"/>
      <c r="AE163" s="62"/>
      <c r="AF163" s="62"/>
      <c r="AG163" s="62"/>
      <c r="AH163" s="62"/>
      <c r="AI163" s="62"/>
    </row>
    <row r="164" ht="14.25" customHeight="1">
      <c r="Z164" s="62"/>
      <c r="AA164" s="62"/>
      <c r="AB164" s="62"/>
      <c r="AC164" s="62"/>
      <c r="AD164" s="62"/>
      <c r="AE164" s="62"/>
      <c r="AF164" s="62"/>
      <c r="AG164" s="62"/>
      <c r="AH164" s="62"/>
      <c r="AI164" s="62"/>
    </row>
    <row r="165" ht="14.25" customHeight="1">
      <c r="Z165" s="62"/>
      <c r="AA165" s="62"/>
      <c r="AB165" s="62"/>
      <c r="AC165" s="62"/>
      <c r="AD165" s="62"/>
      <c r="AE165" s="62"/>
      <c r="AF165" s="62"/>
      <c r="AG165" s="62"/>
      <c r="AH165" s="62"/>
      <c r="AI165" s="62"/>
    </row>
    <row r="166" ht="14.25" customHeight="1">
      <c r="Z166" s="62"/>
      <c r="AA166" s="62"/>
      <c r="AB166" s="62"/>
      <c r="AC166" s="62"/>
      <c r="AD166" s="62"/>
      <c r="AE166" s="62"/>
      <c r="AF166" s="62"/>
      <c r="AG166" s="62"/>
      <c r="AH166" s="62"/>
      <c r="AI166" s="62"/>
    </row>
    <row r="167" ht="14.25" customHeight="1">
      <c r="Z167" s="62"/>
      <c r="AA167" s="62"/>
      <c r="AB167" s="62"/>
      <c r="AC167" s="62"/>
      <c r="AD167" s="62"/>
      <c r="AE167" s="62"/>
      <c r="AF167" s="62"/>
      <c r="AG167" s="62"/>
      <c r="AH167" s="62"/>
      <c r="AI167" s="62"/>
    </row>
    <row r="168" ht="14.25" customHeight="1">
      <c r="Z168" s="62"/>
      <c r="AA168" s="62"/>
      <c r="AB168" s="62"/>
      <c r="AC168" s="62"/>
      <c r="AD168" s="62"/>
      <c r="AE168" s="62"/>
      <c r="AF168" s="62"/>
      <c r="AG168" s="62"/>
      <c r="AH168" s="62"/>
      <c r="AI168" s="62"/>
    </row>
    <row r="169" ht="14.25" customHeight="1">
      <c r="Z169" s="62"/>
      <c r="AA169" s="62"/>
      <c r="AB169" s="62"/>
      <c r="AC169" s="62"/>
      <c r="AD169" s="62"/>
      <c r="AE169" s="62"/>
      <c r="AF169" s="62"/>
      <c r="AG169" s="62"/>
      <c r="AH169" s="62"/>
      <c r="AI169" s="62"/>
    </row>
    <row r="170" ht="14.25" customHeight="1">
      <c r="Z170" s="62"/>
      <c r="AA170" s="62"/>
      <c r="AB170" s="62"/>
      <c r="AC170" s="62"/>
      <c r="AD170" s="62"/>
      <c r="AE170" s="62"/>
      <c r="AF170" s="62"/>
      <c r="AG170" s="62"/>
      <c r="AH170" s="62"/>
      <c r="AI170" s="62"/>
    </row>
    <row r="171" ht="14.25" customHeight="1">
      <c r="Z171" s="62"/>
      <c r="AA171" s="62"/>
      <c r="AB171" s="62"/>
      <c r="AC171" s="62"/>
      <c r="AD171" s="62"/>
      <c r="AE171" s="62"/>
      <c r="AF171" s="62"/>
      <c r="AG171" s="62"/>
      <c r="AH171" s="62"/>
      <c r="AI171" s="62"/>
    </row>
    <row r="172" ht="14.25" customHeight="1">
      <c r="Z172" s="62"/>
      <c r="AA172" s="62"/>
      <c r="AB172" s="62"/>
      <c r="AC172" s="62"/>
      <c r="AD172" s="62"/>
      <c r="AE172" s="62"/>
      <c r="AF172" s="62"/>
      <c r="AG172" s="62"/>
      <c r="AH172" s="62"/>
      <c r="AI172" s="62"/>
    </row>
    <row r="173" ht="14.25" customHeight="1">
      <c r="Z173" s="62"/>
      <c r="AA173" s="62"/>
      <c r="AB173" s="62"/>
      <c r="AC173" s="62"/>
      <c r="AD173" s="62"/>
      <c r="AE173" s="62"/>
      <c r="AF173" s="62"/>
      <c r="AG173" s="62"/>
      <c r="AH173" s="62"/>
      <c r="AI173" s="62"/>
    </row>
    <row r="174" ht="14.25" customHeight="1">
      <c r="Z174" s="62"/>
      <c r="AA174" s="62"/>
      <c r="AB174" s="62"/>
      <c r="AC174" s="62"/>
      <c r="AD174" s="62"/>
      <c r="AE174" s="62"/>
      <c r="AF174" s="62"/>
      <c r="AG174" s="62"/>
      <c r="AH174" s="62"/>
      <c r="AI174" s="62"/>
    </row>
    <row r="175" ht="14.25" customHeight="1">
      <c r="Z175" s="62"/>
      <c r="AA175" s="62"/>
      <c r="AB175" s="62"/>
      <c r="AC175" s="62"/>
      <c r="AD175" s="62"/>
      <c r="AE175" s="62"/>
      <c r="AF175" s="62"/>
      <c r="AG175" s="62"/>
      <c r="AH175" s="62"/>
      <c r="AI175" s="62"/>
    </row>
    <row r="176" ht="14.25" customHeight="1">
      <c r="Z176" s="62"/>
      <c r="AA176" s="62"/>
      <c r="AB176" s="62"/>
      <c r="AC176" s="62"/>
      <c r="AD176" s="62"/>
      <c r="AE176" s="62"/>
      <c r="AF176" s="62"/>
      <c r="AG176" s="62"/>
      <c r="AH176" s="62"/>
      <c r="AI176" s="62"/>
    </row>
    <row r="177" ht="14.25" customHeight="1">
      <c r="Z177" s="62"/>
      <c r="AA177" s="62"/>
      <c r="AB177" s="62"/>
      <c r="AC177" s="62"/>
      <c r="AD177" s="62"/>
      <c r="AE177" s="62"/>
      <c r="AF177" s="62"/>
      <c r="AG177" s="62"/>
      <c r="AH177" s="62"/>
      <c r="AI177" s="62"/>
    </row>
    <row r="178" ht="14.25" customHeight="1">
      <c r="Z178" s="62"/>
      <c r="AA178" s="62"/>
      <c r="AB178" s="62"/>
      <c r="AC178" s="62"/>
      <c r="AD178" s="62"/>
      <c r="AE178" s="62"/>
      <c r="AF178" s="62"/>
      <c r="AG178" s="62"/>
      <c r="AH178" s="62"/>
      <c r="AI178" s="62"/>
    </row>
    <row r="179" ht="14.25" customHeight="1">
      <c r="Z179" s="62"/>
      <c r="AA179" s="62"/>
      <c r="AB179" s="62"/>
      <c r="AC179" s="62"/>
      <c r="AD179" s="62"/>
      <c r="AE179" s="62"/>
      <c r="AF179" s="62"/>
      <c r="AG179" s="62"/>
      <c r="AH179" s="62"/>
      <c r="AI179" s="62"/>
    </row>
    <row r="180" ht="14.25" customHeight="1">
      <c r="Z180" s="62"/>
      <c r="AA180" s="62"/>
      <c r="AB180" s="62"/>
      <c r="AC180" s="62"/>
      <c r="AD180" s="62"/>
      <c r="AE180" s="62"/>
      <c r="AF180" s="62"/>
      <c r="AG180" s="62"/>
      <c r="AH180" s="62"/>
      <c r="AI180" s="62"/>
    </row>
    <row r="181" ht="14.25" customHeight="1">
      <c r="Z181" s="62"/>
      <c r="AA181" s="62"/>
      <c r="AB181" s="62"/>
      <c r="AC181" s="62"/>
      <c r="AD181" s="62"/>
      <c r="AE181" s="62"/>
      <c r="AF181" s="62"/>
      <c r="AG181" s="62"/>
      <c r="AH181" s="62"/>
      <c r="AI181" s="62"/>
    </row>
    <row r="182" ht="14.25" customHeight="1">
      <c r="Z182" s="62"/>
      <c r="AA182" s="62"/>
      <c r="AB182" s="62"/>
      <c r="AC182" s="62"/>
      <c r="AD182" s="62"/>
      <c r="AE182" s="62"/>
      <c r="AF182" s="62"/>
      <c r="AG182" s="62"/>
      <c r="AH182" s="62"/>
      <c r="AI182" s="62"/>
    </row>
    <row r="183" ht="14.25" customHeight="1">
      <c r="Z183" s="62"/>
      <c r="AA183" s="62"/>
      <c r="AB183" s="62"/>
      <c r="AC183" s="62"/>
      <c r="AD183" s="62"/>
      <c r="AE183" s="62"/>
      <c r="AF183" s="62"/>
      <c r="AG183" s="62"/>
      <c r="AH183" s="62"/>
      <c r="AI183" s="62"/>
    </row>
    <row r="184" ht="14.25" customHeight="1">
      <c r="Z184" s="62"/>
      <c r="AA184" s="62"/>
      <c r="AB184" s="62"/>
      <c r="AC184" s="62"/>
      <c r="AD184" s="62"/>
      <c r="AE184" s="62"/>
      <c r="AF184" s="62"/>
      <c r="AG184" s="62"/>
      <c r="AH184" s="62"/>
      <c r="AI184" s="62"/>
    </row>
    <row r="185" ht="14.25" customHeight="1">
      <c r="Z185" s="62"/>
      <c r="AA185" s="62"/>
      <c r="AB185" s="62"/>
      <c r="AC185" s="62"/>
      <c r="AD185" s="62"/>
      <c r="AE185" s="62"/>
      <c r="AF185" s="62"/>
      <c r="AG185" s="62"/>
      <c r="AH185" s="62"/>
      <c r="AI185" s="62"/>
    </row>
    <row r="186" ht="14.25" customHeight="1">
      <c r="Z186" s="62"/>
      <c r="AA186" s="62"/>
      <c r="AB186" s="62"/>
      <c r="AC186" s="62"/>
      <c r="AD186" s="62"/>
      <c r="AE186" s="62"/>
      <c r="AF186" s="62"/>
      <c r="AG186" s="62"/>
      <c r="AH186" s="62"/>
      <c r="AI186" s="62"/>
    </row>
    <row r="187" ht="14.25" customHeight="1">
      <c r="Z187" s="62"/>
      <c r="AA187" s="62"/>
      <c r="AB187" s="62"/>
      <c r="AC187" s="62"/>
      <c r="AD187" s="62"/>
      <c r="AE187" s="62"/>
      <c r="AF187" s="62"/>
      <c r="AG187" s="62"/>
      <c r="AH187" s="62"/>
      <c r="AI187" s="62"/>
    </row>
    <row r="188" ht="14.25" customHeight="1">
      <c r="Z188" s="62"/>
      <c r="AA188" s="62"/>
      <c r="AB188" s="62"/>
      <c r="AC188" s="62"/>
      <c r="AD188" s="62"/>
      <c r="AE188" s="62"/>
      <c r="AF188" s="62"/>
      <c r="AG188" s="62"/>
      <c r="AH188" s="62"/>
      <c r="AI188" s="62"/>
    </row>
    <row r="189" ht="14.25" customHeight="1">
      <c r="Z189" s="62"/>
      <c r="AA189" s="62"/>
      <c r="AB189" s="62"/>
      <c r="AC189" s="62"/>
      <c r="AD189" s="62"/>
      <c r="AE189" s="62"/>
      <c r="AF189" s="62"/>
      <c r="AG189" s="62"/>
      <c r="AH189" s="62"/>
      <c r="AI189" s="62"/>
    </row>
    <row r="190" ht="14.25" customHeight="1">
      <c r="Z190" s="62"/>
      <c r="AA190" s="62"/>
      <c r="AB190" s="62"/>
      <c r="AC190" s="62"/>
      <c r="AD190" s="62"/>
      <c r="AE190" s="62"/>
      <c r="AF190" s="62"/>
      <c r="AG190" s="62"/>
      <c r="AH190" s="62"/>
      <c r="AI190" s="62"/>
    </row>
    <row r="191" ht="14.25" customHeight="1">
      <c r="Z191" s="62"/>
      <c r="AA191" s="62"/>
      <c r="AB191" s="62"/>
      <c r="AC191" s="62"/>
      <c r="AD191" s="62"/>
      <c r="AE191" s="62"/>
      <c r="AF191" s="62"/>
      <c r="AG191" s="62"/>
      <c r="AH191" s="62"/>
      <c r="AI191" s="62"/>
    </row>
    <row r="192" ht="14.25" customHeight="1">
      <c r="Z192" s="62"/>
      <c r="AA192" s="62"/>
      <c r="AB192" s="62"/>
      <c r="AC192" s="62"/>
      <c r="AD192" s="62"/>
      <c r="AE192" s="62"/>
      <c r="AF192" s="62"/>
      <c r="AG192" s="62"/>
      <c r="AH192" s="62"/>
      <c r="AI192" s="62"/>
    </row>
    <row r="193" ht="14.25" customHeight="1">
      <c r="Z193" s="62"/>
      <c r="AA193" s="62"/>
      <c r="AB193" s="62"/>
      <c r="AC193" s="62"/>
      <c r="AD193" s="62"/>
      <c r="AE193" s="62"/>
      <c r="AF193" s="62"/>
      <c r="AG193" s="62"/>
      <c r="AH193" s="62"/>
      <c r="AI193" s="62"/>
    </row>
    <row r="194" ht="14.25" customHeight="1">
      <c r="Z194" s="62"/>
      <c r="AA194" s="62"/>
      <c r="AB194" s="62"/>
      <c r="AC194" s="62"/>
      <c r="AD194" s="62"/>
      <c r="AE194" s="62"/>
      <c r="AF194" s="62"/>
      <c r="AG194" s="62"/>
      <c r="AH194" s="62"/>
      <c r="AI194" s="62"/>
    </row>
    <row r="195" ht="14.25" customHeight="1">
      <c r="Z195" s="62"/>
      <c r="AA195" s="62"/>
      <c r="AB195" s="62"/>
      <c r="AC195" s="62"/>
      <c r="AD195" s="62"/>
      <c r="AE195" s="62"/>
      <c r="AF195" s="62"/>
      <c r="AG195" s="62"/>
      <c r="AH195" s="62"/>
      <c r="AI195" s="62"/>
    </row>
    <row r="196" ht="14.25" customHeight="1">
      <c r="Z196" s="62"/>
      <c r="AA196" s="62"/>
      <c r="AB196" s="62"/>
      <c r="AC196" s="62"/>
      <c r="AD196" s="62"/>
      <c r="AE196" s="62"/>
      <c r="AF196" s="62"/>
      <c r="AG196" s="62"/>
      <c r="AH196" s="62"/>
      <c r="AI196" s="62"/>
    </row>
    <row r="197" ht="14.25" customHeight="1">
      <c r="Z197" s="62"/>
      <c r="AA197" s="62"/>
      <c r="AB197" s="62"/>
      <c r="AC197" s="62"/>
      <c r="AD197" s="62"/>
      <c r="AE197" s="62"/>
      <c r="AF197" s="62"/>
      <c r="AG197" s="62"/>
      <c r="AH197" s="62"/>
      <c r="AI197" s="62"/>
    </row>
    <row r="198" ht="14.25" customHeight="1">
      <c r="Z198" s="62"/>
      <c r="AA198" s="62"/>
      <c r="AB198" s="62"/>
      <c r="AC198" s="62"/>
      <c r="AD198" s="62"/>
      <c r="AE198" s="62"/>
      <c r="AF198" s="62"/>
      <c r="AG198" s="62"/>
      <c r="AH198" s="62"/>
      <c r="AI198" s="62"/>
    </row>
    <row r="199" ht="14.25" customHeight="1">
      <c r="Z199" s="62"/>
      <c r="AA199" s="62"/>
      <c r="AB199" s="62"/>
      <c r="AC199" s="62"/>
      <c r="AD199" s="62"/>
      <c r="AE199" s="62"/>
      <c r="AF199" s="62"/>
      <c r="AG199" s="62"/>
      <c r="AH199" s="62"/>
      <c r="AI199" s="62"/>
    </row>
    <row r="200" ht="14.25" customHeight="1">
      <c r="Z200" s="62"/>
      <c r="AA200" s="62"/>
      <c r="AB200" s="62"/>
      <c r="AC200" s="62"/>
      <c r="AD200" s="62"/>
      <c r="AE200" s="62"/>
      <c r="AF200" s="62"/>
      <c r="AG200" s="62"/>
      <c r="AH200" s="62"/>
      <c r="AI200" s="62"/>
    </row>
    <row r="201" ht="14.25" customHeight="1">
      <c r="Z201" s="62"/>
      <c r="AA201" s="62"/>
      <c r="AB201" s="62"/>
      <c r="AC201" s="62"/>
      <c r="AD201" s="62"/>
      <c r="AE201" s="62"/>
      <c r="AF201" s="62"/>
      <c r="AG201" s="62"/>
      <c r="AH201" s="62"/>
      <c r="AI201" s="62"/>
    </row>
    <row r="202" ht="14.25" customHeight="1">
      <c r="Z202" s="62"/>
      <c r="AA202" s="62"/>
      <c r="AB202" s="62"/>
      <c r="AC202" s="62"/>
      <c r="AD202" s="62"/>
      <c r="AE202" s="62"/>
      <c r="AF202" s="62"/>
      <c r="AG202" s="62"/>
      <c r="AH202" s="62"/>
      <c r="AI202" s="62"/>
    </row>
    <row r="203" ht="14.25" customHeight="1">
      <c r="Z203" s="62"/>
      <c r="AA203" s="62"/>
      <c r="AB203" s="62"/>
      <c r="AC203" s="62"/>
      <c r="AD203" s="62"/>
      <c r="AE203" s="62"/>
      <c r="AF203" s="62"/>
      <c r="AG203" s="62"/>
      <c r="AH203" s="62"/>
      <c r="AI203" s="62"/>
    </row>
    <row r="204" ht="14.25" customHeight="1">
      <c r="Z204" s="62"/>
      <c r="AA204" s="62"/>
      <c r="AB204" s="62"/>
      <c r="AC204" s="62"/>
      <c r="AD204" s="62"/>
      <c r="AE204" s="62"/>
      <c r="AF204" s="62"/>
      <c r="AG204" s="62"/>
      <c r="AH204" s="62"/>
      <c r="AI204" s="62"/>
    </row>
    <row r="205" ht="14.25" customHeight="1">
      <c r="Z205" s="62"/>
      <c r="AA205" s="62"/>
      <c r="AB205" s="62"/>
      <c r="AC205" s="62"/>
      <c r="AD205" s="62"/>
      <c r="AE205" s="62"/>
      <c r="AF205" s="62"/>
      <c r="AG205" s="62"/>
      <c r="AH205" s="62"/>
      <c r="AI205" s="62"/>
    </row>
    <row r="206" ht="14.25" customHeight="1">
      <c r="Z206" s="62"/>
      <c r="AA206" s="62"/>
      <c r="AB206" s="62"/>
      <c r="AC206" s="62"/>
      <c r="AD206" s="62"/>
      <c r="AE206" s="62"/>
      <c r="AF206" s="62"/>
      <c r="AG206" s="62"/>
      <c r="AH206" s="62"/>
      <c r="AI206" s="62"/>
    </row>
    <row r="207" ht="14.25" customHeight="1">
      <c r="Z207" s="62"/>
      <c r="AA207" s="62"/>
      <c r="AB207" s="62"/>
      <c r="AC207" s="62"/>
      <c r="AD207" s="62"/>
      <c r="AE207" s="62"/>
      <c r="AF207" s="62"/>
      <c r="AG207" s="62"/>
      <c r="AH207" s="62"/>
      <c r="AI207" s="62"/>
    </row>
    <row r="208" ht="14.25" customHeight="1">
      <c r="Z208" s="62"/>
      <c r="AA208" s="62"/>
      <c r="AB208" s="62"/>
      <c r="AC208" s="62"/>
      <c r="AD208" s="62"/>
      <c r="AE208" s="62"/>
      <c r="AF208" s="62"/>
      <c r="AG208" s="62"/>
      <c r="AH208" s="62"/>
      <c r="AI208" s="62"/>
    </row>
    <row r="209" ht="14.25" customHeight="1">
      <c r="Z209" s="62"/>
      <c r="AA209" s="62"/>
      <c r="AB209" s="62"/>
      <c r="AC209" s="62"/>
      <c r="AD209" s="62"/>
      <c r="AE209" s="62"/>
      <c r="AF209" s="62"/>
      <c r="AG209" s="62"/>
      <c r="AH209" s="62"/>
      <c r="AI209" s="62"/>
    </row>
    <row r="210" ht="14.25" customHeight="1">
      <c r="Z210" s="62"/>
      <c r="AA210" s="62"/>
      <c r="AB210" s="62"/>
      <c r="AC210" s="62"/>
      <c r="AD210" s="62"/>
      <c r="AE210" s="62"/>
      <c r="AF210" s="62"/>
      <c r="AG210" s="62"/>
      <c r="AH210" s="62"/>
      <c r="AI210" s="62"/>
    </row>
    <row r="211" ht="14.25" customHeight="1">
      <c r="Z211" s="62"/>
      <c r="AA211" s="62"/>
      <c r="AB211" s="62"/>
      <c r="AC211" s="62"/>
      <c r="AD211" s="62"/>
      <c r="AE211" s="62"/>
      <c r="AF211" s="62"/>
      <c r="AG211" s="62"/>
      <c r="AH211" s="62"/>
      <c r="AI211" s="62"/>
    </row>
    <row r="212" ht="14.25" customHeight="1">
      <c r="Z212" s="62"/>
      <c r="AA212" s="62"/>
      <c r="AB212" s="62"/>
      <c r="AC212" s="62"/>
      <c r="AD212" s="62"/>
      <c r="AE212" s="62"/>
      <c r="AF212" s="62"/>
      <c r="AG212" s="62"/>
      <c r="AH212" s="62"/>
      <c r="AI212" s="62"/>
    </row>
    <row r="213" ht="14.25" customHeight="1">
      <c r="Z213" s="62"/>
      <c r="AA213" s="62"/>
      <c r="AB213" s="62"/>
      <c r="AC213" s="62"/>
      <c r="AD213" s="62"/>
      <c r="AE213" s="62"/>
      <c r="AF213" s="62"/>
      <c r="AG213" s="62"/>
      <c r="AH213" s="62"/>
      <c r="AI213" s="62"/>
    </row>
    <row r="214" ht="14.25" customHeight="1">
      <c r="Z214" s="62"/>
      <c r="AA214" s="62"/>
      <c r="AB214" s="62"/>
      <c r="AC214" s="62"/>
      <c r="AD214" s="62"/>
      <c r="AE214" s="62"/>
      <c r="AF214" s="62"/>
      <c r="AG214" s="62"/>
      <c r="AH214" s="62"/>
      <c r="AI214" s="62"/>
    </row>
    <row r="215" ht="14.25" customHeight="1">
      <c r="Z215" s="62"/>
      <c r="AA215" s="62"/>
      <c r="AB215" s="62"/>
      <c r="AC215" s="62"/>
      <c r="AD215" s="62"/>
      <c r="AE215" s="62"/>
      <c r="AF215" s="62"/>
      <c r="AG215" s="62"/>
      <c r="AH215" s="62"/>
      <c r="AI215" s="62"/>
    </row>
    <row r="216" ht="14.25" customHeight="1">
      <c r="Z216" s="62"/>
      <c r="AA216" s="62"/>
      <c r="AB216" s="62"/>
      <c r="AC216" s="62"/>
      <c r="AD216" s="62"/>
      <c r="AE216" s="62"/>
      <c r="AF216" s="62"/>
      <c r="AG216" s="62"/>
      <c r="AH216" s="62"/>
      <c r="AI216" s="62"/>
    </row>
    <row r="217" ht="14.25" customHeight="1">
      <c r="Z217" s="62"/>
      <c r="AA217" s="62"/>
      <c r="AB217" s="62"/>
      <c r="AC217" s="62"/>
      <c r="AD217" s="62"/>
      <c r="AE217" s="62"/>
      <c r="AF217" s="62"/>
      <c r="AG217" s="62"/>
      <c r="AH217" s="62"/>
      <c r="AI217" s="62"/>
    </row>
    <row r="218" ht="14.25" customHeight="1">
      <c r="Z218" s="62"/>
      <c r="AA218" s="62"/>
      <c r="AB218" s="62"/>
      <c r="AC218" s="62"/>
      <c r="AD218" s="62"/>
      <c r="AE218" s="62"/>
      <c r="AF218" s="62"/>
      <c r="AG218" s="62"/>
      <c r="AH218" s="62"/>
      <c r="AI218" s="62"/>
    </row>
    <row r="219" ht="14.25" customHeight="1">
      <c r="Z219" s="62"/>
      <c r="AA219" s="62"/>
      <c r="AB219" s="62"/>
      <c r="AC219" s="62"/>
      <c r="AD219" s="62"/>
      <c r="AE219" s="62"/>
      <c r="AF219" s="62"/>
      <c r="AG219" s="62"/>
      <c r="AH219" s="62"/>
      <c r="AI219" s="62"/>
    </row>
    <row r="220" ht="14.25" customHeight="1">
      <c r="Z220" s="62"/>
      <c r="AA220" s="62"/>
      <c r="AB220" s="62"/>
      <c r="AC220" s="62"/>
      <c r="AD220" s="62"/>
      <c r="AE220" s="62"/>
      <c r="AF220" s="62"/>
      <c r="AG220" s="62"/>
      <c r="AH220" s="62"/>
      <c r="AI220" s="62"/>
    </row>
    <row r="221" ht="14.25" customHeight="1">
      <c r="Z221" s="62"/>
      <c r="AA221" s="62"/>
      <c r="AB221" s="62"/>
      <c r="AC221" s="62"/>
      <c r="AD221" s="62"/>
      <c r="AE221" s="62"/>
      <c r="AF221" s="62"/>
      <c r="AG221" s="62"/>
      <c r="AH221" s="62"/>
      <c r="AI221" s="62"/>
    </row>
    <row r="222" ht="14.25" customHeight="1">
      <c r="Z222" s="62"/>
      <c r="AA222" s="62"/>
      <c r="AB222" s="62"/>
      <c r="AC222" s="62"/>
      <c r="AD222" s="62"/>
      <c r="AE222" s="62"/>
      <c r="AF222" s="62"/>
      <c r="AG222" s="62"/>
      <c r="AH222" s="62"/>
      <c r="AI222" s="62"/>
    </row>
    <row r="223" ht="14.25" customHeight="1">
      <c r="Z223" s="62"/>
      <c r="AA223" s="62"/>
      <c r="AB223" s="62"/>
      <c r="AC223" s="62"/>
      <c r="AD223" s="62"/>
      <c r="AE223" s="62"/>
      <c r="AF223" s="62"/>
      <c r="AG223" s="62"/>
      <c r="AH223" s="62"/>
      <c r="AI223" s="62"/>
    </row>
    <row r="224" ht="14.25" customHeight="1">
      <c r="Z224" s="62"/>
      <c r="AA224" s="62"/>
      <c r="AB224" s="62"/>
      <c r="AC224" s="62"/>
      <c r="AD224" s="62"/>
      <c r="AE224" s="62"/>
      <c r="AF224" s="62"/>
      <c r="AG224" s="62"/>
      <c r="AH224" s="62"/>
      <c r="AI224" s="62"/>
    </row>
    <row r="225" ht="14.25" customHeight="1">
      <c r="Z225" s="62"/>
      <c r="AA225" s="62"/>
      <c r="AB225" s="62"/>
      <c r="AC225" s="62"/>
      <c r="AD225" s="62"/>
      <c r="AE225" s="62"/>
      <c r="AF225" s="62"/>
      <c r="AG225" s="62"/>
      <c r="AH225" s="62"/>
      <c r="AI225" s="62"/>
    </row>
    <row r="226" ht="14.25" customHeight="1">
      <c r="Z226" s="62"/>
      <c r="AA226" s="62"/>
      <c r="AB226" s="62"/>
      <c r="AC226" s="62"/>
      <c r="AD226" s="62"/>
      <c r="AE226" s="62"/>
      <c r="AF226" s="62"/>
      <c r="AG226" s="62"/>
      <c r="AH226" s="62"/>
      <c r="AI226" s="62"/>
    </row>
    <row r="227" ht="14.25" customHeight="1">
      <c r="Z227" s="62"/>
      <c r="AA227" s="62"/>
      <c r="AB227" s="62"/>
      <c r="AC227" s="62"/>
      <c r="AD227" s="62"/>
      <c r="AE227" s="62"/>
      <c r="AF227" s="62"/>
      <c r="AG227" s="62"/>
      <c r="AH227" s="62"/>
      <c r="AI227" s="62"/>
    </row>
    <row r="228" ht="14.25" customHeight="1">
      <c r="Z228" s="62"/>
      <c r="AA228" s="62"/>
      <c r="AB228" s="62"/>
      <c r="AC228" s="62"/>
      <c r="AD228" s="62"/>
      <c r="AE228" s="62"/>
      <c r="AF228" s="62"/>
      <c r="AG228" s="62"/>
      <c r="AH228" s="62"/>
      <c r="AI228" s="62"/>
    </row>
    <row r="229" ht="14.25" customHeight="1">
      <c r="Z229" s="62"/>
      <c r="AA229" s="62"/>
      <c r="AB229" s="62"/>
      <c r="AC229" s="62"/>
      <c r="AD229" s="62"/>
      <c r="AE229" s="62"/>
      <c r="AF229" s="62"/>
      <c r="AG229" s="62"/>
      <c r="AH229" s="62"/>
      <c r="AI229" s="62"/>
    </row>
    <row r="230" ht="14.25" customHeight="1">
      <c r="Z230" s="62"/>
      <c r="AA230" s="62"/>
      <c r="AB230" s="62"/>
      <c r="AC230" s="62"/>
      <c r="AD230" s="62"/>
      <c r="AE230" s="62"/>
      <c r="AF230" s="62"/>
      <c r="AG230" s="62"/>
      <c r="AH230" s="62"/>
      <c r="AI230" s="62"/>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H28">
      <formula1>"Ada,Belum Ada,Proses,Belum mengurus"</formula1>
    </dataValidation>
    <dataValidation type="list" allowBlank="1" showErrorMessage="1" sqref="G5:G9">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1.57"/>
    <col customWidth="1" min="3" max="3" width="28.0"/>
    <col customWidth="1" min="4" max="4" width="13.29"/>
    <col customWidth="1" min="5" max="5" width="30.71"/>
    <col customWidth="1" min="6" max="6" width="37.57"/>
    <col customWidth="1" min="7" max="7" width="66.0"/>
    <col customWidth="1" min="8" max="8" width="17.14"/>
    <col customWidth="1" min="9" max="11" width="21.14"/>
    <col customWidth="1" min="12" max="12" width="27.0"/>
    <col customWidth="1" min="13" max="14" width="45.57"/>
    <col customWidth="1" min="15" max="17" width="27.0"/>
    <col customWidth="1" min="18" max="18" width="35.0"/>
    <col customWidth="1" min="19" max="19" width="46.71"/>
    <col customWidth="1" min="20" max="20" width="37.71"/>
    <col customWidth="1" min="21" max="25" width="26.43"/>
    <col customWidth="1" min="26" max="26" width="18.43"/>
    <col customWidth="1" min="27" max="36" width="8.71"/>
  </cols>
  <sheetData>
    <row r="1" ht="14.25" customHeight="1">
      <c r="L1" s="63" t="s">
        <v>1</v>
      </c>
      <c r="AA1" s="62"/>
      <c r="AB1" s="62"/>
      <c r="AC1" s="62"/>
      <c r="AD1" s="62"/>
      <c r="AE1" s="62"/>
      <c r="AF1" s="62"/>
      <c r="AG1" s="62"/>
      <c r="AH1" s="62"/>
      <c r="AI1" s="62"/>
      <c r="AJ1" s="62"/>
    </row>
    <row r="2" ht="14.25" customHeight="1">
      <c r="L2" s="64" t="s">
        <v>2</v>
      </c>
      <c r="AA2" s="62"/>
      <c r="AB2" s="62"/>
      <c r="AC2" s="62"/>
      <c r="AD2" s="62"/>
      <c r="AE2" s="62"/>
      <c r="AF2" s="62"/>
      <c r="AG2" s="62"/>
      <c r="AH2" s="62"/>
      <c r="AI2" s="62"/>
      <c r="AJ2" s="62"/>
    </row>
    <row r="3" ht="14.25" customHeight="1">
      <c r="AA3" s="62"/>
      <c r="AB3" s="62"/>
      <c r="AC3" s="62"/>
      <c r="AD3" s="62"/>
      <c r="AE3" s="62"/>
      <c r="AF3" s="62"/>
      <c r="AG3" s="62"/>
      <c r="AH3" s="62"/>
      <c r="AI3" s="62"/>
      <c r="AJ3" s="62"/>
    </row>
    <row r="4" ht="40.5" customHeight="1">
      <c r="A4" s="6" t="s">
        <v>3</v>
      </c>
      <c r="B4" s="6" t="s">
        <v>4</v>
      </c>
      <c r="C4" s="6" t="s">
        <v>5</v>
      </c>
      <c r="D4" s="6" t="s">
        <v>6</v>
      </c>
      <c r="E4" s="6" t="s">
        <v>7</v>
      </c>
      <c r="F4" s="6" t="s">
        <v>11</v>
      </c>
      <c r="G4" s="6" t="s">
        <v>8</v>
      </c>
      <c r="H4" s="6" t="s">
        <v>9</v>
      </c>
      <c r="I4" s="6" t="s">
        <v>1084</v>
      </c>
      <c r="J4" s="6" t="s">
        <v>12</v>
      </c>
      <c r="K4" s="6" t="s">
        <v>13</v>
      </c>
      <c r="L4" s="6" t="s">
        <v>14</v>
      </c>
      <c r="M4" s="6" t="s">
        <v>15</v>
      </c>
      <c r="N4" s="6"/>
      <c r="O4" s="6" t="s">
        <v>16</v>
      </c>
      <c r="P4" s="6" t="s">
        <v>147</v>
      </c>
      <c r="Q4" s="6" t="s">
        <v>18</v>
      </c>
      <c r="R4" s="6" t="s">
        <v>19</v>
      </c>
      <c r="S4" s="6" t="s">
        <v>20</v>
      </c>
      <c r="T4" s="6" t="s">
        <v>21</v>
      </c>
      <c r="U4" s="6" t="s">
        <v>22</v>
      </c>
      <c r="V4" s="6" t="s">
        <v>23</v>
      </c>
      <c r="W4" s="6" t="s">
        <v>24</v>
      </c>
      <c r="X4" s="6" t="s">
        <v>25</v>
      </c>
      <c r="Y4" s="6" t="s">
        <v>26</v>
      </c>
      <c r="Z4" s="6" t="s">
        <v>27</v>
      </c>
      <c r="AA4" s="145" t="s">
        <v>28</v>
      </c>
      <c r="AB4" s="145" t="s">
        <v>29</v>
      </c>
      <c r="AC4" s="145" t="s">
        <v>30</v>
      </c>
      <c r="AD4" s="145" t="s">
        <v>31</v>
      </c>
      <c r="AE4" s="145" t="s">
        <v>32</v>
      </c>
      <c r="AF4" s="145" t="s">
        <v>33</v>
      </c>
      <c r="AG4" s="145" t="s">
        <v>34</v>
      </c>
      <c r="AH4" s="145" t="s">
        <v>35</v>
      </c>
      <c r="AI4" s="145" t="s">
        <v>36</v>
      </c>
      <c r="AJ4" s="145" t="s">
        <v>37</v>
      </c>
    </row>
    <row r="5">
      <c r="A5" s="9">
        <v>1.0</v>
      </c>
      <c r="B5" s="9" t="s">
        <v>2366</v>
      </c>
      <c r="C5" s="10" t="s">
        <v>2367</v>
      </c>
      <c r="D5" s="9" t="s">
        <v>2368</v>
      </c>
      <c r="E5" s="9" t="s">
        <v>2369</v>
      </c>
      <c r="F5" s="11" t="s">
        <v>563</v>
      </c>
      <c r="G5" s="9" t="s">
        <v>2370</v>
      </c>
      <c r="H5" s="9" t="s">
        <v>43</v>
      </c>
      <c r="I5" s="9"/>
      <c r="J5" s="9" t="s">
        <v>2371</v>
      </c>
      <c r="K5" s="9">
        <v>8.1367101995E10</v>
      </c>
      <c r="L5" s="9">
        <v>2158.0</v>
      </c>
      <c r="M5" s="9" t="s">
        <v>2372</v>
      </c>
      <c r="N5" s="9"/>
      <c r="O5" s="9" t="s">
        <v>2373</v>
      </c>
      <c r="P5" s="9" t="s">
        <v>2374</v>
      </c>
      <c r="Q5" s="9" t="s">
        <v>2375</v>
      </c>
      <c r="R5" s="9" t="s">
        <v>2376</v>
      </c>
      <c r="S5" s="9"/>
      <c r="T5" s="9" t="s">
        <v>2377</v>
      </c>
      <c r="U5" s="9" t="s">
        <v>2378</v>
      </c>
      <c r="V5" s="9" t="s">
        <v>2379</v>
      </c>
      <c r="W5" s="9" t="s">
        <v>2380</v>
      </c>
      <c r="X5" s="9" t="s">
        <v>53</v>
      </c>
      <c r="Y5" s="9" t="s">
        <v>53</v>
      </c>
      <c r="Z5" s="11"/>
      <c r="AA5" s="149" t="s">
        <v>54</v>
      </c>
      <c r="AB5" s="25" t="s">
        <v>54</v>
      </c>
      <c r="AC5" s="25" t="s">
        <v>54</v>
      </c>
      <c r="AD5" s="25" t="s">
        <v>54</v>
      </c>
      <c r="AE5" s="25" t="s">
        <v>145</v>
      </c>
      <c r="AF5" s="25"/>
      <c r="AG5" s="25"/>
      <c r="AH5" s="25" t="s">
        <v>54</v>
      </c>
      <c r="AI5" s="25"/>
      <c r="AJ5" s="25">
        <v>47.0</v>
      </c>
    </row>
    <row r="6" ht="249.75" customHeight="1">
      <c r="A6" s="13">
        <v>2.0</v>
      </c>
      <c r="B6" s="13" t="s">
        <v>2381</v>
      </c>
      <c r="C6" s="13" t="s">
        <v>2382</v>
      </c>
      <c r="D6" s="13" t="s">
        <v>2383</v>
      </c>
      <c r="E6" s="221" t="s">
        <v>2384</v>
      </c>
      <c r="F6" s="167" t="s">
        <v>563</v>
      </c>
      <c r="G6" s="167" t="s">
        <v>2385</v>
      </c>
      <c r="H6" s="13" t="s">
        <v>43</v>
      </c>
      <c r="I6" s="14">
        <v>2025.0</v>
      </c>
      <c r="J6" s="13" t="s">
        <v>2386</v>
      </c>
      <c r="K6" s="222" t="s">
        <v>2387</v>
      </c>
      <c r="L6" s="13">
        <v>2218.0</v>
      </c>
      <c r="M6" s="223" t="s">
        <v>2388</v>
      </c>
      <c r="N6" s="223"/>
      <c r="O6" s="13"/>
      <c r="P6" s="13" t="s">
        <v>2389</v>
      </c>
      <c r="Q6" s="170" t="s">
        <v>2390</v>
      </c>
      <c r="R6" s="13" t="s">
        <v>2391</v>
      </c>
      <c r="S6" s="13" t="s">
        <v>2392</v>
      </c>
      <c r="T6" s="13" t="s">
        <v>2393</v>
      </c>
      <c r="U6" s="13" t="s">
        <v>2394</v>
      </c>
      <c r="V6" s="13" t="s">
        <v>2395</v>
      </c>
      <c r="W6" s="13" t="s">
        <v>2396</v>
      </c>
      <c r="X6" s="13"/>
      <c r="Y6" s="13"/>
      <c r="Z6" s="13"/>
      <c r="AA6" s="26" t="s">
        <v>54</v>
      </c>
      <c r="AB6" s="26" t="s">
        <v>54</v>
      </c>
      <c r="AC6" s="26" t="s">
        <v>54</v>
      </c>
      <c r="AD6" s="26" t="s">
        <v>54</v>
      </c>
      <c r="AE6" s="26" t="s">
        <v>54</v>
      </c>
      <c r="AF6" s="26" t="s">
        <v>146</v>
      </c>
      <c r="AG6" s="26" t="s">
        <v>54</v>
      </c>
      <c r="AH6" s="26" t="s">
        <v>54</v>
      </c>
      <c r="AI6" s="26" t="s">
        <v>146</v>
      </c>
      <c r="AJ6" s="26">
        <v>47.0</v>
      </c>
    </row>
    <row r="7" ht="70.5" customHeight="1">
      <c r="A7" s="11">
        <v>3.0</v>
      </c>
      <c r="B7" s="11" t="s">
        <v>2397</v>
      </c>
      <c r="C7" s="11" t="s">
        <v>2398</v>
      </c>
      <c r="D7" s="11" t="s">
        <v>2399</v>
      </c>
      <c r="E7" s="11" t="s">
        <v>2369</v>
      </c>
      <c r="F7" s="167"/>
      <c r="G7" s="167" t="s">
        <v>2400</v>
      </c>
      <c r="H7" s="9" t="s">
        <v>43</v>
      </c>
      <c r="I7" s="11"/>
      <c r="J7" s="11" t="s">
        <v>2401</v>
      </c>
      <c r="K7" s="19" t="s">
        <v>2402</v>
      </c>
      <c r="L7" s="11">
        <v>1118.0</v>
      </c>
      <c r="M7" s="9" t="s">
        <v>2403</v>
      </c>
      <c r="N7" s="9"/>
      <c r="O7" s="11" t="s">
        <v>53</v>
      </c>
      <c r="P7" s="11" t="s">
        <v>53</v>
      </c>
      <c r="Q7" s="23" t="s">
        <v>53</v>
      </c>
      <c r="R7" s="11" t="s">
        <v>2404</v>
      </c>
      <c r="S7" s="11"/>
      <c r="T7" s="11"/>
      <c r="U7" s="11"/>
      <c r="V7" s="11"/>
      <c r="W7" s="11"/>
      <c r="X7" s="11"/>
      <c r="Y7" s="11"/>
      <c r="Z7" s="11"/>
      <c r="AA7" s="25"/>
      <c r="AB7" s="25"/>
      <c r="AC7" s="25"/>
      <c r="AD7" s="25"/>
      <c r="AE7" s="25"/>
      <c r="AF7" s="25"/>
      <c r="AG7" s="25"/>
      <c r="AH7" s="25"/>
      <c r="AI7" s="25"/>
      <c r="AJ7" s="25"/>
    </row>
    <row r="8" ht="40.5" customHeight="1">
      <c r="A8" s="14"/>
      <c r="B8" s="14"/>
      <c r="C8" s="14"/>
      <c r="D8" s="14"/>
      <c r="E8" s="14"/>
      <c r="F8" s="224"/>
      <c r="G8" s="224"/>
      <c r="H8" s="13"/>
      <c r="I8" s="14"/>
      <c r="J8" s="14"/>
      <c r="K8" s="14"/>
      <c r="L8" s="14"/>
      <c r="M8" s="14"/>
      <c r="N8" s="14"/>
      <c r="O8" s="14"/>
      <c r="P8" s="14" t="s">
        <v>250</v>
      </c>
      <c r="Q8" s="36"/>
      <c r="R8" s="14"/>
      <c r="S8" s="14"/>
      <c r="T8" s="14"/>
      <c r="U8" s="14"/>
      <c r="V8" s="14"/>
      <c r="W8" s="14"/>
      <c r="X8" s="14"/>
      <c r="Y8" s="14"/>
      <c r="Z8" s="14"/>
      <c r="AA8" s="26"/>
      <c r="AB8" s="26"/>
      <c r="AC8" s="26"/>
      <c r="AD8" s="26"/>
      <c r="AE8" s="26"/>
      <c r="AF8" s="26"/>
      <c r="AG8" s="26"/>
      <c r="AH8" s="26"/>
      <c r="AI8" s="26"/>
      <c r="AJ8" s="26"/>
    </row>
    <row r="9" ht="14.25" customHeight="1">
      <c r="A9" s="11">
        <v>4.0</v>
      </c>
      <c r="B9" s="9" t="s">
        <v>2405</v>
      </c>
      <c r="C9" s="11" t="s">
        <v>2406</v>
      </c>
      <c r="D9" s="11" t="s">
        <v>2407</v>
      </c>
      <c r="E9" s="11" t="s">
        <v>2408</v>
      </c>
      <c r="F9" s="11" t="s">
        <v>44</v>
      </c>
      <c r="G9" s="11" t="s">
        <v>2409</v>
      </c>
      <c r="H9" s="9" t="s">
        <v>43</v>
      </c>
      <c r="I9" s="11" t="s">
        <v>2410</v>
      </c>
      <c r="J9" s="11" t="s">
        <v>2411</v>
      </c>
      <c r="K9" s="11">
        <v>8.2274817542E10</v>
      </c>
      <c r="L9" s="11">
        <v>1528.0</v>
      </c>
      <c r="M9" s="225" t="s">
        <v>2412</v>
      </c>
      <c r="N9" s="11"/>
      <c r="O9" s="11"/>
      <c r="P9" s="11"/>
      <c r="Q9" s="161" t="s">
        <v>2413</v>
      </c>
      <c r="R9" s="9" t="s">
        <v>2414</v>
      </c>
      <c r="S9" s="161" t="s">
        <v>2415</v>
      </c>
      <c r="T9" s="11"/>
      <c r="U9" s="9" t="s">
        <v>2416</v>
      </c>
      <c r="V9" s="9" t="s">
        <v>2417</v>
      </c>
      <c r="W9" s="9" t="s">
        <v>2418</v>
      </c>
      <c r="X9" s="11"/>
      <c r="Y9" s="11"/>
      <c r="Z9" s="11"/>
      <c r="AA9" s="25" t="s">
        <v>54</v>
      </c>
      <c r="AB9" s="25" t="s">
        <v>54</v>
      </c>
      <c r="AC9" s="25" t="s">
        <v>145</v>
      </c>
      <c r="AD9" s="25" t="s">
        <v>54</v>
      </c>
      <c r="AE9" s="25" t="s">
        <v>145</v>
      </c>
      <c r="AF9" s="25" t="s">
        <v>145</v>
      </c>
      <c r="AG9" s="25" t="s">
        <v>54</v>
      </c>
      <c r="AH9" s="25" t="s">
        <v>54</v>
      </c>
      <c r="AI9" s="25" t="s">
        <v>145</v>
      </c>
      <c r="AJ9" s="25"/>
    </row>
    <row r="10" ht="66.75" customHeight="1">
      <c r="A10" s="14"/>
      <c r="B10" s="14"/>
      <c r="C10" s="14"/>
      <c r="D10" s="14"/>
      <c r="E10" s="14"/>
      <c r="F10" s="14"/>
      <c r="G10" s="14"/>
      <c r="H10" s="13"/>
      <c r="I10" s="14"/>
      <c r="J10" s="14"/>
      <c r="K10" s="14"/>
      <c r="L10" s="14"/>
      <c r="M10" s="14"/>
      <c r="N10" s="14"/>
      <c r="O10" s="14"/>
      <c r="P10" s="14"/>
      <c r="R10" s="14"/>
      <c r="S10" s="14"/>
      <c r="T10" s="14"/>
      <c r="U10" s="14"/>
      <c r="V10" s="14"/>
      <c r="W10" s="14"/>
      <c r="X10" s="14"/>
      <c r="Y10" s="14"/>
      <c r="Z10" s="14"/>
      <c r="AA10" s="26"/>
      <c r="AB10" s="26"/>
      <c r="AC10" s="26"/>
      <c r="AD10" s="26"/>
      <c r="AE10" s="26"/>
      <c r="AF10" s="26"/>
      <c r="AG10" s="26"/>
      <c r="AH10" s="26"/>
      <c r="AI10" s="26"/>
      <c r="AJ10" s="26"/>
    </row>
    <row r="11" ht="66.0" customHeight="1">
      <c r="A11" s="23">
        <v>5.0</v>
      </c>
      <c r="B11" s="23" t="s">
        <v>2419</v>
      </c>
      <c r="C11" s="23" t="s">
        <v>2420</v>
      </c>
      <c r="D11" s="23" t="s">
        <v>2421</v>
      </c>
      <c r="E11" s="23" t="s">
        <v>119</v>
      </c>
      <c r="F11" s="23" t="s">
        <v>44</v>
      </c>
      <c r="G11" s="23" t="s">
        <v>2422</v>
      </c>
      <c r="H11" s="11" t="s">
        <v>43</v>
      </c>
      <c r="I11" s="23" t="s">
        <v>1407</v>
      </c>
      <c r="J11" s="23" t="s">
        <v>2423</v>
      </c>
      <c r="K11" s="18" t="s">
        <v>2424</v>
      </c>
      <c r="L11" s="23">
        <v>2195.0</v>
      </c>
      <c r="M11" s="24" t="s">
        <v>2425</v>
      </c>
      <c r="N11" s="24"/>
      <c r="O11" s="24"/>
      <c r="P11" s="10" t="s">
        <v>2426</v>
      </c>
      <c r="Q11" s="10" t="s">
        <v>2427</v>
      </c>
      <c r="R11" s="10" t="s">
        <v>2428</v>
      </c>
      <c r="S11" s="10" t="s">
        <v>2429</v>
      </c>
      <c r="T11" s="10" t="s">
        <v>2430</v>
      </c>
      <c r="U11" s="10" t="s">
        <v>2431</v>
      </c>
      <c r="V11" s="10" t="s">
        <v>2432</v>
      </c>
      <c r="W11" s="10" t="s">
        <v>2433</v>
      </c>
      <c r="X11" s="11"/>
      <c r="Y11" s="11"/>
      <c r="Z11" s="11"/>
      <c r="AA11" s="25" t="s">
        <v>54</v>
      </c>
      <c r="AB11" s="25" t="s">
        <v>54</v>
      </c>
      <c r="AC11" s="25" t="s">
        <v>146</v>
      </c>
      <c r="AD11" s="25" t="s">
        <v>54</v>
      </c>
      <c r="AE11" s="25" t="s">
        <v>54</v>
      </c>
      <c r="AF11" s="25" t="s">
        <v>146</v>
      </c>
      <c r="AG11" s="25" t="s">
        <v>54</v>
      </c>
      <c r="AH11" s="25" t="s">
        <v>54</v>
      </c>
      <c r="AI11" s="25"/>
      <c r="AJ11" s="25">
        <v>44.0</v>
      </c>
    </row>
    <row r="12" ht="203.25" customHeight="1">
      <c r="A12" s="14">
        <v>6.0</v>
      </c>
      <c r="B12" s="13" t="s">
        <v>2419</v>
      </c>
      <c r="C12" s="13" t="s">
        <v>2434</v>
      </c>
      <c r="D12" s="226" t="s">
        <v>2435</v>
      </c>
      <c r="E12" s="13" t="s">
        <v>1352</v>
      </c>
      <c r="F12" s="14" t="s">
        <v>44</v>
      </c>
      <c r="G12" s="14" t="s">
        <v>2436</v>
      </c>
      <c r="H12" s="14" t="s">
        <v>43</v>
      </c>
      <c r="I12" s="227">
        <v>46127.0</v>
      </c>
      <c r="J12" s="14" t="s">
        <v>2437</v>
      </c>
      <c r="K12" s="14">
        <v>8.2273800047E10</v>
      </c>
      <c r="L12" s="228">
        <v>1975.0</v>
      </c>
      <c r="M12" s="13" t="s">
        <v>2438</v>
      </c>
      <c r="N12" s="13"/>
      <c r="O12" s="13" t="s">
        <v>2439</v>
      </c>
      <c r="P12" s="13" t="s">
        <v>2440</v>
      </c>
      <c r="Q12" s="14"/>
      <c r="R12" s="13" t="s">
        <v>2441</v>
      </c>
      <c r="S12" s="13" t="s">
        <v>2442</v>
      </c>
      <c r="T12" s="13"/>
      <c r="U12" s="13" t="s">
        <v>2443</v>
      </c>
      <c r="V12" s="13" t="s">
        <v>2444</v>
      </c>
      <c r="W12" s="13" t="s">
        <v>2445</v>
      </c>
      <c r="X12" s="14"/>
      <c r="Y12" s="14"/>
      <c r="Z12" s="14"/>
      <c r="AA12" s="31" t="s">
        <v>54</v>
      </c>
      <c r="AB12" s="26" t="s">
        <v>54</v>
      </c>
      <c r="AC12" s="26" t="s">
        <v>145</v>
      </c>
      <c r="AD12" s="26" t="s">
        <v>54</v>
      </c>
      <c r="AE12" s="26" t="s">
        <v>145</v>
      </c>
      <c r="AF12" s="26" t="s">
        <v>146</v>
      </c>
      <c r="AG12" s="26" t="s">
        <v>145</v>
      </c>
      <c r="AH12" s="26" t="s">
        <v>54</v>
      </c>
      <c r="AI12" s="26" t="s">
        <v>146</v>
      </c>
      <c r="AJ12" s="26"/>
    </row>
    <row r="13" ht="22.5" customHeight="1">
      <c r="A13" s="229">
        <v>7.0</v>
      </c>
      <c r="B13" s="147" t="s">
        <v>2446</v>
      </c>
      <c r="C13" s="146" t="s">
        <v>2447</v>
      </c>
      <c r="D13" s="230" t="s">
        <v>2448</v>
      </c>
      <c r="E13" s="146" t="s">
        <v>2449</v>
      </c>
      <c r="F13" s="147" t="s">
        <v>72</v>
      </c>
      <c r="G13" s="147" t="s">
        <v>2450</v>
      </c>
      <c r="H13" s="147" t="s">
        <v>43</v>
      </c>
      <c r="I13" s="231">
        <v>46125.0</v>
      </c>
      <c r="J13" s="147" t="s">
        <v>2451</v>
      </c>
      <c r="K13" s="147">
        <v>8.1236767971E10</v>
      </c>
      <c r="L13" s="232">
        <v>988.0</v>
      </c>
      <c r="M13" s="9" t="s">
        <v>2452</v>
      </c>
      <c r="O13" s="9" t="s">
        <v>2453</v>
      </c>
      <c r="P13" s="9"/>
      <c r="Q13" s="11"/>
      <c r="R13" s="9" t="s">
        <v>2454</v>
      </c>
      <c r="S13" s="9" t="s">
        <v>2455</v>
      </c>
      <c r="T13" s="11"/>
      <c r="U13" s="9" t="s">
        <v>2456</v>
      </c>
      <c r="V13" s="59" t="s">
        <v>2457</v>
      </c>
      <c r="W13" s="9" t="s">
        <v>2458</v>
      </c>
      <c r="X13" s="11"/>
      <c r="Y13" s="11"/>
      <c r="Z13" s="11"/>
      <c r="AA13" s="25"/>
      <c r="AB13" s="25"/>
      <c r="AC13" s="25"/>
      <c r="AD13" s="25"/>
      <c r="AE13" s="25"/>
      <c r="AF13" s="25"/>
      <c r="AG13" s="25"/>
      <c r="AH13" s="25"/>
      <c r="AI13" s="25"/>
      <c r="AJ13" s="25"/>
    </row>
    <row r="14" ht="22.5" customHeight="1">
      <c r="A14" s="150"/>
      <c r="B14" s="150"/>
      <c r="C14" s="150"/>
      <c r="D14" s="150"/>
      <c r="E14" s="150"/>
      <c r="F14" s="150"/>
      <c r="G14" s="150"/>
      <c r="H14" s="150"/>
      <c r="I14" s="150"/>
      <c r="J14" s="150"/>
      <c r="K14" s="150"/>
      <c r="L14" s="150"/>
      <c r="M14" s="13"/>
      <c r="O14" s="13"/>
      <c r="P14" s="13"/>
      <c r="Q14" s="14"/>
      <c r="R14" s="13" t="s">
        <v>2459</v>
      </c>
      <c r="S14" s="26" t="s">
        <v>2460</v>
      </c>
      <c r="T14" s="14"/>
      <c r="U14" s="13" t="s">
        <v>2461</v>
      </c>
      <c r="V14" s="13" t="s">
        <v>2462</v>
      </c>
      <c r="W14" s="13" t="s">
        <v>2463</v>
      </c>
      <c r="X14" s="14"/>
      <c r="Y14" s="14"/>
      <c r="Z14" s="14"/>
      <c r="AA14" s="26"/>
      <c r="AB14" s="26"/>
      <c r="AC14" s="26"/>
      <c r="AD14" s="26"/>
      <c r="AE14" s="26"/>
      <c r="AF14" s="26"/>
      <c r="AG14" s="26"/>
      <c r="AH14" s="26"/>
      <c r="AI14" s="26"/>
      <c r="AJ14" s="26"/>
    </row>
    <row r="15" ht="22.5" customHeight="1">
      <c r="A15" s="150"/>
      <c r="B15" s="150"/>
      <c r="C15" s="150"/>
      <c r="D15" s="150"/>
      <c r="E15" s="150"/>
      <c r="F15" s="150"/>
      <c r="G15" s="150"/>
      <c r="H15" s="150"/>
      <c r="I15" s="150"/>
      <c r="J15" s="150"/>
      <c r="K15" s="150"/>
      <c r="L15" s="150"/>
      <c r="M15" s="9"/>
      <c r="N15" s="9"/>
      <c r="O15" s="9"/>
      <c r="P15" s="9"/>
      <c r="Q15" s="11"/>
      <c r="R15" s="11"/>
      <c r="S15" s="11"/>
      <c r="T15" s="11"/>
      <c r="U15" s="9" t="s">
        <v>2464</v>
      </c>
      <c r="V15" s="9" t="s">
        <v>2465</v>
      </c>
      <c r="W15" s="9" t="s">
        <v>2466</v>
      </c>
      <c r="X15" s="11"/>
      <c r="Y15" s="11"/>
      <c r="Z15" s="11"/>
      <c r="AA15" s="25"/>
      <c r="AB15" s="25"/>
      <c r="AC15" s="25"/>
      <c r="AD15" s="25"/>
      <c r="AE15" s="25"/>
      <c r="AF15" s="25"/>
      <c r="AG15" s="25"/>
      <c r="AH15" s="25"/>
      <c r="AI15" s="25"/>
      <c r="AJ15" s="25"/>
    </row>
    <row r="16" ht="22.5" customHeight="1">
      <c r="A16" s="151"/>
      <c r="B16" s="151"/>
      <c r="C16" s="151"/>
      <c r="D16" s="151"/>
      <c r="E16" s="151"/>
      <c r="F16" s="151"/>
      <c r="G16" s="151"/>
      <c r="H16" s="151"/>
      <c r="I16" s="151"/>
      <c r="J16" s="151"/>
      <c r="K16" s="151"/>
      <c r="L16" s="151"/>
      <c r="M16" s="13"/>
      <c r="N16" s="13"/>
      <c r="O16" s="13"/>
      <c r="P16" s="13"/>
      <c r="Q16" s="14"/>
      <c r="R16" s="14"/>
      <c r="S16" s="14"/>
      <c r="T16" s="14"/>
      <c r="U16" s="13" t="s">
        <v>2467</v>
      </c>
      <c r="V16" s="13" t="s">
        <v>2468</v>
      </c>
      <c r="W16" s="13" t="s">
        <v>2469</v>
      </c>
      <c r="X16" s="14"/>
      <c r="Y16" s="14"/>
      <c r="Z16" s="14"/>
      <c r="AA16" s="26"/>
      <c r="AB16" s="26"/>
      <c r="AC16" s="26"/>
      <c r="AD16" s="26"/>
      <c r="AE16" s="26"/>
      <c r="AF16" s="26"/>
      <c r="AG16" s="26"/>
      <c r="AH16" s="26"/>
      <c r="AI16" s="26"/>
      <c r="AJ16" s="26"/>
    </row>
    <row r="17" ht="14.25" customHeight="1">
      <c r="A17" s="11">
        <v>8.0</v>
      </c>
      <c r="B17" s="11" t="s">
        <v>2470</v>
      </c>
      <c r="C17" s="11" t="s">
        <v>2471</v>
      </c>
      <c r="D17" s="11" t="s">
        <v>2472</v>
      </c>
      <c r="E17" s="11" t="s">
        <v>2473</v>
      </c>
      <c r="F17" s="11" t="s">
        <v>696</v>
      </c>
      <c r="G17" s="11" t="s">
        <v>2474</v>
      </c>
      <c r="H17" s="11" t="s">
        <v>43</v>
      </c>
      <c r="I17" s="233">
        <v>46121.0</v>
      </c>
      <c r="J17" s="11" t="s">
        <v>2475</v>
      </c>
      <c r="K17" s="11">
        <v>8.1370885868E10</v>
      </c>
      <c r="L17" s="11">
        <v>1405.0</v>
      </c>
      <c r="M17" s="11"/>
      <c r="N17" s="11"/>
      <c r="O17" s="11" t="s">
        <v>2476</v>
      </c>
      <c r="P17" s="11"/>
      <c r="Q17" s="25"/>
      <c r="R17" s="11" t="s">
        <v>2477</v>
      </c>
      <c r="S17" s="11"/>
      <c r="T17" s="11" t="s">
        <v>2478</v>
      </c>
      <c r="U17" s="11" t="s">
        <v>2479</v>
      </c>
      <c r="V17" s="11" t="s">
        <v>2480</v>
      </c>
      <c r="W17" s="11" t="s">
        <v>2481</v>
      </c>
      <c r="X17" s="11"/>
      <c r="Y17" s="11"/>
      <c r="Z17" s="11"/>
      <c r="AA17" s="25"/>
      <c r="AB17" s="25"/>
      <c r="AC17" s="25"/>
      <c r="AD17" s="25"/>
      <c r="AE17" s="25"/>
      <c r="AF17" s="25"/>
      <c r="AG17" s="25"/>
      <c r="AH17" s="25"/>
      <c r="AI17" s="25"/>
      <c r="AJ17" s="25"/>
    </row>
    <row r="18" ht="183.0" customHeight="1">
      <c r="A18" s="14">
        <v>9.0</v>
      </c>
      <c r="B18" s="14" t="s">
        <v>2381</v>
      </c>
      <c r="C18" s="178" t="s">
        <v>2482</v>
      </c>
      <c r="D18" s="179" t="s">
        <v>2483</v>
      </c>
      <c r="E18" s="14" t="s">
        <v>1180</v>
      </c>
      <c r="F18" s="14" t="s">
        <v>696</v>
      </c>
      <c r="G18" s="14" t="s">
        <v>2484</v>
      </c>
      <c r="H18" s="14" t="s">
        <v>43</v>
      </c>
      <c r="I18" s="234">
        <v>46135.0</v>
      </c>
      <c r="J18" s="14" t="s">
        <v>2485</v>
      </c>
      <c r="K18" s="14">
        <v>8.5360037506E10</v>
      </c>
      <c r="L18" s="14">
        <v>1580.0</v>
      </c>
      <c r="M18" s="15" t="s">
        <v>2486</v>
      </c>
      <c r="N18" s="14"/>
      <c r="O18" s="14"/>
      <c r="P18" s="14" t="s">
        <v>2487</v>
      </c>
      <c r="R18" s="13" t="s">
        <v>2488</v>
      </c>
      <c r="S18" s="14" t="s">
        <v>2489</v>
      </c>
      <c r="T18" s="14"/>
      <c r="U18" s="235" t="s">
        <v>2490</v>
      </c>
      <c r="V18" s="235" t="s">
        <v>2491</v>
      </c>
      <c r="W18" s="235" t="s">
        <v>2492</v>
      </c>
      <c r="X18" s="14"/>
      <c r="Y18" s="14"/>
      <c r="Z18" s="14"/>
      <c r="AA18" s="26" t="s">
        <v>145</v>
      </c>
      <c r="AB18" s="26" t="s">
        <v>54</v>
      </c>
      <c r="AC18" s="26" t="s">
        <v>54</v>
      </c>
      <c r="AD18" s="26" t="s">
        <v>54</v>
      </c>
      <c r="AE18" s="26" t="s">
        <v>146</v>
      </c>
      <c r="AF18" s="26" t="s">
        <v>146</v>
      </c>
      <c r="AG18" s="26" t="s">
        <v>146</v>
      </c>
      <c r="AH18" s="26" t="s">
        <v>54</v>
      </c>
      <c r="AI18" s="26" t="s">
        <v>146</v>
      </c>
      <c r="AJ18" s="26">
        <v>44.0</v>
      </c>
    </row>
    <row r="19" ht="14.25" customHeight="1">
      <c r="A19" s="11">
        <v>10.0</v>
      </c>
      <c r="B19" s="11" t="s">
        <v>2493</v>
      </c>
      <c r="C19" s="11" t="s">
        <v>2494</v>
      </c>
      <c r="D19" s="11"/>
      <c r="E19" s="11" t="s">
        <v>1352</v>
      </c>
      <c r="F19" s="11" t="s">
        <v>1475</v>
      </c>
      <c r="G19" s="11" t="s">
        <v>2495</v>
      </c>
      <c r="H19" s="11" t="s">
        <v>43</v>
      </c>
      <c r="I19" s="233">
        <v>46120.0</v>
      </c>
      <c r="J19" s="11" t="s">
        <v>2496</v>
      </c>
      <c r="K19" s="11">
        <v>8.5184550659E10</v>
      </c>
      <c r="L19" s="11">
        <v>1167.0</v>
      </c>
      <c r="M19" s="11"/>
      <c r="N19" s="11"/>
      <c r="O19" s="11"/>
      <c r="P19" s="11"/>
      <c r="R19" s="11"/>
      <c r="S19" s="11"/>
      <c r="T19" s="11"/>
      <c r="U19" s="11"/>
      <c r="V19" s="11"/>
      <c r="W19" s="11"/>
      <c r="X19" s="11"/>
      <c r="Y19" s="11"/>
      <c r="Z19" s="11"/>
      <c r="AA19" s="25"/>
      <c r="AB19" s="25"/>
      <c r="AC19" s="25"/>
      <c r="AD19" s="25"/>
      <c r="AE19" s="25"/>
      <c r="AF19" s="25"/>
      <c r="AG19" s="25"/>
      <c r="AH19" s="25"/>
      <c r="AI19" s="25"/>
      <c r="AJ19" s="25"/>
    </row>
    <row r="20" ht="82.5" customHeight="1">
      <c r="A20" s="14">
        <v>11.0</v>
      </c>
      <c r="B20" s="14" t="s">
        <v>2497</v>
      </c>
      <c r="C20" s="14" t="s">
        <v>2498</v>
      </c>
      <c r="D20" s="14" t="s">
        <v>2499</v>
      </c>
      <c r="E20" s="236" t="s">
        <v>2500</v>
      </c>
      <c r="F20" s="14" t="s">
        <v>696</v>
      </c>
      <c r="G20" s="14" t="s">
        <v>2501</v>
      </c>
      <c r="H20" s="14" t="s">
        <v>142</v>
      </c>
      <c r="I20" s="14" t="s">
        <v>1732</v>
      </c>
      <c r="J20" s="14" t="s">
        <v>2502</v>
      </c>
      <c r="K20" s="14">
        <v>8.5338566406E10</v>
      </c>
      <c r="L20" s="14">
        <v>1664.0</v>
      </c>
      <c r="M20" s="13" t="s">
        <v>2503</v>
      </c>
      <c r="N20" s="14"/>
      <c r="O20" s="14" t="s">
        <v>2504</v>
      </c>
      <c r="P20" s="14"/>
      <c r="R20" s="13" t="s">
        <v>2505</v>
      </c>
      <c r="S20" s="13" t="s">
        <v>2506</v>
      </c>
      <c r="T20" s="14"/>
      <c r="U20" s="13" t="s">
        <v>2507</v>
      </c>
      <c r="V20" s="14" t="s">
        <v>2508</v>
      </c>
      <c r="W20" s="14" t="s">
        <v>2509</v>
      </c>
      <c r="X20" s="14"/>
      <c r="Y20" s="14"/>
      <c r="Z20" s="14"/>
      <c r="AA20" s="26" t="s">
        <v>146</v>
      </c>
      <c r="AB20" s="26" t="s">
        <v>54</v>
      </c>
      <c r="AC20" s="26" t="s">
        <v>145</v>
      </c>
      <c r="AD20" s="26" t="s">
        <v>145</v>
      </c>
      <c r="AE20" s="26" t="s">
        <v>145</v>
      </c>
      <c r="AF20" s="26" t="s">
        <v>190</v>
      </c>
      <c r="AG20" s="26" t="s">
        <v>146</v>
      </c>
      <c r="AH20" s="26" t="s">
        <v>54</v>
      </c>
      <c r="AI20" s="26" t="s">
        <v>146</v>
      </c>
      <c r="AJ20" s="26">
        <v>40.0</v>
      </c>
    </row>
    <row r="21" ht="14.25" customHeight="1">
      <c r="A21" s="11"/>
      <c r="B21" s="11"/>
      <c r="C21" s="11"/>
      <c r="D21" s="11"/>
      <c r="E21" s="11"/>
      <c r="F21" s="11"/>
      <c r="G21" s="11"/>
      <c r="H21" s="11"/>
      <c r="I21" s="11"/>
      <c r="J21" s="11"/>
      <c r="K21" s="11"/>
      <c r="L21" s="11"/>
      <c r="M21" s="11"/>
      <c r="N21" s="11"/>
      <c r="O21" s="11"/>
      <c r="P21" s="11"/>
      <c r="R21" s="11"/>
      <c r="S21" s="11"/>
      <c r="T21" s="11"/>
      <c r="U21" s="11"/>
      <c r="V21" s="11"/>
      <c r="W21" s="11"/>
      <c r="X21" s="11"/>
      <c r="Y21" s="11"/>
      <c r="Z21" s="11"/>
      <c r="AA21" s="25"/>
      <c r="AB21" s="25"/>
      <c r="AC21" s="25"/>
      <c r="AD21" s="25"/>
      <c r="AE21" s="25"/>
      <c r="AF21" s="25"/>
      <c r="AG21" s="25"/>
      <c r="AH21" s="25"/>
      <c r="AI21" s="25"/>
      <c r="AJ21" s="25"/>
    </row>
    <row r="22" ht="14.25" customHeight="1">
      <c r="A22" s="14"/>
      <c r="B22" s="14"/>
      <c r="C22" s="14"/>
      <c r="D22" s="14"/>
      <c r="E22" s="14"/>
      <c r="F22" s="14"/>
      <c r="G22" s="14"/>
      <c r="H22" s="14"/>
      <c r="I22" s="14"/>
      <c r="J22" s="14"/>
      <c r="K22" s="14"/>
      <c r="L22" s="14"/>
      <c r="M22" s="14"/>
      <c r="N22" s="14"/>
      <c r="O22" s="14"/>
      <c r="P22" s="14"/>
      <c r="R22" s="14"/>
      <c r="S22" s="14"/>
      <c r="T22" s="14"/>
      <c r="U22" s="14"/>
      <c r="V22" s="14"/>
      <c r="W22" s="14"/>
      <c r="X22" s="14"/>
      <c r="Y22" s="14"/>
      <c r="Z22" s="14"/>
      <c r="AA22" s="26"/>
      <c r="AB22" s="26"/>
      <c r="AC22" s="26"/>
      <c r="AD22" s="26"/>
      <c r="AE22" s="26"/>
      <c r="AF22" s="26"/>
      <c r="AG22" s="26"/>
      <c r="AH22" s="26"/>
      <c r="AI22" s="26"/>
      <c r="AJ22" s="26"/>
    </row>
    <row r="23" ht="14.25" customHeight="1">
      <c r="AA23" s="25"/>
      <c r="AB23" s="25"/>
      <c r="AC23" s="25"/>
      <c r="AD23" s="25"/>
      <c r="AE23" s="25"/>
      <c r="AF23" s="25"/>
      <c r="AG23" s="25"/>
      <c r="AH23" s="25"/>
      <c r="AI23" s="25"/>
      <c r="AJ23" s="25"/>
    </row>
    <row r="24" ht="14.25" customHeight="1">
      <c r="AA24" s="62"/>
      <c r="AB24" s="62"/>
      <c r="AC24" s="62"/>
      <c r="AD24" s="62"/>
      <c r="AE24" s="62"/>
      <c r="AF24" s="62"/>
      <c r="AG24" s="62"/>
      <c r="AH24" s="62"/>
      <c r="AI24" s="62"/>
      <c r="AJ24" s="62"/>
    </row>
    <row r="25" ht="14.25" customHeight="1">
      <c r="AA25" s="62"/>
      <c r="AB25" s="62"/>
      <c r="AC25" s="62"/>
      <c r="AD25" s="62"/>
      <c r="AE25" s="62"/>
      <c r="AF25" s="62"/>
      <c r="AG25" s="62"/>
      <c r="AH25" s="62"/>
      <c r="AI25" s="62"/>
      <c r="AJ25" s="62"/>
    </row>
    <row r="26" ht="14.25" customHeight="1">
      <c r="AA26" s="62"/>
      <c r="AB26" s="62"/>
      <c r="AC26" s="62"/>
      <c r="AD26" s="62"/>
      <c r="AE26" s="62"/>
      <c r="AF26" s="62"/>
      <c r="AG26" s="62"/>
      <c r="AH26" s="62"/>
      <c r="AI26" s="62"/>
      <c r="AJ26" s="62"/>
    </row>
    <row r="27" ht="14.25" customHeight="1">
      <c r="C27" s="62" t="s">
        <v>216</v>
      </c>
      <c r="D27" s="62">
        <v>10.0</v>
      </c>
      <c r="AA27" s="62"/>
      <c r="AB27" s="62"/>
      <c r="AC27" s="62"/>
      <c r="AD27" s="62"/>
      <c r="AE27" s="62"/>
      <c r="AF27" s="62"/>
      <c r="AG27" s="62"/>
      <c r="AH27" s="62"/>
      <c r="AI27" s="62"/>
      <c r="AJ27" s="62"/>
    </row>
    <row r="28" ht="14.25" customHeight="1">
      <c r="C28" s="62" t="s">
        <v>217</v>
      </c>
      <c r="D28" s="62">
        <v>1.0</v>
      </c>
      <c r="AA28" s="62"/>
      <c r="AB28" s="62"/>
      <c r="AC28" s="62"/>
      <c r="AD28" s="62"/>
      <c r="AE28" s="62"/>
      <c r="AF28" s="62"/>
      <c r="AG28" s="62"/>
      <c r="AH28" s="62"/>
      <c r="AI28" s="62"/>
      <c r="AJ28" s="62"/>
    </row>
    <row r="29" ht="14.25" customHeight="1">
      <c r="AA29" s="62"/>
      <c r="AB29" s="62"/>
      <c r="AC29" s="62"/>
      <c r="AD29" s="62"/>
      <c r="AE29" s="62"/>
      <c r="AF29" s="62"/>
      <c r="AG29" s="62"/>
      <c r="AH29" s="62"/>
      <c r="AI29" s="62"/>
      <c r="AJ29" s="62"/>
    </row>
    <row r="30" ht="14.25" customHeight="1">
      <c r="AA30" s="62"/>
      <c r="AB30" s="62"/>
      <c r="AC30" s="62"/>
      <c r="AD30" s="62"/>
      <c r="AE30" s="62"/>
      <c r="AF30" s="62"/>
      <c r="AG30" s="62"/>
      <c r="AH30" s="62"/>
      <c r="AI30" s="62"/>
      <c r="AJ30" s="62"/>
    </row>
    <row r="31" ht="14.25" customHeight="1">
      <c r="AA31" s="62"/>
      <c r="AB31" s="62"/>
      <c r="AC31" s="62"/>
      <c r="AD31" s="62"/>
      <c r="AE31" s="62"/>
      <c r="AF31" s="62"/>
      <c r="AG31" s="62"/>
      <c r="AH31" s="62"/>
      <c r="AI31" s="62"/>
      <c r="AJ31" s="62"/>
    </row>
    <row r="32" ht="14.25" customHeight="1">
      <c r="AA32" s="62"/>
      <c r="AB32" s="62"/>
      <c r="AC32" s="62"/>
      <c r="AD32" s="62"/>
      <c r="AE32" s="62"/>
      <c r="AF32" s="62"/>
      <c r="AG32" s="62"/>
      <c r="AH32" s="62"/>
      <c r="AI32" s="62"/>
      <c r="AJ32" s="62"/>
    </row>
    <row r="33" ht="14.25" customHeight="1">
      <c r="AA33" s="62"/>
      <c r="AB33" s="62"/>
      <c r="AC33" s="62"/>
      <c r="AD33" s="62"/>
      <c r="AE33" s="62"/>
      <c r="AF33" s="62"/>
      <c r="AG33" s="62"/>
      <c r="AH33" s="62"/>
      <c r="AI33" s="62"/>
      <c r="AJ33" s="62"/>
    </row>
    <row r="34" ht="14.25" customHeight="1">
      <c r="AA34" s="62"/>
      <c r="AB34" s="62"/>
      <c r="AC34" s="62"/>
      <c r="AD34" s="62"/>
      <c r="AE34" s="62"/>
      <c r="AF34" s="62"/>
      <c r="AG34" s="62"/>
      <c r="AH34" s="62"/>
      <c r="AI34" s="62"/>
      <c r="AJ34" s="62"/>
    </row>
    <row r="35" ht="14.25" customHeight="1">
      <c r="AA35" s="62"/>
      <c r="AB35" s="62"/>
      <c r="AC35" s="62"/>
      <c r="AD35" s="62"/>
      <c r="AE35" s="62"/>
      <c r="AF35" s="62"/>
      <c r="AG35" s="62"/>
      <c r="AH35" s="62"/>
      <c r="AI35" s="62"/>
      <c r="AJ35" s="62"/>
    </row>
    <row r="36" ht="14.25" customHeight="1">
      <c r="AA36" s="62"/>
      <c r="AB36" s="62"/>
      <c r="AC36" s="62"/>
      <c r="AD36" s="62"/>
      <c r="AE36" s="62"/>
      <c r="AF36" s="62"/>
      <c r="AG36" s="62"/>
      <c r="AH36" s="62"/>
      <c r="AI36" s="62"/>
      <c r="AJ36" s="62"/>
    </row>
    <row r="37" ht="14.25" customHeight="1">
      <c r="AA37" s="62"/>
      <c r="AB37" s="62"/>
      <c r="AC37" s="62"/>
      <c r="AD37" s="62"/>
      <c r="AE37" s="62"/>
      <c r="AF37" s="62"/>
      <c r="AG37" s="62"/>
      <c r="AH37" s="62"/>
      <c r="AI37" s="62"/>
      <c r="AJ37" s="62"/>
    </row>
    <row r="38" ht="14.25" customHeight="1">
      <c r="AA38" s="62"/>
      <c r="AB38" s="62"/>
      <c r="AC38" s="62"/>
      <c r="AD38" s="62"/>
      <c r="AE38" s="62"/>
      <c r="AF38" s="62"/>
      <c r="AG38" s="62"/>
      <c r="AH38" s="62"/>
      <c r="AI38" s="62"/>
      <c r="AJ38" s="62"/>
    </row>
    <row r="39" ht="14.25" customHeight="1">
      <c r="AA39" s="62"/>
      <c r="AB39" s="62"/>
      <c r="AC39" s="62"/>
      <c r="AD39" s="62"/>
      <c r="AE39" s="62"/>
      <c r="AF39" s="62"/>
      <c r="AG39" s="62"/>
      <c r="AH39" s="62"/>
      <c r="AI39" s="62"/>
      <c r="AJ39" s="62"/>
    </row>
    <row r="40" ht="14.25" customHeight="1">
      <c r="AA40" s="62"/>
      <c r="AB40" s="62"/>
      <c r="AC40" s="62"/>
      <c r="AD40" s="62"/>
      <c r="AE40" s="62"/>
      <c r="AF40" s="62"/>
      <c r="AG40" s="62"/>
      <c r="AH40" s="62"/>
      <c r="AI40" s="62"/>
      <c r="AJ40" s="62"/>
    </row>
    <row r="41" ht="14.25" customHeight="1">
      <c r="AA41" s="62"/>
      <c r="AB41" s="62"/>
      <c r="AC41" s="62"/>
      <c r="AD41" s="62"/>
      <c r="AE41" s="62"/>
      <c r="AF41" s="62"/>
      <c r="AG41" s="62"/>
      <c r="AH41" s="62"/>
      <c r="AI41" s="62"/>
      <c r="AJ41" s="62"/>
    </row>
    <row r="42" ht="14.25" customHeight="1">
      <c r="AA42" s="62"/>
      <c r="AB42" s="62"/>
      <c r="AC42" s="62"/>
      <c r="AD42" s="62"/>
      <c r="AE42" s="62"/>
      <c r="AF42" s="62"/>
      <c r="AG42" s="62"/>
      <c r="AH42" s="62"/>
      <c r="AI42" s="62"/>
      <c r="AJ42" s="62"/>
    </row>
    <row r="43" ht="14.25" customHeight="1">
      <c r="AA43" s="62"/>
      <c r="AB43" s="62"/>
      <c r="AC43" s="62"/>
      <c r="AD43" s="62"/>
      <c r="AE43" s="62"/>
      <c r="AF43" s="62"/>
      <c r="AG43" s="62"/>
      <c r="AH43" s="62"/>
      <c r="AI43" s="62"/>
      <c r="AJ43" s="62"/>
    </row>
    <row r="44" ht="14.25" customHeight="1">
      <c r="AA44" s="62"/>
      <c r="AB44" s="62"/>
      <c r="AC44" s="62"/>
      <c r="AD44" s="62"/>
      <c r="AE44" s="62"/>
      <c r="AF44" s="62"/>
      <c r="AG44" s="62"/>
      <c r="AH44" s="62"/>
      <c r="AI44" s="62"/>
      <c r="AJ44" s="62"/>
    </row>
    <row r="45" ht="14.25" customHeight="1">
      <c r="AA45" s="62"/>
      <c r="AB45" s="62"/>
      <c r="AC45" s="62"/>
      <c r="AD45" s="62"/>
      <c r="AE45" s="62"/>
      <c r="AF45" s="62"/>
      <c r="AG45" s="62"/>
      <c r="AH45" s="62"/>
      <c r="AI45" s="62"/>
      <c r="AJ45" s="62"/>
    </row>
    <row r="46" ht="14.25" customHeight="1">
      <c r="AA46" s="62"/>
      <c r="AB46" s="62"/>
      <c r="AC46" s="62"/>
      <c r="AD46" s="62"/>
      <c r="AE46" s="62"/>
      <c r="AF46" s="62"/>
      <c r="AG46" s="62"/>
      <c r="AH46" s="62"/>
      <c r="AI46" s="62"/>
      <c r="AJ46" s="62"/>
    </row>
    <row r="47" ht="14.25" customHeight="1">
      <c r="AA47" s="62"/>
      <c r="AB47" s="62"/>
      <c r="AC47" s="62"/>
      <c r="AD47" s="62"/>
      <c r="AE47" s="62"/>
      <c r="AF47" s="62"/>
      <c r="AG47" s="62"/>
      <c r="AH47" s="62"/>
      <c r="AI47" s="62"/>
      <c r="AJ47" s="62"/>
    </row>
    <row r="48" ht="14.25" customHeight="1">
      <c r="AA48" s="62"/>
      <c r="AB48" s="62"/>
      <c r="AC48" s="62"/>
      <c r="AD48" s="62"/>
      <c r="AE48" s="62"/>
      <c r="AF48" s="62"/>
      <c r="AG48" s="62"/>
      <c r="AH48" s="62"/>
      <c r="AI48" s="62"/>
      <c r="AJ48" s="62"/>
    </row>
    <row r="49" ht="14.25" customHeight="1">
      <c r="AA49" s="62"/>
      <c r="AB49" s="62"/>
      <c r="AC49" s="62"/>
      <c r="AD49" s="62"/>
      <c r="AE49" s="62"/>
      <c r="AF49" s="62"/>
      <c r="AG49" s="62"/>
      <c r="AH49" s="62"/>
      <c r="AI49" s="62"/>
      <c r="AJ49" s="62"/>
    </row>
    <row r="50" ht="14.25" customHeight="1">
      <c r="AA50" s="62"/>
      <c r="AB50" s="62"/>
      <c r="AC50" s="62"/>
      <c r="AD50" s="62"/>
      <c r="AE50" s="62"/>
      <c r="AF50" s="62"/>
      <c r="AG50" s="62"/>
      <c r="AH50" s="62"/>
      <c r="AI50" s="62"/>
      <c r="AJ50" s="62"/>
    </row>
    <row r="51" ht="14.25" customHeight="1">
      <c r="AA51" s="62"/>
      <c r="AB51" s="62"/>
      <c r="AC51" s="62"/>
      <c r="AD51" s="62"/>
      <c r="AE51" s="62"/>
      <c r="AF51" s="62"/>
      <c r="AG51" s="62"/>
      <c r="AH51" s="62"/>
      <c r="AI51" s="62"/>
      <c r="AJ51" s="62"/>
    </row>
    <row r="52" ht="14.25" customHeight="1">
      <c r="AA52" s="62"/>
      <c r="AB52" s="62"/>
      <c r="AC52" s="62"/>
      <c r="AD52" s="62"/>
      <c r="AE52" s="62"/>
      <c r="AF52" s="62"/>
      <c r="AG52" s="62"/>
      <c r="AH52" s="62"/>
      <c r="AI52" s="62"/>
      <c r="AJ52" s="62"/>
    </row>
    <row r="53" ht="14.25" customHeight="1">
      <c r="AA53" s="62"/>
      <c r="AB53" s="62"/>
      <c r="AC53" s="62"/>
      <c r="AD53" s="62"/>
      <c r="AE53" s="62"/>
      <c r="AF53" s="62"/>
      <c r="AG53" s="62"/>
      <c r="AH53" s="62"/>
      <c r="AI53" s="62"/>
      <c r="AJ53" s="62"/>
    </row>
    <row r="54" ht="14.25" customHeight="1">
      <c r="AA54" s="62"/>
      <c r="AB54" s="62"/>
      <c r="AC54" s="62"/>
      <c r="AD54" s="62"/>
      <c r="AE54" s="62"/>
      <c r="AF54" s="62"/>
      <c r="AG54" s="62"/>
      <c r="AH54" s="62"/>
      <c r="AI54" s="62"/>
      <c r="AJ54" s="62"/>
    </row>
    <row r="55" ht="14.25" customHeight="1">
      <c r="AA55" s="62"/>
      <c r="AB55" s="62"/>
      <c r="AC55" s="62"/>
      <c r="AD55" s="62"/>
      <c r="AE55" s="62"/>
      <c r="AF55" s="62"/>
      <c r="AG55" s="62"/>
      <c r="AH55" s="62"/>
      <c r="AI55" s="62"/>
      <c r="AJ55" s="62"/>
    </row>
    <row r="56" ht="14.25" customHeight="1">
      <c r="AA56" s="62"/>
      <c r="AB56" s="62"/>
      <c r="AC56" s="62"/>
      <c r="AD56" s="62"/>
      <c r="AE56" s="62"/>
      <c r="AF56" s="62"/>
      <c r="AG56" s="62"/>
      <c r="AH56" s="62"/>
      <c r="AI56" s="62"/>
      <c r="AJ56" s="62"/>
    </row>
    <row r="57" ht="14.25" customHeight="1">
      <c r="AA57" s="62"/>
      <c r="AB57" s="62"/>
      <c r="AC57" s="62"/>
      <c r="AD57" s="62"/>
      <c r="AE57" s="62"/>
      <c r="AF57" s="62"/>
      <c r="AG57" s="62"/>
      <c r="AH57" s="62"/>
      <c r="AI57" s="62"/>
      <c r="AJ57" s="62"/>
    </row>
    <row r="58" ht="14.25" customHeight="1">
      <c r="AA58" s="62"/>
      <c r="AB58" s="62"/>
      <c r="AC58" s="62"/>
      <c r="AD58" s="62"/>
      <c r="AE58" s="62"/>
      <c r="AF58" s="62"/>
      <c r="AG58" s="62"/>
      <c r="AH58" s="62"/>
      <c r="AI58" s="62"/>
      <c r="AJ58" s="62"/>
    </row>
    <row r="59" ht="14.25" customHeight="1">
      <c r="AA59" s="62"/>
      <c r="AB59" s="62"/>
      <c r="AC59" s="62"/>
      <c r="AD59" s="62"/>
      <c r="AE59" s="62"/>
      <c r="AF59" s="62"/>
      <c r="AG59" s="62"/>
      <c r="AH59" s="62"/>
      <c r="AI59" s="62"/>
      <c r="AJ59" s="62"/>
    </row>
    <row r="60" ht="14.25" customHeight="1">
      <c r="AA60" s="62"/>
      <c r="AB60" s="62"/>
      <c r="AC60" s="62"/>
      <c r="AD60" s="62"/>
      <c r="AE60" s="62"/>
      <c r="AF60" s="62"/>
      <c r="AG60" s="62"/>
      <c r="AH60" s="62"/>
      <c r="AI60" s="62"/>
      <c r="AJ60" s="62"/>
    </row>
    <row r="61" ht="14.25" customHeight="1">
      <c r="AA61" s="62"/>
      <c r="AB61" s="62"/>
      <c r="AC61" s="62"/>
      <c r="AD61" s="62"/>
      <c r="AE61" s="62"/>
      <c r="AF61" s="62"/>
      <c r="AG61" s="62"/>
      <c r="AH61" s="62"/>
      <c r="AI61" s="62"/>
      <c r="AJ61" s="62"/>
    </row>
    <row r="62" ht="14.25" customHeight="1">
      <c r="AA62" s="62"/>
      <c r="AB62" s="62"/>
      <c r="AC62" s="62"/>
      <c r="AD62" s="62"/>
      <c r="AE62" s="62"/>
      <c r="AF62" s="62"/>
      <c r="AG62" s="62"/>
      <c r="AH62" s="62"/>
      <c r="AI62" s="62"/>
      <c r="AJ62" s="62"/>
    </row>
    <row r="63" ht="14.25" customHeight="1">
      <c r="AA63" s="62"/>
      <c r="AB63" s="62"/>
      <c r="AC63" s="62"/>
      <c r="AD63" s="62"/>
      <c r="AE63" s="62"/>
      <c r="AF63" s="62"/>
      <c r="AG63" s="62"/>
      <c r="AH63" s="62"/>
      <c r="AI63" s="62"/>
      <c r="AJ63" s="62"/>
    </row>
    <row r="64" ht="14.25" customHeight="1">
      <c r="AA64" s="62"/>
      <c r="AB64" s="62"/>
      <c r="AC64" s="62"/>
      <c r="AD64" s="62"/>
      <c r="AE64" s="62"/>
      <c r="AF64" s="62"/>
      <c r="AG64" s="62"/>
      <c r="AH64" s="62"/>
      <c r="AI64" s="62"/>
      <c r="AJ64" s="62"/>
    </row>
    <row r="65" ht="14.25" customHeight="1">
      <c r="AA65" s="62"/>
      <c r="AB65" s="62"/>
      <c r="AC65" s="62"/>
      <c r="AD65" s="62"/>
      <c r="AE65" s="62"/>
      <c r="AF65" s="62"/>
      <c r="AG65" s="62"/>
      <c r="AH65" s="62"/>
      <c r="AI65" s="62"/>
      <c r="AJ65" s="62"/>
    </row>
    <row r="66" ht="14.25" customHeight="1">
      <c r="AA66" s="62"/>
      <c r="AB66" s="62"/>
      <c r="AC66" s="62"/>
      <c r="AD66" s="62"/>
      <c r="AE66" s="62"/>
      <c r="AF66" s="62"/>
      <c r="AG66" s="62"/>
      <c r="AH66" s="62"/>
      <c r="AI66" s="62"/>
      <c r="AJ66" s="62"/>
    </row>
    <row r="67" ht="14.25" customHeight="1">
      <c r="AA67" s="62"/>
      <c r="AB67" s="62"/>
      <c r="AC67" s="62"/>
      <c r="AD67" s="62"/>
      <c r="AE67" s="62"/>
      <c r="AF67" s="62"/>
      <c r="AG67" s="62"/>
      <c r="AH67" s="62"/>
      <c r="AI67" s="62"/>
      <c r="AJ67" s="62"/>
    </row>
    <row r="68" ht="14.25" customHeight="1">
      <c r="AA68" s="62"/>
      <c r="AB68" s="62"/>
      <c r="AC68" s="62"/>
      <c r="AD68" s="62"/>
      <c r="AE68" s="62"/>
      <c r="AF68" s="62"/>
      <c r="AG68" s="62"/>
      <c r="AH68" s="62"/>
      <c r="AI68" s="62"/>
      <c r="AJ68" s="62"/>
    </row>
    <row r="69" ht="14.25" customHeight="1">
      <c r="AA69" s="62"/>
      <c r="AB69" s="62"/>
      <c r="AC69" s="62"/>
      <c r="AD69" s="62"/>
      <c r="AE69" s="62"/>
      <c r="AF69" s="62"/>
      <c r="AG69" s="62"/>
      <c r="AH69" s="62"/>
      <c r="AI69" s="62"/>
      <c r="AJ69" s="62"/>
    </row>
    <row r="70" ht="14.25" customHeight="1">
      <c r="AA70" s="62"/>
      <c r="AB70" s="62"/>
      <c r="AC70" s="62"/>
      <c r="AD70" s="62"/>
      <c r="AE70" s="62"/>
      <c r="AF70" s="62"/>
      <c r="AG70" s="62"/>
      <c r="AH70" s="62"/>
      <c r="AI70" s="62"/>
      <c r="AJ70" s="62"/>
    </row>
    <row r="71" ht="14.25" customHeight="1">
      <c r="AA71" s="62"/>
      <c r="AB71" s="62"/>
      <c r="AC71" s="62"/>
      <c r="AD71" s="62"/>
      <c r="AE71" s="62"/>
      <c r="AF71" s="62"/>
      <c r="AG71" s="62"/>
      <c r="AH71" s="62"/>
      <c r="AI71" s="62"/>
      <c r="AJ71" s="62"/>
    </row>
    <row r="72" ht="14.25" customHeight="1">
      <c r="AA72" s="62"/>
      <c r="AB72" s="62"/>
      <c r="AC72" s="62"/>
      <c r="AD72" s="62"/>
      <c r="AE72" s="62"/>
      <c r="AF72" s="62"/>
      <c r="AG72" s="62"/>
      <c r="AH72" s="62"/>
      <c r="AI72" s="62"/>
      <c r="AJ72" s="62"/>
    </row>
    <row r="73" ht="14.25" customHeight="1">
      <c r="AA73" s="62"/>
      <c r="AB73" s="62"/>
      <c r="AC73" s="62"/>
      <c r="AD73" s="62"/>
      <c r="AE73" s="62"/>
      <c r="AF73" s="62"/>
      <c r="AG73" s="62"/>
      <c r="AH73" s="62"/>
      <c r="AI73" s="62"/>
      <c r="AJ73" s="62"/>
    </row>
    <row r="74" ht="14.25" customHeight="1">
      <c r="AA74" s="62"/>
      <c r="AB74" s="62"/>
      <c r="AC74" s="62"/>
      <c r="AD74" s="62"/>
      <c r="AE74" s="62"/>
      <c r="AF74" s="62"/>
      <c r="AG74" s="62"/>
      <c r="AH74" s="62"/>
      <c r="AI74" s="62"/>
      <c r="AJ74" s="62"/>
    </row>
    <row r="75" ht="14.25" customHeight="1">
      <c r="AA75" s="62"/>
      <c r="AB75" s="62"/>
      <c r="AC75" s="62"/>
      <c r="AD75" s="62"/>
      <c r="AE75" s="62"/>
      <c r="AF75" s="62"/>
      <c r="AG75" s="62"/>
      <c r="AH75" s="62"/>
      <c r="AI75" s="62"/>
      <c r="AJ75" s="62"/>
    </row>
    <row r="76" ht="14.25" customHeight="1">
      <c r="AA76" s="62"/>
      <c r="AB76" s="62"/>
      <c r="AC76" s="62"/>
      <c r="AD76" s="62"/>
      <c r="AE76" s="62"/>
      <c r="AF76" s="62"/>
      <c r="AG76" s="62"/>
      <c r="AH76" s="62"/>
      <c r="AI76" s="62"/>
      <c r="AJ76" s="62"/>
    </row>
    <row r="77" ht="14.25" customHeight="1">
      <c r="AA77" s="62"/>
      <c r="AB77" s="62"/>
      <c r="AC77" s="62"/>
      <c r="AD77" s="62"/>
      <c r="AE77" s="62"/>
      <c r="AF77" s="62"/>
      <c r="AG77" s="62"/>
      <c r="AH77" s="62"/>
      <c r="AI77" s="62"/>
      <c r="AJ77" s="62"/>
    </row>
    <row r="78" ht="14.25" customHeight="1">
      <c r="AA78" s="62"/>
      <c r="AB78" s="62"/>
      <c r="AC78" s="62"/>
      <c r="AD78" s="62"/>
      <c r="AE78" s="62"/>
      <c r="AF78" s="62"/>
      <c r="AG78" s="62"/>
      <c r="AH78" s="62"/>
      <c r="AI78" s="62"/>
      <c r="AJ78" s="62"/>
    </row>
    <row r="79" ht="14.25" customHeight="1">
      <c r="AA79" s="62"/>
      <c r="AB79" s="62"/>
      <c r="AC79" s="62"/>
      <c r="AD79" s="62"/>
      <c r="AE79" s="62"/>
      <c r="AF79" s="62"/>
      <c r="AG79" s="62"/>
      <c r="AH79" s="62"/>
      <c r="AI79" s="62"/>
      <c r="AJ79" s="62"/>
    </row>
    <row r="80" ht="14.25" customHeight="1">
      <c r="AA80" s="62"/>
      <c r="AB80" s="62"/>
      <c r="AC80" s="62"/>
      <c r="AD80" s="62"/>
      <c r="AE80" s="62"/>
      <c r="AF80" s="62"/>
      <c r="AG80" s="62"/>
      <c r="AH80" s="62"/>
      <c r="AI80" s="62"/>
      <c r="AJ80" s="62"/>
    </row>
    <row r="81" ht="14.25" customHeight="1">
      <c r="AA81" s="62"/>
      <c r="AB81" s="62"/>
      <c r="AC81" s="62"/>
      <c r="AD81" s="62"/>
      <c r="AE81" s="62"/>
      <c r="AF81" s="62"/>
      <c r="AG81" s="62"/>
      <c r="AH81" s="62"/>
      <c r="AI81" s="62"/>
      <c r="AJ81" s="62"/>
    </row>
    <row r="82" ht="14.25" customHeight="1">
      <c r="AA82" s="62"/>
      <c r="AB82" s="62"/>
      <c r="AC82" s="62"/>
      <c r="AD82" s="62"/>
      <c r="AE82" s="62"/>
      <c r="AF82" s="62"/>
      <c r="AG82" s="62"/>
      <c r="AH82" s="62"/>
      <c r="AI82" s="62"/>
      <c r="AJ82" s="62"/>
    </row>
    <row r="83" ht="14.25" customHeight="1">
      <c r="AA83" s="62"/>
      <c r="AB83" s="62"/>
      <c r="AC83" s="62"/>
      <c r="AD83" s="62"/>
      <c r="AE83" s="62"/>
      <c r="AF83" s="62"/>
      <c r="AG83" s="62"/>
      <c r="AH83" s="62"/>
      <c r="AI83" s="62"/>
      <c r="AJ83" s="62"/>
    </row>
    <row r="84" ht="14.25" customHeight="1">
      <c r="AA84" s="62"/>
      <c r="AB84" s="62"/>
      <c r="AC84" s="62"/>
      <c r="AD84" s="62"/>
      <c r="AE84" s="62"/>
      <c r="AF84" s="62"/>
      <c r="AG84" s="62"/>
      <c r="AH84" s="62"/>
      <c r="AI84" s="62"/>
      <c r="AJ84" s="62"/>
    </row>
    <row r="85" ht="14.25" customHeight="1">
      <c r="AA85" s="62"/>
      <c r="AB85" s="62"/>
      <c r="AC85" s="62"/>
      <c r="AD85" s="62"/>
      <c r="AE85" s="62"/>
      <c r="AF85" s="62"/>
      <c r="AG85" s="62"/>
      <c r="AH85" s="62"/>
      <c r="AI85" s="62"/>
      <c r="AJ85" s="62"/>
    </row>
    <row r="86" ht="14.25" customHeight="1">
      <c r="AA86" s="62"/>
      <c r="AB86" s="62"/>
      <c r="AC86" s="62"/>
      <c r="AD86" s="62"/>
      <c r="AE86" s="62"/>
      <c r="AF86" s="62"/>
      <c r="AG86" s="62"/>
      <c r="AH86" s="62"/>
      <c r="AI86" s="62"/>
      <c r="AJ86" s="62"/>
    </row>
    <row r="87" ht="14.25" customHeight="1">
      <c r="AA87" s="62"/>
      <c r="AB87" s="62"/>
      <c r="AC87" s="62"/>
      <c r="AD87" s="62"/>
      <c r="AE87" s="62"/>
      <c r="AF87" s="62"/>
      <c r="AG87" s="62"/>
      <c r="AH87" s="62"/>
      <c r="AI87" s="62"/>
      <c r="AJ87" s="62"/>
    </row>
    <row r="88" ht="14.25" customHeight="1">
      <c r="AA88" s="62"/>
      <c r="AB88" s="62"/>
      <c r="AC88" s="62"/>
      <c r="AD88" s="62"/>
      <c r="AE88" s="62"/>
      <c r="AF88" s="62"/>
      <c r="AG88" s="62"/>
      <c r="AH88" s="62"/>
      <c r="AI88" s="62"/>
      <c r="AJ88" s="62"/>
    </row>
    <row r="89" ht="14.25" customHeight="1">
      <c r="AA89" s="62"/>
      <c r="AB89" s="62"/>
      <c r="AC89" s="62"/>
      <c r="AD89" s="62"/>
      <c r="AE89" s="62"/>
      <c r="AF89" s="62"/>
      <c r="AG89" s="62"/>
      <c r="AH89" s="62"/>
      <c r="AI89" s="62"/>
      <c r="AJ89" s="62"/>
    </row>
    <row r="90" ht="14.25" customHeight="1">
      <c r="AA90" s="62"/>
      <c r="AB90" s="62"/>
      <c r="AC90" s="62"/>
      <c r="AD90" s="62"/>
      <c r="AE90" s="62"/>
      <c r="AF90" s="62"/>
      <c r="AG90" s="62"/>
      <c r="AH90" s="62"/>
      <c r="AI90" s="62"/>
      <c r="AJ90" s="62"/>
    </row>
    <row r="91" ht="14.25" customHeight="1">
      <c r="AA91" s="62"/>
      <c r="AB91" s="62"/>
      <c r="AC91" s="62"/>
      <c r="AD91" s="62"/>
      <c r="AE91" s="62"/>
      <c r="AF91" s="62"/>
      <c r="AG91" s="62"/>
      <c r="AH91" s="62"/>
      <c r="AI91" s="62"/>
      <c r="AJ91" s="62"/>
    </row>
    <row r="92" ht="14.25" customHeight="1">
      <c r="AA92" s="62"/>
      <c r="AB92" s="62"/>
      <c r="AC92" s="62"/>
      <c r="AD92" s="62"/>
      <c r="AE92" s="62"/>
      <c r="AF92" s="62"/>
      <c r="AG92" s="62"/>
      <c r="AH92" s="62"/>
      <c r="AI92" s="62"/>
      <c r="AJ92" s="62"/>
    </row>
    <row r="93" ht="14.25" customHeight="1">
      <c r="AA93" s="62"/>
      <c r="AB93" s="62"/>
      <c r="AC93" s="62"/>
      <c r="AD93" s="62"/>
      <c r="AE93" s="62"/>
      <c r="AF93" s="62"/>
      <c r="AG93" s="62"/>
      <c r="AH93" s="62"/>
      <c r="AI93" s="62"/>
      <c r="AJ93" s="62"/>
    </row>
    <row r="94" ht="14.25" customHeight="1">
      <c r="AA94" s="62"/>
      <c r="AB94" s="62"/>
      <c r="AC94" s="62"/>
      <c r="AD94" s="62"/>
      <c r="AE94" s="62"/>
      <c r="AF94" s="62"/>
      <c r="AG94" s="62"/>
      <c r="AH94" s="62"/>
      <c r="AI94" s="62"/>
      <c r="AJ94" s="62"/>
    </row>
    <row r="95" ht="14.25" customHeight="1">
      <c r="AA95" s="62"/>
      <c r="AB95" s="62"/>
      <c r="AC95" s="62"/>
      <c r="AD95" s="62"/>
      <c r="AE95" s="62"/>
      <c r="AF95" s="62"/>
      <c r="AG95" s="62"/>
      <c r="AH95" s="62"/>
      <c r="AI95" s="62"/>
      <c r="AJ95" s="62"/>
    </row>
    <row r="96" ht="14.25" customHeight="1">
      <c r="AA96" s="62"/>
      <c r="AB96" s="62"/>
      <c r="AC96" s="62"/>
      <c r="AD96" s="62"/>
      <c r="AE96" s="62"/>
      <c r="AF96" s="62"/>
      <c r="AG96" s="62"/>
      <c r="AH96" s="62"/>
      <c r="AI96" s="62"/>
      <c r="AJ96" s="62"/>
    </row>
    <row r="97" ht="14.25" customHeight="1">
      <c r="AA97" s="62"/>
      <c r="AB97" s="62"/>
      <c r="AC97" s="62"/>
      <c r="AD97" s="62"/>
      <c r="AE97" s="62"/>
      <c r="AF97" s="62"/>
      <c r="AG97" s="62"/>
      <c r="AH97" s="62"/>
      <c r="AI97" s="62"/>
      <c r="AJ97" s="62"/>
    </row>
    <row r="98" ht="14.25" customHeight="1">
      <c r="AA98" s="62"/>
      <c r="AB98" s="62"/>
      <c r="AC98" s="62"/>
      <c r="AD98" s="62"/>
      <c r="AE98" s="62"/>
      <c r="AF98" s="62"/>
      <c r="AG98" s="62"/>
      <c r="AH98" s="62"/>
      <c r="AI98" s="62"/>
      <c r="AJ98" s="62"/>
    </row>
    <row r="99" ht="14.25" customHeight="1">
      <c r="AA99" s="62"/>
      <c r="AB99" s="62"/>
      <c r="AC99" s="62"/>
      <c r="AD99" s="62"/>
      <c r="AE99" s="62"/>
      <c r="AF99" s="62"/>
      <c r="AG99" s="62"/>
      <c r="AH99" s="62"/>
      <c r="AI99" s="62"/>
      <c r="AJ99" s="62"/>
    </row>
    <row r="100" ht="14.25" customHeight="1">
      <c r="AA100" s="62"/>
      <c r="AB100" s="62"/>
      <c r="AC100" s="62"/>
      <c r="AD100" s="62"/>
      <c r="AE100" s="62"/>
      <c r="AF100" s="62"/>
      <c r="AG100" s="62"/>
      <c r="AH100" s="62"/>
      <c r="AI100" s="62"/>
      <c r="AJ100" s="62"/>
    </row>
    <row r="101" ht="14.25" customHeight="1">
      <c r="AA101" s="62"/>
      <c r="AB101" s="62"/>
      <c r="AC101" s="62"/>
      <c r="AD101" s="62"/>
      <c r="AE101" s="62"/>
      <c r="AF101" s="62"/>
      <c r="AG101" s="62"/>
      <c r="AH101" s="62"/>
      <c r="AI101" s="62"/>
      <c r="AJ101" s="62"/>
    </row>
    <row r="102" ht="14.25" customHeight="1">
      <c r="AA102" s="62"/>
      <c r="AB102" s="62"/>
      <c r="AC102" s="62"/>
      <c r="AD102" s="62"/>
      <c r="AE102" s="62"/>
      <c r="AF102" s="62"/>
      <c r="AG102" s="62"/>
      <c r="AH102" s="62"/>
      <c r="AI102" s="62"/>
      <c r="AJ102" s="62"/>
    </row>
    <row r="103" ht="14.25" customHeight="1">
      <c r="AA103" s="62"/>
      <c r="AB103" s="62"/>
      <c r="AC103" s="62"/>
      <c r="AD103" s="62"/>
      <c r="AE103" s="62"/>
      <c r="AF103" s="62"/>
      <c r="AG103" s="62"/>
      <c r="AH103" s="62"/>
      <c r="AI103" s="62"/>
      <c r="AJ103" s="62"/>
    </row>
    <row r="104" ht="14.25" customHeight="1">
      <c r="AA104" s="62"/>
      <c r="AB104" s="62"/>
      <c r="AC104" s="62"/>
      <c r="AD104" s="62"/>
      <c r="AE104" s="62"/>
      <c r="AF104" s="62"/>
      <c r="AG104" s="62"/>
      <c r="AH104" s="62"/>
      <c r="AI104" s="62"/>
      <c r="AJ104" s="62"/>
    </row>
    <row r="105" ht="14.25" customHeight="1">
      <c r="AA105" s="62"/>
      <c r="AB105" s="62"/>
      <c r="AC105" s="62"/>
      <c r="AD105" s="62"/>
      <c r="AE105" s="62"/>
      <c r="AF105" s="62"/>
      <c r="AG105" s="62"/>
      <c r="AH105" s="62"/>
      <c r="AI105" s="62"/>
      <c r="AJ105" s="62"/>
    </row>
    <row r="106" ht="14.25" customHeight="1">
      <c r="AA106" s="62"/>
      <c r="AB106" s="62"/>
      <c r="AC106" s="62"/>
      <c r="AD106" s="62"/>
      <c r="AE106" s="62"/>
      <c r="AF106" s="62"/>
      <c r="AG106" s="62"/>
      <c r="AH106" s="62"/>
      <c r="AI106" s="62"/>
      <c r="AJ106" s="62"/>
    </row>
    <row r="107" ht="14.25" customHeight="1">
      <c r="AA107" s="62"/>
      <c r="AB107" s="62"/>
      <c r="AC107" s="62"/>
      <c r="AD107" s="62"/>
      <c r="AE107" s="62"/>
      <c r="AF107" s="62"/>
      <c r="AG107" s="62"/>
      <c r="AH107" s="62"/>
      <c r="AI107" s="62"/>
      <c r="AJ107" s="62"/>
    </row>
    <row r="108" ht="14.25" customHeight="1">
      <c r="AA108" s="62"/>
      <c r="AB108" s="62"/>
      <c r="AC108" s="62"/>
      <c r="AD108" s="62"/>
      <c r="AE108" s="62"/>
      <c r="AF108" s="62"/>
      <c r="AG108" s="62"/>
      <c r="AH108" s="62"/>
      <c r="AI108" s="62"/>
      <c r="AJ108" s="62"/>
    </row>
    <row r="109" ht="14.25" customHeight="1">
      <c r="AA109" s="62"/>
      <c r="AB109" s="62"/>
      <c r="AC109" s="62"/>
      <c r="AD109" s="62"/>
      <c r="AE109" s="62"/>
      <c r="AF109" s="62"/>
      <c r="AG109" s="62"/>
      <c r="AH109" s="62"/>
      <c r="AI109" s="62"/>
      <c r="AJ109" s="62"/>
    </row>
    <row r="110" ht="14.25" customHeight="1">
      <c r="AA110" s="62"/>
      <c r="AB110" s="62"/>
      <c r="AC110" s="62"/>
      <c r="AD110" s="62"/>
      <c r="AE110" s="62"/>
      <c r="AF110" s="62"/>
      <c r="AG110" s="62"/>
      <c r="AH110" s="62"/>
      <c r="AI110" s="62"/>
      <c r="AJ110" s="62"/>
    </row>
    <row r="111" ht="14.25" customHeight="1">
      <c r="AA111" s="62"/>
      <c r="AB111" s="62"/>
      <c r="AC111" s="62"/>
      <c r="AD111" s="62"/>
      <c r="AE111" s="62"/>
      <c r="AF111" s="62"/>
      <c r="AG111" s="62"/>
      <c r="AH111" s="62"/>
      <c r="AI111" s="62"/>
      <c r="AJ111" s="62"/>
    </row>
    <row r="112" ht="14.25" customHeight="1">
      <c r="AA112" s="62"/>
      <c r="AB112" s="62"/>
      <c r="AC112" s="62"/>
      <c r="AD112" s="62"/>
      <c r="AE112" s="62"/>
      <c r="AF112" s="62"/>
      <c r="AG112" s="62"/>
      <c r="AH112" s="62"/>
      <c r="AI112" s="62"/>
      <c r="AJ112" s="62"/>
    </row>
    <row r="113" ht="14.25" customHeight="1">
      <c r="AA113" s="62"/>
      <c r="AB113" s="62"/>
      <c r="AC113" s="62"/>
      <c r="AD113" s="62"/>
      <c r="AE113" s="62"/>
      <c r="AF113" s="62"/>
      <c r="AG113" s="62"/>
      <c r="AH113" s="62"/>
      <c r="AI113" s="62"/>
      <c r="AJ113" s="62"/>
    </row>
    <row r="114" ht="14.25" customHeight="1">
      <c r="AA114" s="62"/>
      <c r="AB114" s="62"/>
      <c r="AC114" s="62"/>
      <c r="AD114" s="62"/>
      <c r="AE114" s="62"/>
      <c r="AF114" s="62"/>
      <c r="AG114" s="62"/>
      <c r="AH114" s="62"/>
      <c r="AI114" s="62"/>
      <c r="AJ114" s="62"/>
    </row>
    <row r="115" ht="14.25" customHeight="1">
      <c r="AA115" s="62"/>
      <c r="AB115" s="62"/>
      <c r="AC115" s="62"/>
      <c r="AD115" s="62"/>
      <c r="AE115" s="62"/>
      <c r="AF115" s="62"/>
      <c r="AG115" s="62"/>
      <c r="AH115" s="62"/>
      <c r="AI115" s="62"/>
      <c r="AJ115" s="62"/>
    </row>
    <row r="116" ht="14.25" customHeight="1">
      <c r="AA116" s="62"/>
      <c r="AB116" s="62"/>
      <c r="AC116" s="62"/>
      <c r="AD116" s="62"/>
      <c r="AE116" s="62"/>
      <c r="AF116" s="62"/>
      <c r="AG116" s="62"/>
      <c r="AH116" s="62"/>
      <c r="AI116" s="62"/>
      <c r="AJ116" s="62"/>
    </row>
    <row r="117" ht="14.25" customHeight="1">
      <c r="AA117" s="62"/>
      <c r="AB117" s="62"/>
      <c r="AC117" s="62"/>
      <c r="AD117" s="62"/>
      <c r="AE117" s="62"/>
      <c r="AF117" s="62"/>
      <c r="AG117" s="62"/>
      <c r="AH117" s="62"/>
      <c r="AI117" s="62"/>
      <c r="AJ117" s="62"/>
    </row>
    <row r="118" ht="14.25" customHeight="1">
      <c r="AA118" s="62"/>
      <c r="AB118" s="62"/>
      <c r="AC118" s="62"/>
      <c r="AD118" s="62"/>
      <c r="AE118" s="62"/>
      <c r="AF118" s="62"/>
      <c r="AG118" s="62"/>
      <c r="AH118" s="62"/>
      <c r="AI118" s="62"/>
      <c r="AJ118" s="62"/>
    </row>
    <row r="119" ht="14.25" customHeight="1">
      <c r="AA119" s="62"/>
      <c r="AB119" s="62"/>
      <c r="AC119" s="62"/>
      <c r="AD119" s="62"/>
      <c r="AE119" s="62"/>
      <c r="AF119" s="62"/>
      <c r="AG119" s="62"/>
      <c r="AH119" s="62"/>
      <c r="AI119" s="62"/>
      <c r="AJ119" s="62"/>
    </row>
    <row r="120" ht="14.25" customHeight="1">
      <c r="AA120" s="62"/>
      <c r="AB120" s="62"/>
      <c r="AC120" s="62"/>
      <c r="AD120" s="62"/>
      <c r="AE120" s="62"/>
      <c r="AF120" s="62"/>
      <c r="AG120" s="62"/>
      <c r="AH120" s="62"/>
      <c r="AI120" s="62"/>
      <c r="AJ120" s="62"/>
    </row>
    <row r="121" ht="14.25" customHeight="1">
      <c r="AA121" s="62"/>
      <c r="AB121" s="62"/>
      <c r="AC121" s="62"/>
      <c r="AD121" s="62"/>
      <c r="AE121" s="62"/>
      <c r="AF121" s="62"/>
      <c r="AG121" s="62"/>
      <c r="AH121" s="62"/>
      <c r="AI121" s="62"/>
      <c r="AJ121" s="62"/>
    </row>
    <row r="122" ht="14.25" customHeight="1">
      <c r="AA122" s="62"/>
      <c r="AB122" s="62"/>
      <c r="AC122" s="62"/>
      <c r="AD122" s="62"/>
      <c r="AE122" s="62"/>
      <c r="AF122" s="62"/>
      <c r="AG122" s="62"/>
      <c r="AH122" s="62"/>
      <c r="AI122" s="62"/>
      <c r="AJ122" s="62"/>
    </row>
    <row r="123" ht="14.25" customHeight="1">
      <c r="AA123" s="62"/>
      <c r="AB123" s="62"/>
      <c r="AC123" s="62"/>
      <c r="AD123" s="62"/>
      <c r="AE123" s="62"/>
      <c r="AF123" s="62"/>
      <c r="AG123" s="62"/>
      <c r="AH123" s="62"/>
      <c r="AI123" s="62"/>
      <c r="AJ123" s="62"/>
    </row>
    <row r="124" ht="14.25" customHeight="1">
      <c r="AA124" s="62"/>
      <c r="AB124" s="62"/>
      <c r="AC124" s="62"/>
      <c r="AD124" s="62"/>
      <c r="AE124" s="62"/>
      <c r="AF124" s="62"/>
      <c r="AG124" s="62"/>
      <c r="AH124" s="62"/>
      <c r="AI124" s="62"/>
      <c r="AJ124" s="62"/>
    </row>
    <row r="125" ht="14.25" customHeight="1">
      <c r="AA125" s="62"/>
      <c r="AB125" s="62"/>
      <c r="AC125" s="62"/>
      <c r="AD125" s="62"/>
      <c r="AE125" s="62"/>
      <c r="AF125" s="62"/>
      <c r="AG125" s="62"/>
      <c r="AH125" s="62"/>
      <c r="AI125" s="62"/>
      <c r="AJ125" s="62"/>
    </row>
    <row r="126" ht="14.25" customHeight="1">
      <c r="AA126" s="62"/>
      <c r="AB126" s="62"/>
      <c r="AC126" s="62"/>
      <c r="AD126" s="62"/>
      <c r="AE126" s="62"/>
      <c r="AF126" s="62"/>
      <c r="AG126" s="62"/>
      <c r="AH126" s="62"/>
      <c r="AI126" s="62"/>
      <c r="AJ126" s="62"/>
    </row>
    <row r="127" ht="14.25" customHeight="1">
      <c r="AA127" s="62"/>
      <c r="AB127" s="62"/>
      <c r="AC127" s="62"/>
      <c r="AD127" s="62"/>
      <c r="AE127" s="62"/>
      <c r="AF127" s="62"/>
      <c r="AG127" s="62"/>
      <c r="AH127" s="62"/>
      <c r="AI127" s="62"/>
      <c r="AJ127" s="62"/>
    </row>
    <row r="128" ht="14.25" customHeight="1">
      <c r="AA128" s="62"/>
      <c r="AB128" s="62"/>
      <c r="AC128" s="62"/>
      <c r="AD128" s="62"/>
      <c r="AE128" s="62"/>
      <c r="AF128" s="62"/>
      <c r="AG128" s="62"/>
      <c r="AH128" s="62"/>
      <c r="AI128" s="62"/>
      <c r="AJ128" s="62"/>
    </row>
    <row r="129" ht="14.25" customHeight="1">
      <c r="AA129" s="62"/>
      <c r="AB129" s="62"/>
      <c r="AC129" s="62"/>
      <c r="AD129" s="62"/>
      <c r="AE129" s="62"/>
      <c r="AF129" s="62"/>
      <c r="AG129" s="62"/>
      <c r="AH129" s="62"/>
      <c r="AI129" s="62"/>
      <c r="AJ129" s="62"/>
    </row>
    <row r="130" ht="14.25" customHeight="1">
      <c r="AA130" s="62"/>
      <c r="AB130" s="62"/>
      <c r="AC130" s="62"/>
      <c r="AD130" s="62"/>
      <c r="AE130" s="62"/>
      <c r="AF130" s="62"/>
      <c r="AG130" s="62"/>
      <c r="AH130" s="62"/>
      <c r="AI130" s="62"/>
      <c r="AJ130" s="62"/>
    </row>
    <row r="131" ht="14.25" customHeight="1">
      <c r="AA131" s="62"/>
      <c r="AB131" s="62"/>
      <c r="AC131" s="62"/>
      <c r="AD131" s="62"/>
      <c r="AE131" s="62"/>
      <c r="AF131" s="62"/>
      <c r="AG131" s="62"/>
      <c r="AH131" s="62"/>
      <c r="AI131" s="62"/>
      <c r="AJ131" s="62"/>
    </row>
    <row r="132" ht="14.25" customHeight="1">
      <c r="AA132" s="62"/>
      <c r="AB132" s="62"/>
      <c r="AC132" s="62"/>
      <c r="AD132" s="62"/>
      <c r="AE132" s="62"/>
      <c r="AF132" s="62"/>
      <c r="AG132" s="62"/>
      <c r="AH132" s="62"/>
      <c r="AI132" s="62"/>
      <c r="AJ132" s="62"/>
    </row>
    <row r="133" ht="14.25" customHeight="1">
      <c r="AA133" s="62"/>
      <c r="AB133" s="62"/>
      <c r="AC133" s="62"/>
      <c r="AD133" s="62"/>
      <c r="AE133" s="62"/>
      <c r="AF133" s="62"/>
      <c r="AG133" s="62"/>
      <c r="AH133" s="62"/>
      <c r="AI133" s="62"/>
      <c r="AJ133" s="62"/>
    </row>
    <row r="134" ht="14.25" customHeight="1">
      <c r="AA134" s="62"/>
      <c r="AB134" s="62"/>
      <c r="AC134" s="62"/>
      <c r="AD134" s="62"/>
      <c r="AE134" s="62"/>
      <c r="AF134" s="62"/>
      <c r="AG134" s="62"/>
      <c r="AH134" s="62"/>
      <c r="AI134" s="62"/>
      <c r="AJ134" s="62"/>
    </row>
    <row r="135" ht="14.25" customHeight="1">
      <c r="AA135" s="62"/>
      <c r="AB135" s="62"/>
      <c r="AC135" s="62"/>
      <c r="AD135" s="62"/>
      <c r="AE135" s="62"/>
      <c r="AF135" s="62"/>
      <c r="AG135" s="62"/>
      <c r="AH135" s="62"/>
      <c r="AI135" s="62"/>
      <c r="AJ135" s="62"/>
    </row>
    <row r="136" ht="14.25" customHeight="1">
      <c r="AA136" s="62"/>
      <c r="AB136" s="62"/>
      <c r="AC136" s="62"/>
      <c r="AD136" s="62"/>
      <c r="AE136" s="62"/>
      <c r="AF136" s="62"/>
      <c r="AG136" s="62"/>
      <c r="AH136" s="62"/>
      <c r="AI136" s="62"/>
      <c r="AJ136" s="62"/>
    </row>
    <row r="137" ht="14.25" customHeight="1">
      <c r="AA137" s="62"/>
      <c r="AB137" s="62"/>
      <c r="AC137" s="62"/>
      <c r="AD137" s="62"/>
      <c r="AE137" s="62"/>
      <c r="AF137" s="62"/>
      <c r="AG137" s="62"/>
      <c r="AH137" s="62"/>
      <c r="AI137" s="62"/>
      <c r="AJ137" s="62"/>
    </row>
    <row r="138" ht="14.25" customHeight="1">
      <c r="AA138" s="62"/>
      <c r="AB138" s="62"/>
      <c r="AC138" s="62"/>
      <c r="AD138" s="62"/>
      <c r="AE138" s="62"/>
      <c r="AF138" s="62"/>
      <c r="AG138" s="62"/>
      <c r="AH138" s="62"/>
      <c r="AI138" s="62"/>
      <c r="AJ138" s="62"/>
    </row>
    <row r="139" ht="14.25" customHeight="1">
      <c r="AA139" s="62"/>
      <c r="AB139" s="62"/>
      <c r="AC139" s="62"/>
      <c r="AD139" s="62"/>
      <c r="AE139" s="62"/>
      <c r="AF139" s="62"/>
      <c r="AG139" s="62"/>
      <c r="AH139" s="62"/>
      <c r="AI139" s="62"/>
      <c r="AJ139" s="62"/>
    </row>
    <row r="140" ht="14.25" customHeight="1">
      <c r="AA140" s="62"/>
      <c r="AB140" s="62"/>
      <c r="AC140" s="62"/>
      <c r="AD140" s="62"/>
      <c r="AE140" s="62"/>
      <c r="AF140" s="62"/>
      <c r="AG140" s="62"/>
      <c r="AH140" s="62"/>
      <c r="AI140" s="62"/>
      <c r="AJ140" s="62"/>
    </row>
    <row r="141" ht="14.25" customHeight="1">
      <c r="AA141" s="62"/>
      <c r="AB141" s="62"/>
      <c r="AC141" s="62"/>
      <c r="AD141" s="62"/>
      <c r="AE141" s="62"/>
      <c r="AF141" s="62"/>
      <c r="AG141" s="62"/>
      <c r="AH141" s="62"/>
      <c r="AI141" s="62"/>
      <c r="AJ141" s="62"/>
    </row>
    <row r="142" ht="14.25" customHeight="1">
      <c r="AA142" s="62"/>
      <c r="AB142" s="62"/>
      <c r="AC142" s="62"/>
      <c r="AD142" s="62"/>
      <c r="AE142" s="62"/>
      <c r="AF142" s="62"/>
      <c r="AG142" s="62"/>
      <c r="AH142" s="62"/>
      <c r="AI142" s="62"/>
      <c r="AJ142" s="62"/>
    </row>
    <row r="143" ht="14.25" customHeight="1">
      <c r="AA143" s="62"/>
      <c r="AB143" s="62"/>
      <c r="AC143" s="62"/>
      <c r="AD143" s="62"/>
      <c r="AE143" s="62"/>
      <c r="AF143" s="62"/>
      <c r="AG143" s="62"/>
      <c r="AH143" s="62"/>
      <c r="AI143" s="62"/>
      <c r="AJ143" s="62"/>
    </row>
    <row r="144" ht="14.25" customHeight="1">
      <c r="AA144" s="62"/>
      <c r="AB144" s="62"/>
      <c r="AC144" s="62"/>
      <c r="AD144" s="62"/>
      <c r="AE144" s="62"/>
      <c r="AF144" s="62"/>
      <c r="AG144" s="62"/>
      <c r="AH144" s="62"/>
      <c r="AI144" s="62"/>
      <c r="AJ144" s="62"/>
    </row>
    <row r="145" ht="14.25" customHeight="1">
      <c r="AA145" s="62"/>
      <c r="AB145" s="62"/>
      <c r="AC145" s="62"/>
      <c r="AD145" s="62"/>
      <c r="AE145" s="62"/>
      <c r="AF145" s="62"/>
      <c r="AG145" s="62"/>
      <c r="AH145" s="62"/>
      <c r="AI145" s="62"/>
      <c r="AJ145" s="62"/>
    </row>
    <row r="146" ht="14.25" customHeight="1">
      <c r="AA146" s="62"/>
      <c r="AB146" s="62"/>
      <c r="AC146" s="62"/>
      <c r="AD146" s="62"/>
      <c r="AE146" s="62"/>
      <c r="AF146" s="62"/>
      <c r="AG146" s="62"/>
      <c r="AH146" s="62"/>
      <c r="AI146" s="62"/>
      <c r="AJ146" s="62"/>
    </row>
    <row r="147" ht="14.25" customHeight="1">
      <c r="AA147" s="62"/>
      <c r="AB147" s="62"/>
      <c r="AC147" s="62"/>
      <c r="AD147" s="62"/>
      <c r="AE147" s="62"/>
      <c r="AF147" s="62"/>
      <c r="AG147" s="62"/>
      <c r="AH147" s="62"/>
      <c r="AI147" s="62"/>
      <c r="AJ147" s="62"/>
    </row>
    <row r="148" ht="14.25" customHeight="1">
      <c r="AA148" s="62"/>
      <c r="AB148" s="62"/>
      <c r="AC148" s="62"/>
      <c r="AD148" s="62"/>
      <c r="AE148" s="62"/>
      <c r="AF148" s="62"/>
      <c r="AG148" s="62"/>
      <c r="AH148" s="62"/>
      <c r="AI148" s="62"/>
      <c r="AJ148" s="62"/>
    </row>
    <row r="149" ht="14.25" customHeight="1">
      <c r="AA149" s="62"/>
      <c r="AB149" s="62"/>
      <c r="AC149" s="62"/>
      <c r="AD149" s="62"/>
      <c r="AE149" s="62"/>
      <c r="AF149" s="62"/>
      <c r="AG149" s="62"/>
      <c r="AH149" s="62"/>
      <c r="AI149" s="62"/>
      <c r="AJ149" s="62"/>
    </row>
    <row r="150" ht="14.25" customHeight="1">
      <c r="AA150" s="62"/>
      <c r="AB150" s="62"/>
      <c r="AC150" s="62"/>
      <c r="AD150" s="62"/>
      <c r="AE150" s="62"/>
      <c r="AF150" s="62"/>
      <c r="AG150" s="62"/>
      <c r="AH150" s="62"/>
      <c r="AI150" s="62"/>
      <c r="AJ150" s="62"/>
    </row>
    <row r="151" ht="14.25" customHeight="1">
      <c r="AA151" s="62"/>
      <c r="AB151" s="62"/>
      <c r="AC151" s="62"/>
      <c r="AD151" s="62"/>
      <c r="AE151" s="62"/>
      <c r="AF151" s="62"/>
      <c r="AG151" s="62"/>
      <c r="AH151" s="62"/>
      <c r="AI151" s="62"/>
      <c r="AJ151" s="62"/>
    </row>
    <row r="152" ht="14.25" customHeight="1">
      <c r="AA152" s="62"/>
      <c r="AB152" s="62"/>
      <c r="AC152" s="62"/>
      <c r="AD152" s="62"/>
      <c r="AE152" s="62"/>
      <c r="AF152" s="62"/>
      <c r="AG152" s="62"/>
      <c r="AH152" s="62"/>
      <c r="AI152" s="62"/>
      <c r="AJ152" s="62"/>
    </row>
    <row r="153" ht="14.25" customHeight="1">
      <c r="AA153" s="62"/>
      <c r="AB153" s="62"/>
      <c r="AC153" s="62"/>
      <c r="AD153" s="62"/>
      <c r="AE153" s="62"/>
      <c r="AF153" s="62"/>
      <c r="AG153" s="62"/>
      <c r="AH153" s="62"/>
      <c r="AI153" s="62"/>
      <c r="AJ153" s="62"/>
    </row>
    <row r="154" ht="14.25" customHeight="1">
      <c r="AA154" s="62"/>
      <c r="AB154" s="62"/>
      <c r="AC154" s="62"/>
      <c r="AD154" s="62"/>
      <c r="AE154" s="62"/>
      <c r="AF154" s="62"/>
      <c r="AG154" s="62"/>
      <c r="AH154" s="62"/>
      <c r="AI154" s="62"/>
      <c r="AJ154" s="62"/>
    </row>
    <row r="155" ht="14.25" customHeight="1">
      <c r="AA155" s="62"/>
      <c r="AB155" s="62"/>
      <c r="AC155" s="62"/>
      <c r="AD155" s="62"/>
      <c r="AE155" s="62"/>
      <c r="AF155" s="62"/>
      <c r="AG155" s="62"/>
      <c r="AH155" s="62"/>
      <c r="AI155" s="62"/>
      <c r="AJ155" s="62"/>
    </row>
    <row r="156" ht="14.25" customHeight="1">
      <c r="AA156" s="62"/>
      <c r="AB156" s="62"/>
      <c r="AC156" s="62"/>
      <c r="AD156" s="62"/>
      <c r="AE156" s="62"/>
      <c r="AF156" s="62"/>
      <c r="AG156" s="62"/>
      <c r="AH156" s="62"/>
      <c r="AI156" s="62"/>
      <c r="AJ156" s="62"/>
    </row>
    <row r="157" ht="14.25" customHeight="1">
      <c r="AA157" s="62"/>
      <c r="AB157" s="62"/>
      <c r="AC157" s="62"/>
      <c r="AD157" s="62"/>
      <c r="AE157" s="62"/>
      <c r="AF157" s="62"/>
      <c r="AG157" s="62"/>
      <c r="AH157" s="62"/>
      <c r="AI157" s="62"/>
      <c r="AJ157" s="62"/>
    </row>
    <row r="158" ht="14.25" customHeight="1">
      <c r="AA158" s="62"/>
      <c r="AB158" s="62"/>
      <c r="AC158" s="62"/>
      <c r="AD158" s="62"/>
      <c r="AE158" s="62"/>
      <c r="AF158" s="62"/>
      <c r="AG158" s="62"/>
      <c r="AH158" s="62"/>
      <c r="AI158" s="62"/>
      <c r="AJ158" s="62"/>
    </row>
    <row r="159" ht="14.25" customHeight="1">
      <c r="AA159" s="62"/>
      <c r="AB159" s="62"/>
      <c r="AC159" s="62"/>
      <c r="AD159" s="62"/>
      <c r="AE159" s="62"/>
      <c r="AF159" s="62"/>
      <c r="AG159" s="62"/>
      <c r="AH159" s="62"/>
      <c r="AI159" s="62"/>
      <c r="AJ159" s="62"/>
    </row>
    <row r="160" ht="14.25" customHeight="1">
      <c r="AA160" s="62"/>
      <c r="AB160" s="62"/>
      <c r="AC160" s="62"/>
      <c r="AD160" s="62"/>
      <c r="AE160" s="62"/>
      <c r="AF160" s="62"/>
      <c r="AG160" s="62"/>
      <c r="AH160" s="62"/>
      <c r="AI160" s="62"/>
      <c r="AJ160" s="62"/>
    </row>
    <row r="161" ht="14.25" customHeight="1">
      <c r="AA161" s="62"/>
      <c r="AB161" s="62"/>
      <c r="AC161" s="62"/>
      <c r="AD161" s="62"/>
      <c r="AE161" s="62"/>
      <c r="AF161" s="62"/>
      <c r="AG161" s="62"/>
      <c r="AH161" s="62"/>
      <c r="AI161" s="62"/>
      <c r="AJ161" s="62"/>
    </row>
    <row r="162" ht="14.25" customHeight="1">
      <c r="AA162" s="62"/>
      <c r="AB162" s="62"/>
      <c r="AC162" s="62"/>
      <c r="AD162" s="62"/>
      <c r="AE162" s="62"/>
      <c r="AF162" s="62"/>
      <c r="AG162" s="62"/>
      <c r="AH162" s="62"/>
      <c r="AI162" s="62"/>
      <c r="AJ162" s="62"/>
    </row>
    <row r="163" ht="14.25" customHeight="1">
      <c r="AA163" s="62"/>
      <c r="AB163" s="62"/>
      <c r="AC163" s="62"/>
      <c r="AD163" s="62"/>
      <c r="AE163" s="62"/>
      <c r="AF163" s="62"/>
      <c r="AG163" s="62"/>
      <c r="AH163" s="62"/>
      <c r="AI163" s="62"/>
      <c r="AJ163" s="62"/>
    </row>
    <row r="164" ht="14.25" customHeight="1">
      <c r="AA164" s="62"/>
      <c r="AB164" s="62"/>
      <c r="AC164" s="62"/>
      <c r="AD164" s="62"/>
      <c r="AE164" s="62"/>
      <c r="AF164" s="62"/>
      <c r="AG164" s="62"/>
      <c r="AH164" s="62"/>
      <c r="AI164" s="62"/>
      <c r="AJ164" s="62"/>
    </row>
    <row r="165" ht="14.25" customHeight="1">
      <c r="AA165" s="62"/>
      <c r="AB165" s="62"/>
      <c r="AC165" s="62"/>
      <c r="AD165" s="62"/>
      <c r="AE165" s="62"/>
      <c r="AF165" s="62"/>
      <c r="AG165" s="62"/>
      <c r="AH165" s="62"/>
      <c r="AI165" s="62"/>
      <c r="AJ165" s="62"/>
    </row>
    <row r="166" ht="14.25" customHeight="1">
      <c r="AA166" s="62"/>
      <c r="AB166" s="62"/>
      <c r="AC166" s="62"/>
      <c r="AD166" s="62"/>
      <c r="AE166" s="62"/>
      <c r="AF166" s="62"/>
      <c r="AG166" s="62"/>
      <c r="AH166" s="62"/>
      <c r="AI166" s="62"/>
      <c r="AJ166" s="62"/>
    </row>
    <row r="167" ht="14.25" customHeight="1">
      <c r="AA167" s="62"/>
      <c r="AB167" s="62"/>
      <c r="AC167" s="62"/>
      <c r="AD167" s="62"/>
      <c r="AE167" s="62"/>
      <c r="AF167" s="62"/>
      <c r="AG167" s="62"/>
      <c r="AH167" s="62"/>
      <c r="AI167" s="62"/>
      <c r="AJ167" s="62"/>
    </row>
    <row r="168" ht="14.25" customHeight="1">
      <c r="AA168" s="62"/>
      <c r="AB168" s="62"/>
      <c r="AC168" s="62"/>
      <c r="AD168" s="62"/>
      <c r="AE168" s="62"/>
      <c r="AF168" s="62"/>
      <c r="AG168" s="62"/>
      <c r="AH168" s="62"/>
      <c r="AI168" s="62"/>
      <c r="AJ168" s="62"/>
    </row>
    <row r="169" ht="14.25" customHeight="1">
      <c r="AA169" s="62"/>
      <c r="AB169" s="62"/>
      <c r="AC169" s="62"/>
      <c r="AD169" s="62"/>
      <c r="AE169" s="62"/>
      <c r="AF169" s="62"/>
      <c r="AG169" s="62"/>
      <c r="AH169" s="62"/>
      <c r="AI169" s="62"/>
      <c r="AJ169" s="62"/>
    </row>
    <row r="170" ht="14.25" customHeight="1">
      <c r="AA170" s="62"/>
      <c r="AB170" s="62"/>
      <c r="AC170" s="62"/>
      <c r="AD170" s="62"/>
      <c r="AE170" s="62"/>
      <c r="AF170" s="62"/>
      <c r="AG170" s="62"/>
      <c r="AH170" s="62"/>
      <c r="AI170" s="62"/>
      <c r="AJ170" s="62"/>
    </row>
    <row r="171" ht="14.25" customHeight="1">
      <c r="AA171" s="62"/>
      <c r="AB171" s="62"/>
      <c r="AC171" s="62"/>
      <c r="AD171" s="62"/>
      <c r="AE171" s="62"/>
      <c r="AF171" s="62"/>
      <c r="AG171" s="62"/>
      <c r="AH171" s="62"/>
      <c r="AI171" s="62"/>
      <c r="AJ171" s="62"/>
    </row>
    <row r="172" ht="14.25" customHeight="1">
      <c r="AA172" s="62"/>
      <c r="AB172" s="62"/>
      <c r="AC172" s="62"/>
      <c r="AD172" s="62"/>
      <c r="AE172" s="62"/>
      <c r="AF172" s="62"/>
      <c r="AG172" s="62"/>
      <c r="AH172" s="62"/>
      <c r="AI172" s="62"/>
      <c r="AJ172" s="62"/>
    </row>
    <row r="173" ht="14.25" customHeight="1">
      <c r="AA173" s="62"/>
      <c r="AB173" s="62"/>
      <c r="AC173" s="62"/>
      <c r="AD173" s="62"/>
      <c r="AE173" s="62"/>
      <c r="AF173" s="62"/>
      <c r="AG173" s="62"/>
      <c r="AH173" s="62"/>
      <c r="AI173" s="62"/>
      <c r="AJ173" s="62"/>
    </row>
    <row r="174" ht="14.25" customHeight="1">
      <c r="AA174" s="62"/>
      <c r="AB174" s="62"/>
      <c r="AC174" s="62"/>
      <c r="AD174" s="62"/>
      <c r="AE174" s="62"/>
      <c r="AF174" s="62"/>
      <c r="AG174" s="62"/>
      <c r="AH174" s="62"/>
      <c r="AI174" s="62"/>
      <c r="AJ174" s="62"/>
    </row>
    <row r="175" ht="14.25" customHeight="1">
      <c r="AA175" s="62"/>
      <c r="AB175" s="62"/>
      <c r="AC175" s="62"/>
      <c r="AD175" s="62"/>
      <c r="AE175" s="62"/>
      <c r="AF175" s="62"/>
      <c r="AG175" s="62"/>
      <c r="AH175" s="62"/>
      <c r="AI175" s="62"/>
      <c r="AJ175" s="62"/>
    </row>
    <row r="176" ht="14.25" customHeight="1">
      <c r="AA176" s="62"/>
      <c r="AB176" s="62"/>
      <c r="AC176" s="62"/>
      <c r="AD176" s="62"/>
      <c r="AE176" s="62"/>
      <c r="AF176" s="62"/>
      <c r="AG176" s="62"/>
      <c r="AH176" s="62"/>
      <c r="AI176" s="62"/>
      <c r="AJ176" s="62"/>
    </row>
    <row r="177" ht="14.25" customHeight="1">
      <c r="AA177" s="62"/>
      <c r="AB177" s="62"/>
      <c r="AC177" s="62"/>
      <c r="AD177" s="62"/>
      <c r="AE177" s="62"/>
      <c r="AF177" s="62"/>
      <c r="AG177" s="62"/>
      <c r="AH177" s="62"/>
      <c r="AI177" s="62"/>
      <c r="AJ177" s="62"/>
    </row>
    <row r="178" ht="14.25" customHeight="1">
      <c r="AA178" s="62"/>
      <c r="AB178" s="62"/>
      <c r="AC178" s="62"/>
      <c r="AD178" s="62"/>
      <c r="AE178" s="62"/>
      <c r="AF178" s="62"/>
      <c r="AG178" s="62"/>
      <c r="AH178" s="62"/>
      <c r="AI178" s="62"/>
      <c r="AJ178" s="62"/>
    </row>
    <row r="179" ht="14.25" customHeight="1">
      <c r="AA179" s="62"/>
      <c r="AB179" s="62"/>
      <c r="AC179" s="62"/>
      <c r="AD179" s="62"/>
      <c r="AE179" s="62"/>
      <c r="AF179" s="62"/>
      <c r="AG179" s="62"/>
      <c r="AH179" s="62"/>
      <c r="AI179" s="62"/>
      <c r="AJ179" s="62"/>
    </row>
    <row r="180" ht="14.25" customHeight="1">
      <c r="AA180" s="62"/>
      <c r="AB180" s="62"/>
      <c r="AC180" s="62"/>
      <c r="AD180" s="62"/>
      <c r="AE180" s="62"/>
      <c r="AF180" s="62"/>
      <c r="AG180" s="62"/>
      <c r="AH180" s="62"/>
      <c r="AI180" s="62"/>
      <c r="AJ180" s="62"/>
    </row>
    <row r="181" ht="14.25" customHeight="1">
      <c r="AA181" s="62"/>
      <c r="AB181" s="62"/>
      <c r="AC181" s="62"/>
      <c r="AD181" s="62"/>
      <c r="AE181" s="62"/>
      <c r="AF181" s="62"/>
      <c r="AG181" s="62"/>
      <c r="AH181" s="62"/>
      <c r="AI181" s="62"/>
      <c r="AJ181" s="62"/>
    </row>
    <row r="182" ht="14.25" customHeight="1">
      <c r="AA182" s="62"/>
      <c r="AB182" s="62"/>
      <c r="AC182" s="62"/>
      <c r="AD182" s="62"/>
      <c r="AE182" s="62"/>
      <c r="AF182" s="62"/>
      <c r="AG182" s="62"/>
      <c r="AH182" s="62"/>
      <c r="AI182" s="62"/>
      <c r="AJ182" s="62"/>
    </row>
    <row r="183" ht="14.25" customHeight="1">
      <c r="AA183" s="62"/>
      <c r="AB183" s="62"/>
      <c r="AC183" s="62"/>
      <c r="AD183" s="62"/>
      <c r="AE183" s="62"/>
      <c r="AF183" s="62"/>
      <c r="AG183" s="62"/>
      <c r="AH183" s="62"/>
      <c r="AI183" s="62"/>
      <c r="AJ183" s="62"/>
    </row>
    <row r="184" ht="14.25" customHeight="1">
      <c r="AA184" s="62"/>
      <c r="AB184" s="62"/>
      <c r="AC184" s="62"/>
      <c r="AD184" s="62"/>
      <c r="AE184" s="62"/>
      <c r="AF184" s="62"/>
      <c r="AG184" s="62"/>
      <c r="AH184" s="62"/>
      <c r="AI184" s="62"/>
      <c r="AJ184" s="62"/>
    </row>
    <row r="185" ht="14.25" customHeight="1">
      <c r="AA185" s="62"/>
      <c r="AB185" s="62"/>
      <c r="AC185" s="62"/>
      <c r="AD185" s="62"/>
      <c r="AE185" s="62"/>
      <c r="AF185" s="62"/>
      <c r="AG185" s="62"/>
      <c r="AH185" s="62"/>
      <c r="AI185" s="62"/>
      <c r="AJ185" s="62"/>
    </row>
    <row r="186" ht="14.25" customHeight="1">
      <c r="AA186" s="62"/>
      <c r="AB186" s="62"/>
      <c r="AC186" s="62"/>
      <c r="AD186" s="62"/>
      <c r="AE186" s="62"/>
      <c r="AF186" s="62"/>
      <c r="AG186" s="62"/>
      <c r="AH186" s="62"/>
      <c r="AI186" s="62"/>
      <c r="AJ186" s="62"/>
    </row>
    <row r="187" ht="14.25" customHeight="1">
      <c r="AA187" s="62"/>
      <c r="AB187" s="62"/>
      <c r="AC187" s="62"/>
      <c r="AD187" s="62"/>
      <c r="AE187" s="62"/>
      <c r="AF187" s="62"/>
      <c r="AG187" s="62"/>
      <c r="AH187" s="62"/>
      <c r="AI187" s="62"/>
      <c r="AJ187" s="62"/>
    </row>
    <row r="188" ht="14.25" customHeight="1">
      <c r="AA188" s="62"/>
      <c r="AB188" s="62"/>
      <c r="AC188" s="62"/>
      <c r="AD188" s="62"/>
      <c r="AE188" s="62"/>
      <c r="AF188" s="62"/>
      <c r="AG188" s="62"/>
      <c r="AH188" s="62"/>
      <c r="AI188" s="62"/>
      <c r="AJ188" s="62"/>
    </row>
    <row r="189" ht="14.25" customHeight="1">
      <c r="AA189" s="62"/>
      <c r="AB189" s="62"/>
      <c r="AC189" s="62"/>
      <c r="AD189" s="62"/>
      <c r="AE189" s="62"/>
      <c r="AF189" s="62"/>
      <c r="AG189" s="62"/>
      <c r="AH189" s="62"/>
      <c r="AI189" s="62"/>
      <c r="AJ189" s="62"/>
    </row>
    <row r="190" ht="14.25" customHeight="1">
      <c r="AA190" s="62"/>
      <c r="AB190" s="62"/>
      <c r="AC190" s="62"/>
      <c r="AD190" s="62"/>
      <c r="AE190" s="62"/>
      <c r="AF190" s="62"/>
      <c r="AG190" s="62"/>
      <c r="AH190" s="62"/>
      <c r="AI190" s="62"/>
      <c r="AJ190" s="62"/>
    </row>
    <row r="191" ht="14.25" customHeight="1">
      <c r="AA191" s="62"/>
      <c r="AB191" s="62"/>
      <c r="AC191" s="62"/>
      <c r="AD191" s="62"/>
      <c r="AE191" s="62"/>
      <c r="AF191" s="62"/>
      <c r="AG191" s="62"/>
      <c r="AH191" s="62"/>
      <c r="AI191" s="62"/>
      <c r="AJ191" s="62"/>
    </row>
    <row r="192" ht="14.25" customHeight="1">
      <c r="AA192" s="62"/>
      <c r="AB192" s="62"/>
      <c r="AC192" s="62"/>
      <c r="AD192" s="62"/>
      <c r="AE192" s="62"/>
      <c r="AF192" s="62"/>
      <c r="AG192" s="62"/>
      <c r="AH192" s="62"/>
      <c r="AI192" s="62"/>
      <c r="AJ192" s="62"/>
    </row>
    <row r="193" ht="14.25" customHeight="1">
      <c r="AA193" s="62"/>
      <c r="AB193" s="62"/>
      <c r="AC193" s="62"/>
      <c r="AD193" s="62"/>
      <c r="AE193" s="62"/>
      <c r="AF193" s="62"/>
      <c r="AG193" s="62"/>
      <c r="AH193" s="62"/>
      <c r="AI193" s="62"/>
      <c r="AJ193" s="62"/>
    </row>
    <row r="194" ht="14.25" customHeight="1">
      <c r="AA194" s="62"/>
      <c r="AB194" s="62"/>
      <c r="AC194" s="62"/>
      <c r="AD194" s="62"/>
      <c r="AE194" s="62"/>
      <c r="AF194" s="62"/>
      <c r="AG194" s="62"/>
      <c r="AH194" s="62"/>
      <c r="AI194" s="62"/>
      <c r="AJ194" s="62"/>
    </row>
    <row r="195" ht="14.25" customHeight="1">
      <c r="AA195" s="62"/>
      <c r="AB195" s="62"/>
      <c r="AC195" s="62"/>
      <c r="AD195" s="62"/>
      <c r="AE195" s="62"/>
      <c r="AF195" s="62"/>
      <c r="AG195" s="62"/>
      <c r="AH195" s="62"/>
      <c r="AI195" s="62"/>
      <c r="AJ195" s="62"/>
    </row>
    <row r="196" ht="14.25" customHeight="1">
      <c r="AA196" s="62"/>
      <c r="AB196" s="62"/>
      <c r="AC196" s="62"/>
      <c r="AD196" s="62"/>
      <c r="AE196" s="62"/>
      <c r="AF196" s="62"/>
      <c r="AG196" s="62"/>
      <c r="AH196" s="62"/>
      <c r="AI196" s="62"/>
      <c r="AJ196" s="62"/>
    </row>
    <row r="197" ht="14.25" customHeight="1">
      <c r="AA197" s="62"/>
      <c r="AB197" s="62"/>
      <c r="AC197" s="62"/>
      <c r="AD197" s="62"/>
      <c r="AE197" s="62"/>
      <c r="AF197" s="62"/>
      <c r="AG197" s="62"/>
      <c r="AH197" s="62"/>
      <c r="AI197" s="62"/>
      <c r="AJ197" s="62"/>
    </row>
    <row r="198" ht="14.25" customHeight="1">
      <c r="AA198" s="62"/>
      <c r="AB198" s="62"/>
      <c r="AC198" s="62"/>
      <c r="AD198" s="62"/>
      <c r="AE198" s="62"/>
      <c r="AF198" s="62"/>
      <c r="AG198" s="62"/>
      <c r="AH198" s="62"/>
      <c r="AI198" s="62"/>
      <c r="AJ198" s="62"/>
    </row>
    <row r="199" ht="14.25" customHeight="1">
      <c r="AA199" s="62"/>
      <c r="AB199" s="62"/>
      <c r="AC199" s="62"/>
      <c r="AD199" s="62"/>
      <c r="AE199" s="62"/>
      <c r="AF199" s="62"/>
      <c r="AG199" s="62"/>
      <c r="AH199" s="62"/>
      <c r="AI199" s="62"/>
      <c r="AJ199" s="62"/>
    </row>
    <row r="200" ht="14.25" customHeight="1">
      <c r="AA200" s="62"/>
      <c r="AB200" s="62"/>
      <c r="AC200" s="62"/>
      <c r="AD200" s="62"/>
      <c r="AE200" s="62"/>
      <c r="AF200" s="62"/>
      <c r="AG200" s="62"/>
      <c r="AH200" s="62"/>
      <c r="AI200" s="62"/>
      <c r="AJ200" s="62"/>
    </row>
    <row r="201" ht="14.25" customHeight="1">
      <c r="AA201" s="62"/>
      <c r="AB201" s="62"/>
      <c r="AC201" s="62"/>
      <c r="AD201" s="62"/>
      <c r="AE201" s="62"/>
      <c r="AF201" s="62"/>
      <c r="AG201" s="62"/>
      <c r="AH201" s="62"/>
      <c r="AI201" s="62"/>
      <c r="AJ201" s="62"/>
    </row>
    <row r="202" ht="14.25" customHeight="1">
      <c r="AA202" s="62"/>
      <c r="AB202" s="62"/>
      <c r="AC202" s="62"/>
      <c r="AD202" s="62"/>
      <c r="AE202" s="62"/>
      <c r="AF202" s="62"/>
      <c r="AG202" s="62"/>
      <c r="AH202" s="62"/>
      <c r="AI202" s="62"/>
      <c r="AJ202" s="62"/>
    </row>
    <row r="203" ht="14.25" customHeight="1">
      <c r="AA203" s="62"/>
      <c r="AB203" s="62"/>
      <c r="AC203" s="62"/>
      <c r="AD203" s="62"/>
      <c r="AE203" s="62"/>
      <c r="AF203" s="62"/>
      <c r="AG203" s="62"/>
      <c r="AH203" s="62"/>
      <c r="AI203" s="62"/>
      <c r="AJ203" s="62"/>
    </row>
    <row r="204" ht="14.25" customHeight="1">
      <c r="AA204" s="62"/>
      <c r="AB204" s="62"/>
      <c r="AC204" s="62"/>
      <c r="AD204" s="62"/>
      <c r="AE204" s="62"/>
      <c r="AF204" s="62"/>
      <c r="AG204" s="62"/>
      <c r="AH204" s="62"/>
      <c r="AI204" s="62"/>
      <c r="AJ204" s="62"/>
    </row>
    <row r="205" ht="14.25" customHeight="1">
      <c r="AA205" s="62"/>
      <c r="AB205" s="62"/>
      <c r="AC205" s="62"/>
      <c r="AD205" s="62"/>
      <c r="AE205" s="62"/>
      <c r="AF205" s="62"/>
      <c r="AG205" s="62"/>
      <c r="AH205" s="62"/>
      <c r="AI205" s="62"/>
      <c r="AJ205" s="62"/>
    </row>
    <row r="206" ht="14.25" customHeight="1">
      <c r="AA206" s="62"/>
      <c r="AB206" s="62"/>
      <c r="AC206" s="62"/>
      <c r="AD206" s="62"/>
      <c r="AE206" s="62"/>
      <c r="AF206" s="62"/>
      <c r="AG206" s="62"/>
      <c r="AH206" s="62"/>
      <c r="AI206" s="62"/>
      <c r="AJ206" s="62"/>
    </row>
    <row r="207" ht="14.25" customHeight="1">
      <c r="AA207" s="62"/>
      <c r="AB207" s="62"/>
      <c r="AC207" s="62"/>
      <c r="AD207" s="62"/>
      <c r="AE207" s="62"/>
      <c r="AF207" s="62"/>
      <c r="AG207" s="62"/>
      <c r="AH207" s="62"/>
      <c r="AI207" s="62"/>
      <c r="AJ207" s="62"/>
    </row>
    <row r="208" ht="14.25" customHeight="1">
      <c r="AA208" s="62"/>
      <c r="AB208" s="62"/>
      <c r="AC208" s="62"/>
      <c r="AD208" s="62"/>
      <c r="AE208" s="62"/>
      <c r="AF208" s="62"/>
      <c r="AG208" s="62"/>
      <c r="AH208" s="62"/>
      <c r="AI208" s="62"/>
      <c r="AJ208" s="62"/>
    </row>
    <row r="209" ht="14.25" customHeight="1">
      <c r="AA209" s="62"/>
      <c r="AB209" s="62"/>
      <c r="AC209" s="62"/>
      <c r="AD209" s="62"/>
      <c r="AE209" s="62"/>
      <c r="AF209" s="62"/>
      <c r="AG209" s="62"/>
      <c r="AH209" s="62"/>
      <c r="AI209" s="62"/>
      <c r="AJ209" s="62"/>
    </row>
    <row r="210" ht="14.25" customHeight="1">
      <c r="AA210" s="62"/>
      <c r="AB210" s="62"/>
      <c r="AC210" s="62"/>
      <c r="AD210" s="62"/>
      <c r="AE210" s="62"/>
      <c r="AF210" s="62"/>
      <c r="AG210" s="62"/>
      <c r="AH210" s="62"/>
      <c r="AI210" s="62"/>
      <c r="AJ210" s="62"/>
    </row>
    <row r="211" ht="14.25" customHeight="1">
      <c r="AA211" s="62"/>
      <c r="AB211" s="62"/>
      <c r="AC211" s="62"/>
      <c r="AD211" s="62"/>
      <c r="AE211" s="62"/>
      <c r="AF211" s="62"/>
      <c r="AG211" s="62"/>
      <c r="AH211" s="62"/>
      <c r="AI211" s="62"/>
      <c r="AJ211" s="62"/>
    </row>
    <row r="212" ht="14.25" customHeight="1">
      <c r="AA212" s="62"/>
      <c r="AB212" s="62"/>
      <c r="AC212" s="62"/>
      <c r="AD212" s="62"/>
      <c r="AE212" s="62"/>
      <c r="AF212" s="62"/>
      <c r="AG212" s="62"/>
      <c r="AH212" s="62"/>
      <c r="AI212" s="62"/>
      <c r="AJ212" s="62"/>
    </row>
    <row r="213" ht="14.25" customHeight="1">
      <c r="AA213" s="62"/>
      <c r="AB213" s="62"/>
      <c r="AC213" s="62"/>
      <c r="AD213" s="62"/>
      <c r="AE213" s="62"/>
      <c r="AF213" s="62"/>
      <c r="AG213" s="62"/>
      <c r="AH213" s="62"/>
      <c r="AI213" s="62"/>
      <c r="AJ213" s="62"/>
    </row>
    <row r="214" ht="14.25" customHeight="1">
      <c r="AA214" s="62"/>
      <c r="AB214" s="62"/>
      <c r="AC214" s="62"/>
      <c r="AD214" s="62"/>
      <c r="AE214" s="62"/>
      <c r="AF214" s="62"/>
      <c r="AG214" s="62"/>
      <c r="AH214" s="62"/>
      <c r="AI214" s="62"/>
      <c r="AJ214" s="62"/>
    </row>
    <row r="215" ht="14.25" customHeight="1">
      <c r="AA215" s="62"/>
      <c r="AB215" s="62"/>
      <c r="AC215" s="62"/>
      <c r="AD215" s="62"/>
      <c r="AE215" s="62"/>
      <c r="AF215" s="62"/>
      <c r="AG215" s="62"/>
      <c r="AH215" s="62"/>
      <c r="AI215" s="62"/>
      <c r="AJ215" s="62"/>
    </row>
    <row r="216" ht="14.25" customHeight="1">
      <c r="AA216" s="62"/>
      <c r="AB216" s="62"/>
      <c r="AC216" s="62"/>
      <c r="AD216" s="62"/>
      <c r="AE216" s="62"/>
      <c r="AF216" s="62"/>
      <c r="AG216" s="62"/>
      <c r="AH216" s="62"/>
      <c r="AI216" s="62"/>
      <c r="AJ216" s="62"/>
    </row>
    <row r="217" ht="14.25" customHeight="1">
      <c r="AA217" s="62"/>
      <c r="AB217" s="62"/>
      <c r="AC217" s="62"/>
      <c r="AD217" s="62"/>
      <c r="AE217" s="62"/>
      <c r="AF217" s="62"/>
      <c r="AG217" s="62"/>
      <c r="AH217" s="62"/>
      <c r="AI217" s="62"/>
      <c r="AJ217" s="62"/>
    </row>
    <row r="218" ht="14.25" customHeight="1">
      <c r="AA218" s="62"/>
      <c r="AB218" s="62"/>
      <c r="AC218" s="62"/>
      <c r="AD218" s="62"/>
      <c r="AE218" s="62"/>
      <c r="AF218" s="62"/>
      <c r="AG218" s="62"/>
      <c r="AH218" s="62"/>
      <c r="AI218" s="62"/>
      <c r="AJ218" s="62"/>
    </row>
    <row r="219" ht="14.25" customHeight="1">
      <c r="AA219" s="62"/>
      <c r="AB219" s="62"/>
      <c r="AC219" s="62"/>
      <c r="AD219" s="62"/>
      <c r="AE219" s="62"/>
      <c r="AF219" s="62"/>
      <c r="AG219" s="62"/>
      <c r="AH219" s="62"/>
      <c r="AI219" s="62"/>
      <c r="AJ219" s="62"/>
    </row>
    <row r="220" ht="14.25" customHeight="1">
      <c r="AA220" s="62"/>
      <c r="AB220" s="62"/>
      <c r="AC220" s="62"/>
      <c r="AD220" s="62"/>
      <c r="AE220" s="62"/>
      <c r="AF220" s="62"/>
      <c r="AG220" s="62"/>
      <c r="AH220" s="62"/>
      <c r="AI220" s="62"/>
      <c r="AJ220" s="62"/>
    </row>
    <row r="221" ht="14.25" customHeight="1">
      <c r="AA221" s="62"/>
      <c r="AB221" s="62"/>
      <c r="AC221" s="62"/>
      <c r="AD221" s="62"/>
      <c r="AE221" s="62"/>
      <c r="AF221" s="62"/>
      <c r="AG221" s="62"/>
      <c r="AH221" s="62"/>
      <c r="AI221" s="62"/>
      <c r="AJ221" s="62"/>
    </row>
    <row r="222" ht="14.25" customHeight="1">
      <c r="AA222" s="62"/>
      <c r="AB222" s="62"/>
      <c r="AC222" s="62"/>
      <c r="AD222" s="62"/>
      <c r="AE222" s="62"/>
      <c r="AF222" s="62"/>
      <c r="AG222" s="62"/>
      <c r="AH222" s="62"/>
      <c r="AI222" s="62"/>
      <c r="AJ222" s="62"/>
    </row>
    <row r="223" ht="14.25" customHeight="1">
      <c r="AA223" s="62"/>
      <c r="AB223" s="62"/>
      <c r="AC223" s="62"/>
      <c r="AD223" s="62"/>
      <c r="AE223" s="62"/>
      <c r="AF223" s="62"/>
      <c r="AG223" s="62"/>
      <c r="AH223" s="62"/>
      <c r="AI223" s="62"/>
      <c r="AJ223" s="62"/>
    </row>
    <row r="224" ht="14.25" customHeight="1">
      <c r="AA224" s="62"/>
      <c r="AB224" s="62"/>
      <c r="AC224" s="62"/>
      <c r="AD224" s="62"/>
      <c r="AE224" s="62"/>
      <c r="AF224" s="62"/>
      <c r="AG224" s="62"/>
      <c r="AH224" s="62"/>
      <c r="AI224" s="62"/>
      <c r="AJ224" s="62"/>
    </row>
    <row r="225" ht="14.25" customHeight="1">
      <c r="AA225" s="62"/>
      <c r="AB225" s="62"/>
      <c r="AC225" s="62"/>
      <c r="AD225" s="62"/>
      <c r="AE225" s="62"/>
      <c r="AF225" s="62"/>
      <c r="AG225" s="62"/>
      <c r="AH225" s="62"/>
      <c r="AI225" s="62"/>
      <c r="AJ225" s="62"/>
    </row>
    <row r="226" ht="14.25" customHeight="1">
      <c r="AA226" s="62"/>
      <c r="AB226" s="62"/>
      <c r="AC226" s="62"/>
      <c r="AD226" s="62"/>
      <c r="AE226" s="62"/>
      <c r="AF226" s="62"/>
      <c r="AG226" s="62"/>
      <c r="AH226" s="62"/>
      <c r="AI226" s="62"/>
      <c r="AJ226" s="62"/>
    </row>
    <row r="227" ht="14.25" customHeight="1">
      <c r="AA227" s="62"/>
      <c r="AB227" s="62"/>
      <c r="AC227" s="62"/>
      <c r="AD227" s="62"/>
      <c r="AE227" s="62"/>
      <c r="AF227" s="62"/>
      <c r="AG227" s="62"/>
      <c r="AH227" s="62"/>
      <c r="AI227" s="62"/>
      <c r="AJ227" s="62"/>
    </row>
    <row r="228" ht="14.25" customHeight="1">
      <c r="AA228" s="62"/>
      <c r="AB228" s="62"/>
      <c r="AC228" s="62"/>
      <c r="AD228" s="62"/>
      <c r="AE228" s="62"/>
      <c r="AF228" s="62"/>
      <c r="AG228" s="62"/>
      <c r="AH228" s="62"/>
      <c r="AI228" s="62"/>
      <c r="AJ228" s="62"/>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F13:F16"/>
    <mergeCell ref="G13:G16"/>
    <mergeCell ref="H13:H16"/>
    <mergeCell ref="I13:I16"/>
    <mergeCell ref="J13:J16"/>
    <mergeCell ref="K13:K16"/>
    <mergeCell ref="L1:R1"/>
    <mergeCell ref="L2:R2"/>
    <mergeCell ref="A13:A16"/>
    <mergeCell ref="B13:B16"/>
    <mergeCell ref="C13:C16"/>
    <mergeCell ref="D13:D16"/>
    <mergeCell ref="E13:E16"/>
    <mergeCell ref="L13:L16"/>
  </mergeCells>
  <dataValidations>
    <dataValidation type="list" allowBlank="1" showErrorMessage="1" sqref="AA5:AI28">
      <formula1>"Ada,Belum Ada,Proses,Belum mengurus"</formula1>
    </dataValidation>
    <dataValidation type="list" allowBlank="1" showErrorMessage="1" sqref="H5:H9 H11:H13 H17:H20">
      <formula1>"Sudah Operasional,Belum operasional,Tahap persiapan"</formula1>
    </dataValidation>
  </dataValidations>
  <printOptions/>
  <pageMargins bottom="0.75" footer="0.0" header="0.0" left="0.7" right="0.7" top="0.75"/>
  <pageSetup paperSize="9"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3.29"/>
    <col customWidth="1" min="3" max="3" width="21.86"/>
    <col customWidth="1" min="4" max="4" width="14.86"/>
    <col customWidth="1" min="5" max="5" width="24.0"/>
    <col customWidth="1" min="6" max="6" width="77.57"/>
    <col customWidth="1" min="7" max="7" width="53.0"/>
    <col customWidth="1" min="8" max="11" width="21.14"/>
    <col customWidth="1" min="12" max="17" width="27.0"/>
    <col customWidth="1" min="18" max="18" width="30.57"/>
    <col customWidth="1" min="19" max="19" width="30.14"/>
    <col customWidth="1" min="20" max="22" width="26.43"/>
    <col customWidth="1" min="23" max="23" width="157.29"/>
    <col customWidth="1" min="24" max="24" width="26.43"/>
    <col customWidth="1" min="25" max="25" width="18.43"/>
    <col customWidth="1" min="26" max="35" width="8.71"/>
  </cols>
  <sheetData>
    <row r="1" ht="14.25" customHeight="1">
      <c r="A1" s="3"/>
      <c r="C1" s="237"/>
      <c r="K1" s="3"/>
      <c r="L1" s="63" t="s">
        <v>1</v>
      </c>
      <c r="Z1" s="62"/>
      <c r="AA1" s="62"/>
      <c r="AB1" s="62"/>
      <c r="AC1" s="62"/>
      <c r="AD1" s="62"/>
      <c r="AE1" s="62"/>
      <c r="AF1" s="62"/>
      <c r="AG1" s="62"/>
      <c r="AH1" s="62"/>
      <c r="AI1" s="62"/>
    </row>
    <row r="2" ht="14.25" customHeight="1">
      <c r="A2" s="3"/>
      <c r="C2" s="237"/>
      <c r="K2" s="3"/>
      <c r="L2" s="64" t="s">
        <v>2</v>
      </c>
      <c r="Z2" s="62"/>
      <c r="AA2" s="62"/>
      <c r="AB2" s="62"/>
      <c r="AC2" s="62"/>
      <c r="AD2" s="62"/>
      <c r="AE2" s="62"/>
      <c r="AF2" s="62"/>
      <c r="AG2" s="62"/>
      <c r="AH2" s="62"/>
      <c r="AI2" s="62"/>
    </row>
    <row r="3" ht="14.25" customHeight="1">
      <c r="A3" s="3"/>
      <c r="C3" s="237"/>
      <c r="K3" s="3"/>
      <c r="Z3" s="62"/>
      <c r="AA3" s="62"/>
      <c r="AB3" s="62"/>
      <c r="AC3" s="62"/>
      <c r="AD3" s="62"/>
      <c r="AE3" s="62"/>
      <c r="AF3" s="62"/>
      <c r="AG3" s="62"/>
      <c r="AH3" s="62"/>
      <c r="AI3" s="62"/>
    </row>
    <row r="4" ht="40.5" customHeight="1">
      <c r="A4" s="65" t="s">
        <v>3</v>
      </c>
      <c r="B4" s="65" t="s">
        <v>4</v>
      </c>
      <c r="C4" s="65" t="s">
        <v>5</v>
      </c>
      <c r="D4" s="65" t="s">
        <v>6</v>
      </c>
      <c r="E4" s="65" t="s">
        <v>7</v>
      </c>
      <c r="F4" s="65" t="s">
        <v>8</v>
      </c>
      <c r="G4" s="65" t="s">
        <v>9</v>
      </c>
      <c r="H4" s="65" t="s">
        <v>1084</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14.25" customHeight="1">
      <c r="A5" s="68">
        <v>1.0</v>
      </c>
      <c r="B5" s="67" t="s">
        <v>2510</v>
      </c>
      <c r="C5" s="238" t="s">
        <v>2511</v>
      </c>
      <c r="D5" s="67" t="s">
        <v>2512</v>
      </c>
      <c r="E5" s="67" t="s">
        <v>2513</v>
      </c>
      <c r="F5" s="67" t="s">
        <v>2514</v>
      </c>
      <c r="G5" s="67" t="s">
        <v>43</v>
      </c>
      <c r="H5" s="76" t="s">
        <v>2515</v>
      </c>
      <c r="I5" s="68" t="s">
        <v>563</v>
      </c>
      <c r="J5" s="67" t="s">
        <v>2516</v>
      </c>
      <c r="K5" s="80" t="s">
        <v>2517</v>
      </c>
      <c r="L5" s="76">
        <v>2246.0</v>
      </c>
      <c r="M5" s="68" t="s">
        <v>2518</v>
      </c>
      <c r="N5" s="68" t="s">
        <v>2519</v>
      </c>
      <c r="O5" s="68" t="s">
        <v>2520</v>
      </c>
      <c r="P5" s="68">
        <v>0.0</v>
      </c>
      <c r="Q5" s="67" t="s">
        <v>2521</v>
      </c>
      <c r="R5" s="68" t="s">
        <v>2522</v>
      </c>
      <c r="S5" s="68" t="s">
        <v>2523</v>
      </c>
      <c r="T5" s="76" t="s">
        <v>2524</v>
      </c>
      <c r="U5" s="76" t="s">
        <v>2525</v>
      </c>
      <c r="V5" s="76" t="s">
        <v>2526</v>
      </c>
      <c r="W5" s="68">
        <v>0.0</v>
      </c>
      <c r="X5" s="68">
        <v>0.0</v>
      </c>
      <c r="Y5" s="76" t="s">
        <v>2527</v>
      </c>
      <c r="Z5" s="54" t="s">
        <v>54</v>
      </c>
      <c r="AA5" s="139" t="s">
        <v>54</v>
      </c>
      <c r="AB5" s="139" t="s">
        <v>54</v>
      </c>
      <c r="AC5" s="139" t="s">
        <v>54</v>
      </c>
      <c r="AD5" s="139" t="s">
        <v>54</v>
      </c>
      <c r="AE5" s="139" t="s">
        <v>54</v>
      </c>
      <c r="AF5" s="139" t="s">
        <v>54</v>
      </c>
      <c r="AG5" s="139" t="s">
        <v>54</v>
      </c>
      <c r="AH5" s="139" t="s">
        <v>146</v>
      </c>
      <c r="AI5" s="139">
        <v>48.0</v>
      </c>
    </row>
    <row r="6" ht="141.0" customHeight="1">
      <c r="A6" s="68">
        <v>2.0</v>
      </c>
      <c r="B6" s="67" t="s">
        <v>2528</v>
      </c>
      <c r="C6" s="238" t="s">
        <v>2529</v>
      </c>
      <c r="D6" s="67" t="s">
        <v>2530</v>
      </c>
      <c r="E6" s="71" t="s">
        <v>2531</v>
      </c>
      <c r="F6" s="67" t="s">
        <v>2532</v>
      </c>
      <c r="G6" s="90" t="s">
        <v>43</v>
      </c>
      <c r="H6" s="90" t="s">
        <v>2533</v>
      </c>
      <c r="I6" s="76" t="s">
        <v>44</v>
      </c>
      <c r="J6" s="67" t="s">
        <v>2534</v>
      </c>
      <c r="K6" s="239" t="s">
        <v>2535</v>
      </c>
      <c r="L6" s="76">
        <v>1926.0</v>
      </c>
      <c r="M6" s="90"/>
      <c r="N6" s="90"/>
      <c r="O6" s="90" t="s">
        <v>2536</v>
      </c>
      <c r="P6" s="67"/>
      <c r="Q6" s="90" t="s">
        <v>2537</v>
      </c>
      <c r="R6" s="90" t="s">
        <v>2538</v>
      </c>
      <c r="S6" s="90" t="s">
        <v>2539</v>
      </c>
      <c r="T6" s="90" t="s">
        <v>2540</v>
      </c>
      <c r="U6" s="90" t="s">
        <v>2541</v>
      </c>
      <c r="V6" s="90" t="s">
        <v>2542</v>
      </c>
      <c r="W6" s="67"/>
      <c r="X6" s="67"/>
      <c r="Y6" s="67" t="s">
        <v>2543</v>
      </c>
      <c r="Z6" s="138" t="s">
        <v>54</v>
      </c>
      <c r="AA6" s="138" t="s">
        <v>54</v>
      </c>
      <c r="AB6" s="138" t="s">
        <v>54</v>
      </c>
      <c r="AC6" s="138" t="s">
        <v>54</v>
      </c>
      <c r="AD6" s="138" t="s">
        <v>145</v>
      </c>
      <c r="AE6" s="138" t="s">
        <v>146</v>
      </c>
      <c r="AF6" s="138" t="s">
        <v>145</v>
      </c>
      <c r="AG6" s="138" t="s">
        <v>54</v>
      </c>
      <c r="AH6" s="138" t="s">
        <v>146</v>
      </c>
      <c r="AI6" s="138">
        <v>47.0</v>
      </c>
    </row>
    <row r="7" ht="14.25" customHeight="1">
      <c r="A7" s="68">
        <v>3.0</v>
      </c>
      <c r="B7" s="67" t="s">
        <v>2544</v>
      </c>
      <c r="C7" s="238" t="s">
        <v>2545</v>
      </c>
      <c r="D7" s="68" t="s">
        <v>2546</v>
      </c>
      <c r="E7" s="67" t="s">
        <v>178</v>
      </c>
      <c r="F7" s="68" t="s">
        <v>2547</v>
      </c>
      <c r="G7" s="67" t="s">
        <v>43</v>
      </c>
      <c r="H7" s="68"/>
      <c r="I7" s="68" t="s">
        <v>44</v>
      </c>
      <c r="J7" s="68" t="s">
        <v>2548</v>
      </c>
      <c r="K7" s="68" t="s">
        <v>2549</v>
      </c>
      <c r="L7" s="68">
        <v>2208.0</v>
      </c>
      <c r="M7" s="87" t="s">
        <v>2550</v>
      </c>
      <c r="N7" s="87" t="s">
        <v>2551</v>
      </c>
      <c r="O7" s="68">
        <v>0.0</v>
      </c>
      <c r="P7" s="87">
        <v>0.0</v>
      </c>
      <c r="Q7" s="73" t="s">
        <v>2552</v>
      </c>
      <c r="R7" s="73" t="s">
        <v>2553</v>
      </c>
      <c r="S7" s="68" t="s">
        <v>2554</v>
      </c>
      <c r="T7" s="73" t="s">
        <v>2555</v>
      </c>
      <c r="U7" s="73" t="s">
        <v>2556</v>
      </c>
      <c r="V7" s="68" t="s">
        <v>2557</v>
      </c>
      <c r="W7" s="73" t="s">
        <v>2558</v>
      </c>
      <c r="X7" s="68">
        <v>0.0</v>
      </c>
      <c r="Y7" s="68" t="s">
        <v>2559</v>
      </c>
      <c r="Z7" s="130" t="s">
        <v>54</v>
      </c>
      <c r="AA7" s="130" t="s">
        <v>54</v>
      </c>
      <c r="AB7" s="130" t="s">
        <v>145</v>
      </c>
      <c r="AC7" s="130" t="s">
        <v>54</v>
      </c>
      <c r="AD7" s="130" t="s">
        <v>54</v>
      </c>
      <c r="AE7" s="130" t="s">
        <v>146</v>
      </c>
      <c r="AF7" s="130" t="s">
        <v>145</v>
      </c>
      <c r="AG7" s="130" t="s">
        <v>54</v>
      </c>
      <c r="AH7" s="130" t="s">
        <v>146</v>
      </c>
      <c r="AI7" s="130">
        <v>44.0</v>
      </c>
    </row>
    <row r="8" ht="14.25" customHeight="1">
      <c r="A8" s="68">
        <v>4.0</v>
      </c>
      <c r="B8" s="67" t="s">
        <v>2544</v>
      </c>
      <c r="C8" s="68" t="s">
        <v>2560</v>
      </c>
      <c r="D8" s="68" t="s">
        <v>2561</v>
      </c>
      <c r="E8" s="68" t="s">
        <v>2562</v>
      </c>
      <c r="F8" s="68" t="s">
        <v>2563</v>
      </c>
      <c r="G8" s="67" t="s">
        <v>142</v>
      </c>
      <c r="H8" s="68"/>
      <c r="I8" s="68" t="s">
        <v>53</v>
      </c>
      <c r="J8" s="68" t="s">
        <v>2564</v>
      </c>
      <c r="K8" s="80" t="s">
        <v>2565</v>
      </c>
      <c r="L8" s="81">
        <v>2161.0</v>
      </c>
      <c r="M8" s="68" t="s">
        <v>2566</v>
      </c>
      <c r="N8" s="68" t="s">
        <v>2567</v>
      </c>
      <c r="O8" s="68">
        <v>0.0</v>
      </c>
      <c r="P8" s="68">
        <v>0.0</v>
      </c>
      <c r="Q8" s="68" t="s">
        <v>2568</v>
      </c>
      <c r="R8" s="68" t="s">
        <v>2569</v>
      </c>
      <c r="S8" s="68" t="s">
        <v>2570</v>
      </c>
      <c r="T8" s="68" t="s">
        <v>2571</v>
      </c>
      <c r="U8" s="68" t="s">
        <v>2572</v>
      </c>
      <c r="V8" s="68" t="s">
        <v>2573</v>
      </c>
      <c r="W8" s="87" t="s">
        <v>2574</v>
      </c>
      <c r="X8" s="68"/>
      <c r="Y8" s="68" t="s">
        <v>2575</v>
      </c>
      <c r="Z8" s="131" t="s">
        <v>146</v>
      </c>
      <c r="AA8" s="131" t="s">
        <v>54</v>
      </c>
      <c r="AB8" s="131" t="s">
        <v>145</v>
      </c>
      <c r="AC8" s="131" t="s">
        <v>145</v>
      </c>
      <c r="AD8" s="131" t="s">
        <v>145</v>
      </c>
      <c r="AE8" s="131" t="s">
        <v>146</v>
      </c>
      <c r="AF8" s="131" t="s">
        <v>146</v>
      </c>
      <c r="AG8" s="131" t="s">
        <v>54</v>
      </c>
      <c r="AH8" s="131" t="s">
        <v>146</v>
      </c>
      <c r="AI8" s="131">
        <v>38.0</v>
      </c>
    </row>
    <row r="9" ht="14.25" customHeight="1">
      <c r="A9" s="68">
        <v>5.0</v>
      </c>
      <c r="B9" s="67"/>
      <c r="C9" s="238"/>
      <c r="D9" s="240"/>
      <c r="E9" s="68"/>
      <c r="F9" s="68"/>
      <c r="G9" s="67"/>
      <c r="H9" s="68"/>
      <c r="I9" s="76"/>
      <c r="J9" s="68"/>
      <c r="K9" s="68"/>
      <c r="L9" s="68"/>
      <c r="M9" s="68"/>
      <c r="N9" s="73"/>
      <c r="O9" s="68"/>
      <c r="P9" s="68"/>
      <c r="Q9" s="68"/>
      <c r="R9" s="68"/>
      <c r="S9" s="68"/>
      <c r="T9" s="68"/>
      <c r="U9" s="68"/>
      <c r="V9" s="68"/>
      <c r="W9" s="68"/>
      <c r="X9" s="68"/>
      <c r="Y9" s="68"/>
      <c r="Z9" s="130"/>
      <c r="AA9" s="130"/>
      <c r="AB9" s="130"/>
      <c r="AC9" s="130"/>
      <c r="AD9" s="130"/>
      <c r="AE9" s="130"/>
      <c r="AF9" s="130"/>
      <c r="AG9" s="130"/>
      <c r="AH9" s="130"/>
      <c r="AI9" s="130"/>
    </row>
    <row r="10" ht="84.0" customHeight="1">
      <c r="A10" s="68">
        <v>6.0</v>
      </c>
      <c r="B10" s="68" t="s">
        <v>2576</v>
      </c>
      <c r="C10" s="68" t="s">
        <v>2577</v>
      </c>
      <c r="D10" s="68" t="s">
        <v>2578</v>
      </c>
      <c r="E10" s="68" t="s">
        <v>2579</v>
      </c>
      <c r="F10" s="68" t="s">
        <v>2580</v>
      </c>
      <c r="G10" s="67" t="s">
        <v>43</v>
      </c>
      <c r="H10" s="241">
        <v>46112.0</v>
      </c>
      <c r="I10" s="68" t="s">
        <v>44</v>
      </c>
      <c r="J10" s="68" t="s">
        <v>2581</v>
      </c>
      <c r="K10" s="80" t="s">
        <v>2582</v>
      </c>
      <c r="L10" s="68">
        <v>1688.0</v>
      </c>
      <c r="M10" s="68" t="s">
        <v>2583</v>
      </c>
      <c r="N10" s="81" t="s">
        <v>2584</v>
      </c>
      <c r="O10" s="68" t="s">
        <v>2585</v>
      </c>
      <c r="P10" s="68">
        <v>0.0</v>
      </c>
      <c r="Q10" s="68" t="s">
        <v>2586</v>
      </c>
      <c r="R10" s="68" t="s">
        <v>2587</v>
      </c>
      <c r="S10" s="68" t="s">
        <v>2588</v>
      </c>
      <c r="T10" s="68" t="s">
        <v>2589</v>
      </c>
      <c r="U10" s="68" t="s">
        <v>2590</v>
      </c>
      <c r="V10" s="68" t="s">
        <v>2591</v>
      </c>
      <c r="W10" s="68"/>
      <c r="X10" s="68"/>
      <c r="Y10" s="68"/>
      <c r="Z10" s="138" t="s">
        <v>54</v>
      </c>
      <c r="AA10" s="138" t="s">
        <v>54</v>
      </c>
      <c r="AB10" s="138" t="s">
        <v>145</v>
      </c>
      <c r="AC10" s="138" t="s">
        <v>54</v>
      </c>
      <c r="AD10" s="138" t="s">
        <v>54</v>
      </c>
      <c r="AE10" s="138" t="s">
        <v>145</v>
      </c>
      <c r="AF10" s="138" t="s">
        <v>145</v>
      </c>
      <c r="AG10" s="138" t="s">
        <v>54</v>
      </c>
      <c r="AH10" s="138" t="s">
        <v>146</v>
      </c>
      <c r="AI10" s="138">
        <v>48.0</v>
      </c>
    </row>
    <row r="11" ht="14.25" customHeight="1">
      <c r="A11" s="44">
        <v>7.0</v>
      </c>
      <c r="B11" s="42" t="s">
        <v>2592</v>
      </c>
      <c r="C11" s="43" t="s">
        <v>2593</v>
      </c>
      <c r="D11" s="44" t="s">
        <v>2594</v>
      </c>
      <c r="E11" s="45" t="s">
        <v>2595</v>
      </c>
      <c r="F11" s="46" t="s">
        <v>2596</v>
      </c>
      <c r="G11" s="47" t="s">
        <v>43</v>
      </c>
      <c r="H11" s="48" t="s">
        <v>2597</v>
      </c>
      <c r="I11" s="48" t="s">
        <v>44</v>
      </c>
      <c r="J11" s="48" t="s">
        <v>2598</v>
      </c>
      <c r="K11" s="242">
        <v>8.5966467035E10</v>
      </c>
      <c r="L11" s="242">
        <v>1887.0</v>
      </c>
      <c r="M11" s="52" t="s">
        <v>2599</v>
      </c>
      <c r="N11" s="51" t="s">
        <v>2600</v>
      </c>
      <c r="O11" s="53"/>
      <c r="P11" s="11"/>
      <c r="Q11" s="54"/>
      <c r="R11" s="55"/>
      <c r="S11" s="55"/>
      <c r="T11" s="54"/>
      <c r="U11" s="25"/>
      <c r="V11" s="25"/>
      <c r="W11" s="243" t="s">
        <v>2601</v>
      </c>
      <c r="X11" s="25"/>
      <c r="Y11" s="50" t="s">
        <v>2602</v>
      </c>
      <c r="Z11" s="56" t="s">
        <v>54</v>
      </c>
      <c r="AA11" s="56" t="s">
        <v>54</v>
      </c>
      <c r="AB11" s="56" t="s">
        <v>54</v>
      </c>
      <c r="AC11" s="56" t="s">
        <v>54</v>
      </c>
      <c r="AD11" s="57" t="s">
        <v>145</v>
      </c>
      <c r="AE11" s="56" t="s">
        <v>146</v>
      </c>
      <c r="AF11" s="56" t="s">
        <v>146</v>
      </c>
      <c r="AG11" s="56" t="s">
        <v>54</v>
      </c>
      <c r="AH11" s="56" t="s">
        <v>146</v>
      </c>
      <c r="AI11" s="56">
        <v>51.0</v>
      </c>
    </row>
    <row r="12" ht="14.25" customHeight="1">
      <c r="A12" s="41"/>
      <c r="B12" s="2"/>
      <c r="C12" s="58"/>
      <c r="D12" s="3"/>
      <c r="E12" s="34"/>
      <c r="F12" s="59"/>
      <c r="G12" s="25"/>
      <c r="H12" s="25"/>
      <c r="I12" s="25"/>
      <c r="J12" s="25"/>
      <c r="K12" s="25"/>
      <c r="L12" s="59"/>
      <c r="M12" s="52" t="s">
        <v>2603</v>
      </c>
      <c r="N12" s="51" t="s">
        <v>2604</v>
      </c>
      <c r="O12" s="59"/>
      <c r="P12" s="60"/>
      <c r="Q12" s="244" t="s">
        <v>2605</v>
      </c>
      <c r="R12" s="61" t="s">
        <v>2606</v>
      </c>
      <c r="S12" s="54"/>
      <c r="T12" s="203"/>
      <c r="U12" s="203" t="s">
        <v>2607</v>
      </c>
      <c r="V12" s="25"/>
      <c r="W12" s="243" t="s">
        <v>2608</v>
      </c>
      <c r="X12" s="25"/>
      <c r="Y12" s="50"/>
      <c r="Z12" s="57"/>
      <c r="AA12" s="57"/>
      <c r="AB12" s="57"/>
      <c r="AC12" s="57"/>
      <c r="AD12" s="57"/>
      <c r="AE12" s="57"/>
      <c r="AF12" s="57"/>
      <c r="AG12" s="57" t="s">
        <v>54</v>
      </c>
      <c r="AH12" s="57"/>
      <c r="AI12" s="57"/>
    </row>
    <row r="13" ht="14.25" customHeight="1">
      <c r="A13" s="41"/>
      <c r="B13" s="2"/>
      <c r="D13" s="2"/>
      <c r="E13" s="25"/>
      <c r="F13" s="59"/>
      <c r="G13" s="25"/>
      <c r="H13" s="25"/>
      <c r="I13" s="25"/>
      <c r="J13" s="25"/>
      <c r="K13" s="25"/>
      <c r="L13" s="59"/>
      <c r="M13" s="52" t="s">
        <v>2609</v>
      </c>
      <c r="N13" s="51" t="s">
        <v>2610</v>
      </c>
      <c r="O13" s="59"/>
      <c r="P13" s="25"/>
      <c r="Q13" s="244" t="s">
        <v>2611</v>
      </c>
      <c r="R13" s="61" t="s">
        <v>2612</v>
      </c>
      <c r="S13" s="54"/>
      <c r="T13" s="54"/>
      <c r="U13" s="61" t="s">
        <v>2613</v>
      </c>
      <c r="V13" s="25"/>
      <c r="W13" s="243" t="s">
        <v>2614</v>
      </c>
      <c r="X13" s="25"/>
      <c r="Y13" s="25"/>
      <c r="Z13" s="57"/>
      <c r="AA13" s="57"/>
      <c r="AB13" s="57"/>
      <c r="AC13" s="57"/>
      <c r="AD13" s="57"/>
      <c r="AE13" s="57"/>
      <c r="AF13" s="57"/>
      <c r="AG13" s="57"/>
      <c r="AH13" s="57"/>
      <c r="AI13" s="57"/>
    </row>
    <row r="14" ht="14.25" customHeight="1">
      <c r="B14" s="2"/>
      <c r="D14" s="2"/>
      <c r="E14" s="25"/>
      <c r="F14" s="59"/>
      <c r="G14" s="25"/>
      <c r="H14" s="25"/>
      <c r="I14" s="25"/>
      <c r="J14" s="25"/>
      <c r="K14" s="25"/>
      <c r="L14" s="59"/>
      <c r="M14" s="52" t="s">
        <v>2615</v>
      </c>
      <c r="N14" s="59"/>
      <c r="O14" s="59"/>
      <c r="P14" s="25"/>
      <c r="Q14" s="244" t="s">
        <v>2616</v>
      </c>
      <c r="R14" s="54"/>
      <c r="S14" s="61" t="s">
        <v>250</v>
      </c>
      <c r="T14" s="54"/>
      <c r="U14" s="61" t="s">
        <v>2617</v>
      </c>
      <c r="V14" s="25"/>
      <c r="W14" s="243" t="s">
        <v>2618</v>
      </c>
      <c r="X14" s="25"/>
      <c r="Y14" s="25"/>
      <c r="Z14" s="57"/>
      <c r="AA14" s="57"/>
      <c r="AB14" s="57"/>
      <c r="AC14" s="57"/>
      <c r="AD14" s="57"/>
      <c r="AE14" s="57"/>
      <c r="AF14" s="57"/>
      <c r="AG14" s="57"/>
      <c r="AH14" s="57"/>
      <c r="AI14" s="57"/>
    </row>
    <row r="15" ht="14.25" customHeight="1">
      <c r="B15" s="2"/>
      <c r="C15" s="58"/>
      <c r="D15" s="2"/>
      <c r="E15" s="25"/>
      <c r="F15" s="59"/>
      <c r="G15" s="25"/>
      <c r="H15" s="25"/>
      <c r="I15" s="25"/>
      <c r="J15" s="25"/>
      <c r="K15" s="25"/>
      <c r="L15" s="59"/>
      <c r="M15" s="52" t="s">
        <v>2619</v>
      </c>
      <c r="N15" s="59"/>
      <c r="O15" s="59"/>
      <c r="P15" s="25"/>
      <c r="Q15" s="244" t="s">
        <v>2620</v>
      </c>
      <c r="R15" s="54"/>
      <c r="S15" s="54"/>
      <c r="T15" s="54"/>
      <c r="U15" s="61" t="s">
        <v>2621</v>
      </c>
      <c r="V15" s="25"/>
      <c r="W15" s="25"/>
      <c r="X15" s="25"/>
      <c r="Y15" s="25"/>
      <c r="Z15" s="57"/>
      <c r="AA15" s="57"/>
      <c r="AB15" s="57"/>
      <c r="AC15" s="57"/>
      <c r="AD15" s="57"/>
      <c r="AE15" s="57"/>
      <c r="AF15" s="57"/>
      <c r="AG15" s="57"/>
      <c r="AH15" s="57"/>
      <c r="AI15" s="57"/>
    </row>
    <row r="16" ht="14.25" customHeight="1">
      <c r="B16" s="2"/>
      <c r="C16" s="2"/>
      <c r="D16" s="2"/>
      <c r="E16" s="25"/>
      <c r="F16" s="59"/>
      <c r="G16" s="25"/>
      <c r="H16" s="25"/>
      <c r="I16" s="25"/>
      <c r="J16" s="25"/>
      <c r="K16" s="25"/>
      <c r="L16" s="59"/>
      <c r="M16" s="51"/>
      <c r="N16" s="59"/>
      <c r="O16" s="59"/>
      <c r="P16" s="25"/>
      <c r="Q16" s="244" t="s">
        <v>2622</v>
      </c>
      <c r="R16" s="55"/>
      <c r="S16" s="55"/>
      <c r="T16" s="55"/>
      <c r="U16" s="245" t="s">
        <v>2623</v>
      </c>
      <c r="V16" s="25"/>
      <c r="W16" s="25"/>
      <c r="X16" s="25"/>
      <c r="Y16" s="25"/>
      <c r="Z16" s="57"/>
      <c r="AA16" s="57"/>
      <c r="AB16" s="57"/>
      <c r="AC16" s="57"/>
      <c r="AD16" s="57"/>
      <c r="AE16" s="57"/>
      <c r="AF16" s="57"/>
      <c r="AG16" s="57"/>
      <c r="AH16" s="57"/>
      <c r="AI16" s="57"/>
    </row>
    <row r="17" ht="14.25" customHeight="1">
      <c r="B17" s="2"/>
      <c r="C17" s="2"/>
      <c r="D17" s="2"/>
      <c r="F17" s="2"/>
      <c r="L17" s="2"/>
      <c r="M17" s="2"/>
      <c r="N17" s="2"/>
      <c r="O17" s="2"/>
      <c r="Q17" s="244" t="s">
        <v>2624</v>
      </c>
      <c r="R17" s="55"/>
      <c r="S17" s="55"/>
      <c r="T17" s="55"/>
    </row>
    <row r="18" ht="14.25" customHeight="1">
      <c r="B18" s="2"/>
      <c r="C18" s="2"/>
      <c r="D18" s="2"/>
      <c r="F18" s="2"/>
      <c r="L18" s="2"/>
      <c r="N18" s="2"/>
      <c r="O18" s="2"/>
    </row>
    <row r="19" ht="14.25" customHeight="1">
      <c r="A19" s="3"/>
      <c r="C19" s="237" t="s">
        <v>2625</v>
      </c>
      <c r="D19" s="62">
        <v>2.0</v>
      </c>
      <c r="K19" s="3"/>
      <c r="Z19" s="25"/>
      <c r="AA19" s="25"/>
      <c r="AB19" s="25"/>
      <c r="AC19" s="25"/>
      <c r="AD19" s="25"/>
      <c r="AE19" s="25"/>
      <c r="AF19" s="25"/>
      <c r="AG19" s="25"/>
      <c r="AH19" s="25"/>
      <c r="AI19" s="25"/>
    </row>
    <row r="20" ht="14.25" customHeight="1">
      <c r="A20" s="3"/>
      <c r="C20" s="237" t="s">
        <v>217</v>
      </c>
      <c r="D20" s="62">
        <v>0.0</v>
      </c>
      <c r="K20" s="3"/>
      <c r="Z20" s="26"/>
      <c r="AA20" s="26"/>
      <c r="AB20" s="26"/>
      <c r="AC20" s="26"/>
      <c r="AD20" s="26"/>
      <c r="AE20" s="26"/>
      <c r="AF20" s="26"/>
      <c r="AG20" s="26"/>
      <c r="AH20" s="26"/>
      <c r="AI20" s="26"/>
    </row>
    <row r="21" ht="14.25" customHeight="1">
      <c r="A21" s="3"/>
      <c r="C21" s="237"/>
      <c r="K21" s="3"/>
      <c r="Z21" s="25"/>
      <c r="AA21" s="25"/>
      <c r="AB21" s="25"/>
      <c r="AC21" s="25"/>
      <c r="AD21" s="25"/>
      <c r="AE21" s="25"/>
      <c r="AF21" s="25"/>
      <c r="AG21" s="25"/>
      <c r="AH21" s="25"/>
      <c r="AI21" s="25"/>
    </row>
    <row r="22" ht="14.25" customHeight="1">
      <c r="A22" s="3"/>
      <c r="C22" s="237"/>
      <c r="K22" s="3"/>
      <c r="Z22" s="26"/>
      <c r="AA22" s="26"/>
      <c r="AB22" s="26"/>
      <c r="AC22" s="26"/>
      <c r="AD22" s="26"/>
      <c r="AE22" s="26"/>
      <c r="AF22" s="26"/>
      <c r="AG22" s="26"/>
      <c r="AH22" s="26"/>
      <c r="AI22" s="26"/>
    </row>
    <row r="23" ht="14.25" customHeight="1">
      <c r="A23" s="3"/>
      <c r="C23" s="237"/>
      <c r="G23" s="157" t="s">
        <v>2626</v>
      </c>
      <c r="Z23" s="25"/>
      <c r="AA23" s="25"/>
      <c r="AB23" s="25"/>
      <c r="AC23" s="25"/>
      <c r="AD23" s="25"/>
      <c r="AE23" s="25"/>
      <c r="AF23" s="25"/>
      <c r="AG23" s="25"/>
      <c r="AH23" s="25"/>
      <c r="AI23" s="25"/>
    </row>
    <row r="24" ht="14.25" customHeight="1">
      <c r="A24" s="3"/>
      <c r="C24" s="237"/>
      <c r="G24" s="64" t="s">
        <v>2</v>
      </c>
      <c r="Z24" s="62"/>
      <c r="AA24" s="62"/>
      <c r="AB24" s="62"/>
      <c r="AC24" s="62"/>
      <c r="AD24" s="62"/>
      <c r="AE24" s="62"/>
      <c r="AF24" s="62"/>
      <c r="AG24" s="62"/>
      <c r="AH24" s="62"/>
      <c r="AI24" s="62"/>
    </row>
    <row r="25" ht="14.25" customHeight="1">
      <c r="A25" s="3"/>
      <c r="C25" s="237"/>
      <c r="K25" s="3"/>
      <c r="Z25" s="62"/>
      <c r="AA25" s="62"/>
      <c r="AB25" s="62"/>
      <c r="AC25" s="62"/>
      <c r="AD25" s="62"/>
      <c r="AE25" s="62"/>
      <c r="AF25" s="62"/>
      <c r="AG25" s="62"/>
      <c r="AH25" s="62"/>
      <c r="AI25" s="62"/>
    </row>
    <row r="26" ht="14.25" customHeight="1">
      <c r="A26" s="65" t="s">
        <v>3</v>
      </c>
      <c r="B26" s="65" t="s">
        <v>4</v>
      </c>
      <c r="C26" s="65" t="s">
        <v>5</v>
      </c>
      <c r="D26" s="65" t="s">
        <v>6</v>
      </c>
      <c r="E26" s="65" t="s">
        <v>7</v>
      </c>
      <c r="F26" s="65" t="s">
        <v>8</v>
      </c>
      <c r="G26" s="65" t="s">
        <v>9</v>
      </c>
      <c r="H26" s="65" t="s">
        <v>1084</v>
      </c>
      <c r="I26" s="65" t="s">
        <v>11</v>
      </c>
      <c r="J26" s="65" t="s">
        <v>12</v>
      </c>
      <c r="K26" s="65" t="s">
        <v>13</v>
      </c>
      <c r="L26" s="65" t="s">
        <v>14</v>
      </c>
      <c r="M26" s="65" t="s">
        <v>15</v>
      </c>
      <c r="N26" s="65" t="s">
        <v>16</v>
      </c>
      <c r="O26" s="65" t="s">
        <v>147</v>
      </c>
      <c r="P26" s="65" t="s">
        <v>18</v>
      </c>
      <c r="Q26" s="65" t="s">
        <v>19</v>
      </c>
      <c r="R26" s="65" t="s">
        <v>20</v>
      </c>
      <c r="S26" s="65" t="s">
        <v>21</v>
      </c>
      <c r="T26" s="65" t="s">
        <v>22</v>
      </c>
      <c r="U26" s="65" t="s">
        <v>23</v>
      </c>
      <c r="V26" s="65" t="s">
        <v>24</v>
      </c>
      <c r="W26" s="65" t="s">
        <v>25</v>
      </c>
      <c r="X26" s="65" t="s">
        <v>26</v>
      </c>
      <c r="Y26" s="65" t="s">
        <v>27</v>
      </c>
      <c r="Z26" s="66" t="s">
        <v>28</v>
      </c>
      <c r="AA26" s="66" t="s">
        <v>29</v>
      </c>
      <c r="AB26" s="66" t="s">
        <v>30</v>
      </c>
      <c r="AC26" s="66" t="s">
        <v>31</v>
      </c>
      <c r="AD26" s="66" t="s">
        <v>32</v>
      </c>
      <c r="AE26" s="66" t="s">
        <v>33</v>
      </c>
      <c r="AF26" s="66" t="s">
        <v>34</v>
      </c>
      <c r="AG26" s="66" t="s">
        <v>35</v>
      </c>
      <c r="AH26" s="62"/>
      <c r="AI26" s="62"/>
    </row>
    <row r="27" ht="14.25" customHeight="1">
      <c r="A27" s="68">
        <v>1.0</v>
      </c>
      <c r="B27" s="90" t="s">
        <v>2576</v>
      </c>
      <c r="C27" s="246" t="s">
        <v>2627</v>
      </c>
      <c r="D27" s="76" t="s">
        <v>53</v>
      </c>
      <c r="E27" s="76" t="s">
        <v>53</v>
      </c>
      <c r="F27" s="67"/>
      <c r="G27" s="90" t="s">
        <v>2628</v>
      </c>
      <c r="H27" s="76"/>
      <c r="I27" s="68"/>
      <c r="J27" s="67"/>
      <c r="K27" s="68"/>
      <c r="L27" s="76"/>
      <c r="M27" s="68"/>
      <c r="N27" s="68"/>
      <c r="O27" s="68"/>
      <c r="P27" s="68"/>
      <c r="Q27" s="67"/>
      <c r="R27" s="68"/>
      <c r="S27" s="68"/>
      <c r="T27" s="76"/>
      <c r="U27" s="76"/>
      <c r="V27" s="76"/>
      <c r="W27" s="68"/>
      <c r="X27" s="68"/>
      <c r="Y27" s="76" t="s">
        <v>2629</v>
      </c>
      <c r="Z27" s="54"/>
      <c r="AA27" s="139"/>
      <c r="AB27" s="139"/>
      <c r="AC27" s="139"/>
      <c r="AD27" s="139"/>
      <c r="AE27" s="139"/>
      <c r="AF27" s="139"/>
      <c r="AG27" s="139"/>
      <c r="AH27" s="62"/>
      <c r="AI27" s="62"/>
    </row>
    <row r="28" ht="14.25" customHeight="1">
      <c r="A28" s="68">
        <v>2.0</v>
      </c>
      <c r="B28" s="90" t="s">
        <v>2630</v>
      </c>
      <c r="C28" s="246" t="s">
        <v>2631</v>
      </c>
      <c r="D28" s="76" t="s">
        <v>53</v>
      </c>
      <c r="E28" s="247" t="s">
        <v>53</v>
      </c>
      <c r="F28" s="67"/>
      <c r="G28" s="67" t="s">
        <v>142</v>
      </c>
      <c r="H28" s="67"/>
      <c r="I28" s="68"/>
      <c r="J28" s="67"/>
      <c r="K28" s="116"/>
      <c r="L28" s="68"/>
      <c r="M28" s="67"/>
      <c r="N28" s="67"/>
      <c r="O28" s="67"/>
      <c r="P28" s="67"/>
      <c r="Q28" s="67"/>
      <c r="R28" s="67"/>
      <c r="S28" s="67"/>
      <c r="T28" s="67"/>
      <c r="U28" s="67"/>
      <c r="V28" s="67"/>
      <c r="W28" s="67"/>
      <c r="X28" s="67"/>
      <c r="Y28" s="90" t="s">
        <v>2629</v>
      </c>
      <c r="Z28" s="131"/>
      <c r="AA28" s="131"/>
      <c r="AB28" s="131"/>
      <c r="AC28" s="131"/>
      <c r="AD28" s="131"/>
      <c r="AE28" s="131"/>
      <c r="AF28" s="131"/>
      <c r="AG28" s="131"/>
      <c r="AH28" s="62"/>
      <c r="AI28" s="62"/>
    </row>
    <row r="29" ht="14.25" customHeight="1">
      <c r="A29" s="68">
        <v>3.0</v>
      </c>
      <c r="B29" s="76" t="s">
        <v>2632</v>
      </c>
      <c r="C29" s="246" t="s">
        <v>2633</v>
      </c>
      <c r="D29" s="76" t="s">
        <v>53</v>
      </c>
      <c r="E29" s="76" t="s">
        <v>53</v>
      </c>
      <c r="F29" s="68"/>
      <c r="G29" s="90" t="s">
        <v>2628</v>
      </c>
      <c r="H29" s="68"/>
      <c r="I29" s="68"/>
      <c r="J29" s="68"/>
      <c r="K29" s="68"/>
      <c r="L29" s="68"/>
      <c r="M29" s="87"/>
      <c r="N29" s="87"/>
      <c r="O29" s="68"/>
      <c r="P29" s="87"/>
      <c r="Q29" s="73"/>
      <c r="R29" s="73"/>
      <c r="S29" s="68"/>
      <c r="T29" s="73"/>
      <c r="U29" s="73"/>
      <c r="V29" s="68"/>
      <c r="W29" s="73"/>
      <c r="X29" s="68"/>
      <c r="Y29" s="76" t="s">
        <v>2629</v>
      </c>
      <c r="Z29" s="130"/>
      <c r="AA29" s="130"/>
      <c r="AB29" s="130"/>
      <c r="AC29" s="130"/>
      <c r="AD29" s="130"/>
      <c r="AE29" s="130"/>
      <c r="AF29" s="130"/>
      <c r="AG29" s="130"/>
      <c r="AH29" s="62"/>
      <c r="AI29" s="62"/>
    </row>
    <row r="30" ht="14.25" customHeight="1">
      <c r="A30" s="68">
        <v>4.0</v>
      </c>
      <c r="B30" s="67" t="s">
        <v>2544</v>
      </c>
      <c r="C30" s="90" t="s">
        <v>2634</v>
      </c>
      <c r="D30" s="76" t="s">
        <v>53</v>
      </c>
      <c r="E30" s="76" t="s">
        <v>53</v>
      </c>
      <c r="F30" s="68"/>
      <c r="G30" s="67" t="s">
        <v>142</v>
      </c>
      <c r="H30" s="68"/>
      <c r="I30" s="68" t="s">
        <v>53</v>
      </c>
      <c r="J30" s="68"/>
      <c r="K30" s="68"/>
      <c r="L30" s="81"/>
      <c r="M30" s="68"/>
      <c r="N30" s="68"/>
      <c r="O30" s="68"/>
      <c r="P30" s="68"/>
      <c r="Q30" s="68"/>
      <c r="R30" s="68"/>
      <c r="S30" s="68"/>
      <c r="T30" s="68"/>
      <c r="U30" s="68"/>
      <c r="V30" s="68"/>
      <c r="W30" s="87"/>
      <c r="X30" s="68"/>
      <c r="Y30" s="76" t="s">
        <v>2629</v>
      </c>
      <c r="Z30" s="138" t="s">
        <v>146</v>
      </c>
      <c r="AA30" s="138" t="s">
        <v>54</v>
      </c>
      <c r="AB30" s="138" t="s">
        <v>54</v>
      </c>
      <c r="AC30" s="138" t="s">
        <v>54</v>
      </c>
      <c r="AD30" s="138" t="s">
        <v>145</v>
      </c>
      <c r="AE30" s="138" t="s">
        <v>146</v>
      </c>
      <c r="AF30" s="138" t="s">
        <v>145</v>
      </c>
      <c r="AG30" s="138" t="s">
        <v>54</v>
      </c>
      <c r="AH30" s="62"/>
      <c r="AI30" s="62"/>
    </row>
    <row r="31" ht="14.25" customHeight="1">
      <c r="A31" s="68">
        <v>5.0</v>
      </c>
      <c r="B31" s="90" t="s">
        <v>2635</v>
      </c>
      <c r="C31" s="246" t="s">
        <v>2636</v>
      </c>
      <c r="D31" s="248" t="s">
        <v>53</v>
      </c>
      <c r="E31" s="76" t="s">
        <v>53</v>
      </c>
      <c r="F31" s="68"/>
      <c r="G31" s="90" t="s">
        <v>2628</v>
      </c>
      <c r="H31" s="68"/>
      <c r="I31" s="68" t="s">
        <v>2171</v>
      </c>
      <c r="J31" s="76"/>
      <c r="K31" s="76"/>
      <c r="L31" s="76"/>
      <c r="M31" s="68"/>
      <c r="N31" s="73"/>
      <c r="O31" s="68"/>
      <c r="P31" s="68"/>
      <c r="Q31" s="68"/>
      <c r="R31" s="68"/>
      <c r="S31" s="68"/>
      <c r="T31" s="68"/>
      <c r="U31" s="68"/>
      <c r="V31" s="68"/>
      <c r="W31" s="68"/>
      <c r="X31" s="68"/>
      <c r="Y31" s="76" t="s">
        <v>2629</v>
      </c>
      <c r="Z31" s="130"/>
      <c r="AA31" s="130"/>
      <c r="AB31" s="130"/>
      <c r="AC31" s="130"/>
      <c r="AD31" s="130"/>
      <c r="AE31" s="130"/>
      <c r="AF31" s="130"/>
      <c r="AG31" s="130"/>
      <c r="AH31" s="62"/>
      <c r="AI31" s="62"/>
    </row>
    <row r="32" ht="14.25" customHeight="1">
      <c r="A32" s="68"/>
      <c r="B32" s="68"/>
      <c r="C32" s="68"/>
      <c r="D32" s="68"/>
      <c r="E32" s="68"/>
      <c r="F32" s="68"/>
      <c r="G32" s="67"/>
      <c r="H32" s="68"/>
      <c r="I32" s="68"/>
      <c r="J32" s="68"/>
      <c r="K32" s="68"/>
      <c r="L32" s="68"/>
      <c r="M32" s="68"/>
      <c r="N32" s="81"/>
      <c r="O32" s="68"/>
      <c r="P32" s="68"/>
      <c r="Q32" s="68"/>
      <c r="R32" s="68"/>
      <c r="S32" s="68"/>
      <c r="T32" s="68"/>
      <c r="U32" s="68"/>
      <c r="V32" s="68"/>
      <c r="W32" s="68"/>
      <c r="X32" s="68"/>
      <c r="Y32" s="68"/>
      <c r="Z32" s="131"/>
      <c r="AA32" s="131"/>
      <c r="AB32" s="131"/>
      <c r="AC32" s="131"/>
      <c r="AD32" s="131"/>
      <c r="AE32" s="131"/>
      <c r="AF32" s="131"/>
      <c r="AG32" s="131"/>
      <c r="AH32" s="62"/>
      <c r="AI32" s="62"/>
    </row>
    <row r="33" ht="14.25"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130"/>
      <c r="AA33" s="130"/>
      <c r="AB33" s="130"/>
      <c r="AC33" s="130"/>
      <c r="AD33" s="130"/>
      <c r="AE33" s="130"/>
      <c r="AF33" s="130"/>
      <c r="AG33" s="130"/>
      <c r="AH33" s="62"/>
      <c r="AI33" s="62"/>
    </row>
    <row r="34" ht="14.25" customHeight="1">
      <c r="A34" s="3"/>
      <c r="C34" s="237"/>
      <c r="K34" s="3"/>
      <c r="Z34" s="62"/>
      <c r="AA34" s="62"/>
      <c r="AB34" s="62"/>
      <c r="AC34" s="62"/>
      <c r="AD34" s="62"/>
      <c r="AE34" s="62"/>
      <c r="AF34" s="62"/>
      <c r="AG34" s="62"/>
      <c r="AH34" s="62"/>
      <c r="AI34" s="62"/>
    </row>
    <row r="35" ht="14.25" customHeight="1">
      <c r="A35" s="3"/>
      <c r="C35" s="237" t="s">
        <v>216</v>
      </c>
      <c r="D35" s="45">
        <v>0.0</v>
      </c>
      <c r="K35" s="3"/>
      <c r="Z35" s="62"/>
      <c r="AA35" s="62"/>
      <c r="AB35" s="62"/>
      <c r="AC35" s="62"/>
      <c r="AD35" s="62"/>
      <c r="AE35" s="62"/>
      <c r="AF35" s="62"/>
      <c r="AG35" s="62"/>
      <c r="AH35" s="62"/>
      <c r="AI35" s="62"/>
    </row>
    <row r="36" ht="14.25" customHeight="1">
      <c r="A36" s="3"/>
      <c r="C36" s="237" t="s">
        <v>2625</v>
      </c>
      <c r="D36" s="45">
        <v>0.0</v>
      </c>
      <c r="K36" s="3"/>
      <c r="Z36" s="62"/>
      <c r="AA36" s="62"/>
      <c r="AB36" s="62"/>
      <c r="AC36" s="62"/>
      <c r="AD36" s="62"/>
      <c r="AE36" s="62"/>
      <c r="AF36" s="62"/>
      <c r="AG36" s="62"/>
      <c r="AH36" s="62"/>
      <c r="AI36" s="62"/>
    </row>
    <row r="37" ht="14.25" customHeight="1">
      <c r="A37" s="3"/>
      <c r="C37" s="237" t="s">
        <v>217</v>
      </c>
      <c r="D37" s="45">
        <v>5.0</v>
      </c>
      <c r="K37" s="3"/>
      <c r="Z37" s="62"/>
      <c r="AA37" s="62"/>
      <c r="AB37" s="62"/>
      <c r="AC37" s="62"/>
      <c r="AD37" s="62"/>
      <c r="AE37" s="62"/>
      <c r="AF37" s="62"/>
      <c r="AG37" s="62"/>
      <c r="AH37" s="62"/>
      <c r="AI37" s="62"/>
    </row>
    <row r="38" ht="14.25" customHeight="1">
      <c r="A38" s="3"/>
      <c r="C38" s="237"/>
      <c r="K38" s="3"/>
      <c r="Z38" s="62"/>
      <c r="AA38" s="62"/>
      <c r="AB38" s="62"/>
      <c r="AC38" s="62"/>
      <c r="AD38" s="62"/>
      <c r="AE38" s="62"/>
      <c r="AF38" s="62"/>
      <c r="AG38" s="62"/>
      <c r="AH38" s="62"/>
      <c r="AI38" s="62"/>
    </row>
    <row r="39" ht="14.25" customHeight="1">
      <c r="A39" s="3"/>
      <c r="C39" s="237"/>
      <c r="K39" s="3"/>
      <c r="Z39" s="62"/>
      <c r="AA39" s="62"/>
      <c r="AB39" s="62"/>
      <c r="AC39" s="62"/>
      <c r="AD39" s="62"/>
      <c r="AE39" s="62"/>
      <c r="AF39" s="62"/>
      <c r="AG39" s="62"/>
      <c r="AH39" s="62"/>
      <c r="AI39" s="62"/>
    </row>
    <row r="40" ht="14.25" customHeight="1">
      <c r="A40" s="3"/>
      <c r="C40" s="237"/>
      <c r="K40" s="3"/>
      <c r="Z40" s="62"/>
      <c r="AA40" s="62"/>
      <c r="AB40" s="62"/>
      <c r="AC40" s="62"/>
      <c r="AD40" s="62"/>
      <c r="AE40" s="62"/>
      <c r="AF40" s="62"/>
      <c r="AG40" s="62"/>
      <c r="AH40" s="62"/>
      <c r="AI40" s="62"/>
    </row>
    <row r="41" ht="14.25" customHeight="1">
      <c r="A41" s="3"/>
      <c r="C41" s="237"/>
      <c r="K41" s="3"/>
      <c r="Z41" s="62"/>
      <c r="AA41" s="62"/>
      <c r="AB41" s="62"/>
      <c r="AC41" s="62"/>
      <c r="AD41" s="62"/>
      <c r="AE41" s="62"/>
      <c r="AF41" s="62"/>
      <c r="AG41" s="62"/>
      <c r="AH41" s="62"/>
      <c r="AI41" s="62"/>
    </row>
    <row r="42" ht="14.25" customHeight="1">
      <c r="A42" s="3"/>
      <c r="C42" s="237"/>
      <c r="K42" s="3"/>
      <c r="Z42" s="62"/>
      <c r="AA42" s="62"/>
      <c r="AB42" s="62"/>
      <c r="AC42" s="62"/>
      <c r="AD42" s="62"/>
      <c r="AE42" s="62"/>
      <c r="AF42" s="62"/>
      <c r="AG42" s="62"/>
      <c r="AH42" s="62"/>
      <c r="AI42" s="62"/>
    </row>
    <row r="43" ht="14.25" customHeight="1">
      <c r="A43" s="3"/>
      <c r="C43" s="237"/>
      <c r="K43" s="3"/>
      <c r="Z43" s="62"/>
      <c r="AA43" s="62"/>
      <c r="AB43" s="62"/>
      <c r="AC43" s="62"/>
      <c r="AD43" s="62"/>
      <c r="AE43" s="62"/>
      <c r="AF43" s="62"/>
      <c r="AG43" s="62"/>
      <c r="AH43" s="62"/>
      <c r="AI43" s="62"/>
    </row>
    <row r="44" ht="14.25" customHeight="1">
      <c r="A44" s="3"/>
      <c r="C44" s="237"/>
      <c r="K44" s="3"/>
      <c r="Z44" s="62"/>
      <c r="AA44" s="62"/>
      <c r="AB44" s="62"/>
      <c r="AC44" s="62"/>
      <c r="AD44" s="62"/>
      <c r="AE44" s="62"/>
      <c r="AF44" s="62"/>
      <c r="AG44" s="62"/>
      <c r="AH44" s="62"/>
      <c r="AI44" s="62"/>
    </row>
    <row r="45" ht="14.25" customHeight="1">
      <c r="A45" s="3"/>
      <c r="C45" s="237"/>
      <c r="K45" s="3"/>
      <c r="Z45" s="62"/>
      <c r="AA45" s="62"/>
      <c r="AB45" s="62"/>
      <c r="AC45" s="62"/>
      <c r="AD45" s="62"/>
      <c r="AE45" s="62"/>
      <c r="AF45" s="62"/>
      <c r="AG45" s="62"/>
      <c r="AH45" s="62"/>
      <c r="AI45" s="62"/>
    </row>
    <row r="46" ht="14.25" customHeight="1">
      <c r="A46" s="3"/>
      <c r="C46" s="237"/>
      <c r="K46" s="3"/>
      <c r="Z46" s="62"/>
      <c r="AA46" s="62"/>
      <c r="AB46" s="62"/>
      <c r="AC46" s="62"/>
      <c r="AD46" s="62"/>
      <c r="AE46" s="62"/>
      <c r="AF46" s="62"/>
      <c r="AG46" s="62"/>
      <c r="AH46" s="62"/>
      <c r="AI46" s="62"/>
    </row>
    <row r="47" ht="14.25" customHeight="1">
      <c r="A47" s="3"/>
      <c r="C47" s="237"/>
      <c r="K47" s="3"/>
      <c r="Z47" s="62"/>
      <c r="AA47" s="62"/>
      <c r="AB47" s="62"/>
      <c r="AC47" s="62"/>
      <c r="AD47" s="62"/>
      <c r="AE47" s="62"/>
      <c r="AF47" s="62"/>
      <c r="AG47" s="62"/>
      <c r="AH47" s="62"/>
      <c r="AI47" s="62"/>
    </row>
    <row r="48" ht="14.25" customHeight="1">
      <c r="A48" s="3"/>
      <c r="C48" s="237"/>
      <c r="K48" s="3"/>
      <c r="Z48" s="62"/>
      <c r="AA48" s="62"/>
      <c r="AB48" s="62"/>
      <c r="AC48" s="62"/>
      <c r="AD48" s="62"/>
      <c r="AE48" s="62"/>
      <c r="AF48" s="62"/>
      <c r="AG48" s="62"/>
      <c r="AH48" s="62"/>
      <c r="AI48" s="62"/>
    </row>
    <row r="49" ht="14.25" customHeight="1">
      <c r="A49" s="3"/>
      <c r="C49" s="237"/>
      <c r="K49" s="3"/>
      <c r="Z49" s="62"/>
      <c r="AA49" s="62"/>
      <c r="AB49" s="62"/>
      <c r="AC49" s="62"/>
      <c r="AD49" s="62"/>
      <c r="AE49" s="62"/>
      <c r="AF49" s="62"/>
      <c r="AG49" s="62"/>
      <c r="AH49" s="62"/>
      <c r="AI49" s="62"/>
    </row>
    <row r="50" ht="14.25" customHeight="1">
      <c r="A50" s="3"/>
      <c r="C50" s="237"/>
      <c r="K50" s="3"/>
      <c r="Z50" s="62"/>
      <c r="AA50" s="62"/>
      <c r="AB50" s="62"/>
      <c r="AC50" s="62"/>
      <c r="AD50" s="62"/>
      <c r="AE50" s="62"/>
      <c r="AF50" s="62"/>
      <c r="AG50" s="62"/>
      <c r="AH50" s="62"/>
      <c r="AI50" s="62"/>
    </row>
    <row r="51" ht="14.25" customHeight="1">
      <c r="A51" s="3"/>
      <c r="C51" s="237"/>
      <c r="K51" s="3"/>
      <c r="Z51" s="62"/>
      <c r="AA51" s="62"/>
      <c r="AB51" s="62"/>
      <c r="AC51" s="62"/>
      <c r="AD51" s="62"/>
      <c r="AE51" s="62"/>
      <c r="AF51" s="62"/>
      <c r="AG51" s="62"/>
      <c r="AH51" s="62"/>
      <c r="AI51" s="62"/>
    </row>
    <row r="52" ht="14.25" customHeight="1">
      <c r="A52" s="3"/>
      <c r="C52" s="237"/>
      <c r="K52" s="3"/>
      <c r="Z52" s="62"/>
      <c r="AA52" s="62"/>
      <c r="AB52" s="62"/>
      <c r="AC52" s="62"/>
      <c r="AD52" s="62"/>
      <c r="AE52" s="62"/>
      <c r="AF52" s="62"/>
      <c r="AG52" s="62"/>
      <c r="AH52" s="62"/>
      <c r="AI52" s="62"/>
    </row>
    <row r="53" ht="14.25" customHeight="1">
      <c r="A53" s="3"/>
      <c r="C53" s="237"/>
      <c r="K53" s="3"/>
      <c r="Z53" s="62"/>
      <c r="AA53" s="62"/>
      <c r="AB53" s="62"/>
      <c r="AC53" s="62"/>
      <c r="AD53" s="62"/>
      <c r="AE53" s="62"/>
      <c r="AF53" s="62"/>
      <c r="AG53" s="62"/>
      <c r="AH53" s="62"/>
      <c r="AI53" s="62"/>
    </row>
    <row r="54" ht="14.25" customHeight="1">
      <c r="A54" s="3"/>
      <c r="C54" s="237"/>
      <c r="K54" s="3"/>
      <c r="Z54" s="62"/>
      <c r="AA54" s="62"/>
      <c r="AB54" s="62"/>
      <c r="AC54" s="62"/>
      <c r="AD54" s="62"/>
      <c r="AE54" s="62"/>
      <c r="AF54" s="62"/>
      <c r="AG54" s="62"/>
      <c r="AH54" s="62"/>
      <c r="AI54" s="62"/>
    </row>
    <row r="55" ht="14.25" customHeight="1">
      <c r="A55" s="3"/>
      <c r="C55" s="237"/>
      <c r="K55" s="3"/>
      <c r="Z55" s="62"/>
      <c r="AA55" s="62"/>
      <c r="AB55" s="62"/>
      <c r="AC55" s="62"/>
      <c r="AD55" s="62"/>
      <c r="AE55" s="62"/>
      <c r="AF55" s="62"/>
      <c r="AG55" s="62"/>
      <c r="AH55" s="62"/>
      <c r="AI55" s="62"/>
    </row>
    <row r="56" ht="14.25" customHeight="1">
      <c r="A56" s="3"/>
      <c r="C56" s="237"/>
      <c r="K56" s="3"/>
      <c r="Z56" s="62"/>
      <c r="AA56" s="62"/>
      <c r="AB56" s="62"/>
      <c r="AC56" s="62"/>
      <c r="AD56" s="62"/>
      <c r="AE56" s="62"/>
      <c r="AF56" s="62"/>
      <c r="AG56" s="62"/>
      <c r="AH56" s="62"/>
      <c r="AI56" s="62"/>
    </row>
    <row r="57" ht="14.25" customHeight="1">
      <c r="A57" s="3"/>
      <c r="C57" s="237"/>
      <c r="K57" s="3"/>
      <c r="Z57" s="62"/>
      <c r="AA57" s="62"/>
      <c r="AB57" s="62"/>
      <c r="AC57" s="62"/>
      <c r="AD57" s="62"/>
      <c r="AE57" s="62"/>
      <c r="AF57" s="62"/>
      <c r="AG57" s="62"/>
      <c r="AH57" s="62"/>
      <c r="AI57" s="62"/>
    </row>
    <row r="58" ht="14.25" customHeight="1">
      <c r="A58" s="3"/>
      <c r="C58" s="237"/>
      <c r="K58" s="3"/>
      <c r="Z58" s="62"/>
      <c r="AA58" s="62"/>
      <c r="AB58" s="62"/>
      <c r="AC58" s="62"/>
      <c r="AD58" s="62"/>
      <c r="AE58" s="62"/>
      <c r="AF58" s="62"/>
      <c r="AG58" s="62"/>
      <c r="AH58" s="62"/>
      <c r="AI58" s="62"/>
    </row>
    <row r="59" ht="14.25" customHeight="1">
      <c r="A59" s="3"/>
      <c r="C59" s="237"/>
      <c r="K59" s="3"/>
      <c r="Z59" s="62"/>
      <c r="AA59" s="62"/>
      <c r="AB59" s="62"/>
      <c r="AC59" s="62"/>
      <c r="AD59" s="62"/>
      <c r="AE59" s="62"/>
      <c r="AF59" s="62"/>
      <c r="AG59" s="62"/>
      <c r="AH59" s="62"/>
      <c r="AI59" s="62"/>
    </row>
    <row r="60" ht="14.25" customHeight="1">
      <c r="A60" s="3"/>
      <c r="C60" s="237"/>
      <c r="K60" s="3"/>
      <c r="Z60" s="62"/>
      <c r="AA60" s="62"/>
      <c r="AB60" s="62"/>
      <c r="AC60" s="62"/>
      <c r="AD60" s="62"/>
      <c r="AE60" s="62"/>
      <c r="AF60" s="62"/>
      <c r="AG60" s="62"/>
      <c r="AH60" s="62"/>
      <c r="AI60" s="62"/>
    </row>
    <row r="61" ht="14.25" customHeight="1">
      <c r="A61" s="3"/>
      <c r="C61" s="237"/>
      <c r="K61" s="3"/>
      <c r="Z61" s="62"/>
      <c r="AA61" s="62"/>
      <c r="AB61" s="62"/>
      <c r="AC61" s="62"/>
      <c r="AD61" s="62"/>
      <c r="AE61" s="62"/>
      <c r="AF61" s="62"/>
      <c r="AG61" s="62"/>
      <c r="AH61" s="62"/>
      <c r="AI61" s="62"/>
    </row>
    <row r="62" ht="14.25" customHeight="1">
      <c r="A62" s="3"/>
      <c r="C62" s="237"/>
      <c r="K62" s="3"/>
      <c r="Z62" s="62"/>
      <c r="AA62" s="62"/>
      <c r="AB62" s="62"/>
      <c r="AC62" s="62"/>
      <c r="AD62" s="62"/>
      <c r="AE62" s="62"/>
      <c r="AF62" s="62"/>
      <c r="AG62" s="62"/>
      <c r="AH62" s="62"/>
      <c r="AI62" s="62"/>
    </row>
    <row r="63" ht="14.25" customHeight="1">
      <c r="A63" s="3"/>
      <c r="C63" s="237"/>
      <c r="K63" s="3"/>
      <c r="Z63" s="62"/>
      <c r="AA63" s="62"/>
      <c r="AB63" s="62"/>
      <c r="AC63" s="62"/>
      <c r="AD63" s="62"/>
      <c r="AE63" s="62"/>
      <c r="AF63" s="62"/>
      <c r="AG63" s="62"/>
      <c r="AH63" s="62"/>
      <c r="AI63" s="62"/>
    </row>
    <row r="64" ht="14.25" customHeight="1">
      <c r="A64" s="3"/>
      <c r="C64" s="237"/>
      <c r="K64" s="3"/>
      <c r="Z64" s="62"/>
      <c r="AA64" s="62"/>
      <c r="AB64" s="62"/>
      <c r="AC64" s="62"/>
      <c r="AD64" s="62"/>
      <c r="AE64" s="62"/>
      <c r="AF64" s="62"/>
      <c r="AG64" s="62"/>
      <c r="AH64" s="62"/>
      <c r="AI64" s="62"/>
    </row>
    <row r="65" ht="14.25" customHeight="1">
      <c r="A65" s="3"/>
      <c r="C65" s="237"/>
      <c r="K65" s="3"/>
      <c r="Z65" s="62"/>
      <c r="AA65" s="62"/>
      <c r="AB65" s="62"/>
      <c r="AC65" s="62"/>
      <c r="AD65" s="62"/>
      <c r="AE65" s="62"/>
      <c r="AF65" s="62"/>
      <c r="AG65" s="62"/>
      <c r="AH65" s="62"/>
      <c r="AI65" s="62"/>
    </row>
    <row r="66" ht="14.25" customHeight="1">
      <c r="A66" s="3"/>
      <c r="C66" s="237"/>
      <c r="K66" s="3"/>
      <c r="Z66" s="62"/>
      <c r="AA66" s="62"/>
      <c r="AB66" s="62"/>
      <c r="AC66" s="62"/>
      <c r="AD66" s="62"/>
      <c r="AE66" s="62"/>
      <c r="AF66" s="62"/>
      <c r="AG66" s="62"/>
      <c r="AH66" s="62"/>
      <c r="AI66" s="62"/>
    </row>
    <row r="67" ht="14.25" customHeight="1">
      <c r="A67" s="3"/>
      <c r="C67" s="237"/>
      <c r="K67" s="3"/>
      <c r="Z67" s="62"/>
      <c r="AA67" s="62"/>
      <c r="AB67" s="62"/>
      <c r="AC67" s="62"/>
      <c r="AD67" s="62"/>
      <c r="AE67" s="62"/>
      <c r="AF67" s="62"/>
      <c r="AG67" s="62"/>
      <c r="AH67" s="62"/>
      <c r="AI67" s="62"/>
    </row>
    <row r="68" ht="14.25" customHeight="1">
      <c r="A68" s="3"/>
      <c r="C68" s="237"/>
      <c r="K68" s="3"/>
      <c r="Z68" s="62"/>
      <c r="AA68" s="62"/>
      <c r="AB68" s="62"/>
      <c r="AC68" s="62"/>
      <c r="AD68" s="62"/>
      <c r="AE68" s="62"/>
      <c r="AF68" s="62"/>
      <c r="AG68" s="62"/>
      <c r="AH68" s="62"/>
      <c r="AI68" s="62"/>
    </row>
    <row r="69" ht="14.25" customHeight="1">
      <c r="A69" s="3"/>
      <c r="C69" s="237"/>
      <c r="K69" s="3"/>
      <c r="Z69" s="62"/>
      <c r="AA69" s="62"/>
      <c r="AB69" s="62"/>
      <c r="AC69" s="62"/>
      <c r="AD69" s="62"/>
      <c r="AE69" s="62"/>
      <c r="AF69" s="62"/>
      <c r="AG69" s="62"/>
      <c r="AH69" s="62"/>
      <c r="AI69" s="62"/>
    </row>
    <row r="70" ht="14.25" customHeight="1">
      <c r="A70" s="3"/>
      <c r="C70" s="237"/>
      <c r="K70" s="3"/>
      <c r="Z70" s="62"/>
      <c r="AA70" s="62"/>
      <c r="AB70" s="62"/>
      <c r="AC70" s="62"/>
      <c r="AD70" s="62"/>
      <c r="AE70" s="62"/>
      <c r="AF70" s="62"/>
      <c r="AG70" s="62"/>
      <c r="AH70" s="62"/>
      <c r="AI70" s="62"/>
    </row>
    <row r="71" ht="14.25" customHeight="1">
      <c r="A71" s="3"/>
      <c r="C71" s="237"/>
      <c r="K71" s="3"/>
      <c r="Z71" s="62"/>
      <c r="AA71" s="62"/>
      <c r="AB71" s="62"/>
      <c r="AC71" s="62"/>
      <c r="AD71" s="62"/>
      <c r="AE71" s="62"/>
      <c r="AF71" s="62"/>
      <c r="AG71" s="62"/>
      <c r="AH71" s="62"/>
      <c r="AI71" s="62"/>
    </row>
    <row r="72" ht="14.25" customHeight="1">
      <c r="A72" s="3"/>
      <c r="C72" s="237"/>
      <c r="K72" s="3"/>
      <c r="Z72" s="62"/>
      <c r="AA72" s="62"/>
      <c r="AB72" s="62"/>
      <c r="AC72" s="62"/>
      <c r="AD72" s="62"/>
      <c r="AE72" s="62"/>
      <c r="AF72" s="62"/>
      <c r="AG72" s="62"/>
      <c r="AH72" s="62"/>
      <c r="AI72" s="62"/>
    </row>
    <row r="73" ht="14.25" customHeight="1">
      <c r="A73" s="3"/>
      <c r="C73" s="237"/>
      <c r="K73" s="3"/>
      <c r="Z73" s="62"/>
      <c r="AA73" s="62"/>
      <c r="AB73" s="62"/>
      <c r="AC73" s="62"/>
      <c r="AD73" s="62"/>
      <c r="AE73" s="62"/>
      <c r="AF73" s="62"/>
      <c r="AG73" s="62"/>
      <c r="AH73" s="62"/>
      <c r="AI73" s="62"/>
    </row>
    <row r="74" ht="14.25" customHeight="1">
      <c r="A74" s="3"/>
      <c r="C74" s="237"/>
      <c r="K74" s="3"/>
      <c r="Z74" s="62"/>
      <c r="AA74" s="62"/>
      <c r="AB74" s="62"/>
      <c r="AC74" s="62"/>
      <c r="AD74" s="62"/>
      <c r="AE74" s="62"/>
      <c r="AF74" s="62"/>
      <c r="AG74" s="62"/>
      <c r="AH74" s="62"/>
      <c r="AI74" s="62"/>
    </row>
    <row r="75" ht="14.25" customHeight="1">
      <c r="A75" s="3"/>
      <c r="C75" s="237"/>
      <c r="K75" s="3"/>
      <c r="Z75" s="62"/>
      <c r="AA75" s="62"/>
      <c r="AB75" s="62"/>
      <c r="AC75" s="62"/>
      <c r="AD75" s="62"/>
      <c r="AE75" s="62"/>
      <c r="AF75" s="62"/>
      <c r="AG75" s="62"/>
      <c r="AH75" s="62"/>
      <c r="AI75" s="62"/>
    </row>
    <row r="76" ht="14.25" customHeight="1">
      <c r="A76" s="3"/>
      <c r="C76" s="237"/>
      <c r="K76" s="3"/>
      <c r="Z76" s="62"/>
      <c r="AA76" s="62"/>
      <c r="AB76" s="62"/>
      <c r="AC76" s="62"/>
      <c r="AD76" s="62"/>
      <c r="AE76" s="62"/>
      <c r="AF76" s="62"/>
      <c r="AG76" s="62"/>
      <c r="AH76" s="62"/>
      <c r="AI76" s="62"/>
    </row>
    <row r="77" ht="14.25" customHeight="1">
      <c r="A77" s="3"/>
      <c r="C77" s="237"/>
      <c r="K77" s="3"/>
      <c r="Z77" s="62"/>
      <c r="AA77" s="62"/>
      <c r="AB77" s="62"/>
      <c r="AC77" s="62"/>
      <c r="AD77" s="62"/>
      <c r="AE77" s="62"/>
      <c r="AF77" s="62"/>
      <c r="AG77" s="62"/>
      <c r="AH77" s="62"/>
      <c r="AI77" s="62"/>
    </row>
    <row r="78" ht="14.25" customHeight="1">
      <c r="A78" s="3"/>
      <c r="C78" s="237"/>
      <c r="K78" s="3"/>
      <c r="Z78" s="62"/>
      <c r="AA78" s="62"/>
      <c r="AB78" s="62"/>
      <c r="AC78" s="62"/>
      <c r="AD78" s="62"/>
      <c r="AE78" s="62"/>
      <c r="AF78" s="62"/>
      <c r="AG78" s="62"/>
      <c r="AH78" s="62"/>
      <c r="AI78" s="62"/>
    </row>
    <row r="79" ht="14.25" customHeight="1">
      <c r="A79" s="3"/>
      <c r="C79" s="237"/>
      <c r="K79" s="3"/>
      <c r="Z79" s="62"/>
      <c r="AA79" s="62"/>
      <c r="AB79" s="62"/>
      <c r="AC79" s="62"/>
      <c r="AD79" s="62"/>
      <c r="AE79" s="62"/>
      <c r="AF79" s="62"/>
      <c r="AG79" s="62"/>
      <c r="AH79" s="62"/>
      <c r="AI79" s="62"/>
    </row>
    <row r="80" ht="14.25" customHeight="1">
      <c r="A80" s="3"/>
      <c r="C80" s="237"/>
      <c r="K80" s="3"/>
      <c r="Z80" s="62"/>
      <c r="AA80" s="62"/>
      <c r="AB80" s="62"/>
      <c r="AC80" s="62"/>
      <c r="AD80" s="62"/>
      <c r="AE80" s="62"/>
      <c r="AF80" s="62"/>
      <c r="AG80" s="62"/>
      <c r="AH80" s="62"/>
      <c r="AI80" s="62"/>
    </row>
    <row r="81" ht="14.25" customHeight="1">
      <c r="A81" s="3"/>
      <c r="C81" s="237"/>
      <c r="K81" s="3"/>
      <c r="Z81" s="62"/>
      <c r="AA81" s="62"/>
      <c r="AB81" s="62"/>
      <c r="AC81" s="62"/>
      <c r="AD81" s="62"/>
      <c r="AE81" s="62"/>
      <c r="AF81" s="62"/>
      <c r="AG81" s="62"/>
      <c r="AH81" s="62"/>
      <c r="AI81" s="62"/>
    </row>
    <row r="82" ht="14.25" customHeight="1">
      <c r="A82" s="3"/>
      <c r="C82" s="237"/>
      <c r="K82" s="3"/>
      <c r="Z82" s="62"/>
      <c r="AA82" s="62"/>
      <c r="AB82" s="62"/>
      <c r="AC82" s="62"/>
      <c r="AD82" s="62"/>
      <c r="AE82" s="62"/>
      <c r="AF82" s="62"/>
      <c r="AG82" s="62"/>
      <c r="AH82" s="62"/>
      <c r="AI82" s="62"/>
    </row>
    <row r="83" ht="14.25" customHeight="1">
      <c r="A83" s="3"/>
      <c r="C83" s="237"/>
      <c r="K83" s="3"/>
      <c r="Z83" s="62"/>
      <c r="AA83" s="62"/>
      <c r="AB83" s="62"/>
      <c r="AC83" s="62"/>
      <c r="AD83" s="62"/>
      <c r="AE83" s="62"/>
      <c r="AF83" s="62"/>
      <c r="AG83" s="62"/>
      <c r="AH83" s="62"/>
      <c r="AI83" s="62"/>
    </row>
    <row r="84" ht="14.25" customHeight="1">
      <c r="A84" s="3"/>
      <c r="C84" s="237"/>
      <c r="K84" s="3"/>
      <c r="Z84" s="62"/>
      <c r="AA84" s="62"/>
      <c r="AB84" s="62"/>
      <c r="AC84" s="62"/>
      <c r="AD84" s="62"/>
      <c r="AE84" s="62"/>
      <c r="AF84" s="62"/>
      <c r="AG84" s="62"/>
      <c r="AH84" s="62"/>
      <c r="AI84" s="62"/>
    </row>
    <row r="85" ht="14.25" customHeight="1">
      <c r="A85" s="3"/>
      <c r="C85" s="237"/>
      <c r="K85" s="3"/>
      <c r="Z85" s="62"/>
      <c r="AA85" s="62"/>
      <c r="AB85" s="62"/>
      <c r="AC85" s="62"/>
      <c r="AD85" s="62"/>
      <c r="AE85" s="62"/>
      <c r="AF85" s="62"/>
      <c r="AG85" s="62"/>
      <c r="AH85" s="62"/>
      <c r="AI85" s="62"/>
    </row>
    <row r="86" ht="14.25" customHeight="1">
      <c r="A86" s="3"/>
      <c r="C86" s="237"/>
      <c r="K86" s="3"/>
      <c r="Z86" s="62"/>
      <c r="AA86" s="62"/>
      <c r="AB86" s="62"/>
      <c r="AC86" s="62"/>
      <c r="AD86" s="62"/>
      <c r="AE86" s="62"/>
      <c r="AF86" s="62"/>
      <c r="AG86" s="62"/>
      <c r="AH86" s="62"/>
      <c r="AI86" s="62"/>
    </row>
    <row r="87" ht="14.25" customHeight="1">
      <c r="A87" s="3"/>
      <c r="C87" s="237"/>
      <c r="K87" s="3"/>
      <c r="Z87" s="62"/>
      <c r="AA87" s="62"/>
      <c r="AB87" s="62"/>
      <c r="AC87" s="62"/>
      <c r="AD87" s="62"/>
      <c r="AE87" s="62"/>
      <c r="AF87" s="62"/>
      <c r="AG87" s="62"/>
      <c r="AH87" s="62"/>
      <c r="AI87" s="62"/>
    </row>
    <row r="88" ht="14.25" customHeight="1">
      <c r="A88" s="3"/>
      <c r="C88" s="237"/>
      <c r="K88" s="3"/>
      <c r="Z88" s="62"/>
      <c r="AA88" s="62"/>
      <c r="AB88" s="62"/>
      <c r="AC88" s="62"/>
      <c r="AD88" s="62"/>
      <c r="AE88" s="62"/>
      <c r="AF88" s="62"/>
      <c r="AG88" s="62"/>
      <c r="AH88" s="62"/>
      <c r="AI88" s="62"/>
    </row>
    <row r="89" ht="14.25" customHeight="1">
      <c r="A89" s="3"/>
      <c r="C89" s="237"/>
      <c r="K89" s="3"/>
      <c r="Z89" s="62"/>
      <c r="AA89" s="62"/>
      <c r="AB89" s="62"/>
      <c r="AC89" s="62"/>
      <c r="AD89" s="62"/>
      <c r="AE89" s="62"/>
      <c r="AF89" s="62"/>
      <c r="AG89" s="62"/>
      <c r="AH89" s="62"/>
      <c r="AI89" s="62"/>
    </row>
    <row r="90" ht="14.25" customHeight="1">
      <c r="A90" s="3"/>
      <c r="C90" s="237"/>
      <c r="K90" s="3"/>
      <c r="Z90" s="62"/>
      <c r="AA90" s="62"/>
      <c r="AB90" s="62"/>
      <c r="AC90" s="62"/>
      <c r="AD90" s="62"/>
      <c r="AE90" s="62"/>
      <c r="AF90" s="62"/>
      <c r="AG90" s="62"/>
      <c r="AH90" s="62"/>
      <c r="AI90" s="62"/>
    </row>
    <row r="91" ht="14.25" customHeight="1">
      <c r="A91" s="3"/>
      <c r="C91" s="237"/>
      <c r="K91" s="3"/>
      <c r="Z91" s="62"/>
      <c r="AA91" s="62"/>
      <c r="AB91" s="62"/>
      <c r="AC91" s="62"/>
      <c r="AD91" s="62"/>
      <c r="AE91" s="62"/>
      <c r="AF91" s="62"/>
      <c r="AG91" s="62"/>
      <c r="AH91" s="62"/>
      <c r="AI91" s="62"/>
    </row>
    <row r="92" ht="14.25" customHeight="1">
      <c r="A92" s="3"/>
      <c r="C92" s="237"/>
      <c r="K92" s="3"/>
      <c r="Z92" s="62"/>
      <c r="AA92" s="62"/>
      <c r="AB92" s="62"/>
      <c r="AC92" s="62"/>
      <c r="AD92" s="62"/>
      <c r="AE92" s="62"/>
      <c r="AF92" s="62"/>
      <c r="AG92" s="62"/>
      <c r="AH92" s="62"/>
      <c r="AI92" s="62"/>
    </row>
    <row r="93" ht="14.25" customHeight="1">
      <c r="A93" s="3"/>
      <c r="C93" s="237"/>
      <c r="K93" s="3"/>
      <c r="Z93" s="62"/>
      <c r="AA93" s="62"/>
      <c r="AB93" s="62"/>
      <c r="AC93" s="62"/>
      <c r="AD93" s="62"/>
      <c r="AE93" s="62"/>
      <c r="AF93" s="62"/>
      <c r="AG93" s="62"/>
      <c r="AH93" s="62"/>
      <c r="AI93" s="62"/>
    </row>
    <row r="94" ht="14.25" customHeight="1">
      <c r="A94" s="3"/>
      <c r="C94" s="237"/>
      <c r="K94" s="3"/>
      <c r="Z94" s="62"/>
      <c r="AA94" s="62"/>
      <c r="AB94" s="62"/>
      <c r="AC94" s="62"/>
      <c r="AD94" s="62"/>
      <c r="AE94" s="62"/>
      <c r="AF94" s="62"/>
      <c r="AG94" s="62"/>
      <c r="AH94" s="62"/>
      <c r="AI94" s="62"/>
    </row>
    <row r="95" ht="14.25" customHeight="1">
      <c r="A95" s="3"/>
      <c r="C95" s="237"/>
      <c r="K95" s="3"/>
      <c r="Z95" s="62"/>
      <c r="AA95" s="62"/>
      <c r="AB95" s="62"/>
      <c r="AC95" s="62"/>
      <c r="AD95" s="62"/>
      <c r="AE95" s="62"/>
      <c r="AF95" s="62"/>
      <c r="AG95" s="62"/>
      <c r="AH95" s="62"/>
      <c r="AI95" s="62"/>
    </row>
    <row r="96" ht="14.25" customHeight="1">
      <c r="A96" s="3"/>
      <c r="C96" s="237"/>
      <c r="K96" s="3"/>
      <c r="Z96" s="62"/>
      <c r="AA96" s="62"/>
      <c r="AB96" s="62"/>
      <c r="AC96" s="62"/>
      <c r="AD96" s="62"/>
      <c r="AE96" s="62"/>
      <c r="AF96" s="62"/>
      <c r="AG96" s="62"/>
      <c r="AH96" s="62"/>
      <c r="AI96" s="62"/>
    </row>
    <row r="97" ht="14.25" customHeight="1">
      <c r="A97" s="3"/>
      <c r="C97" s="237"/>
      <c r="K97" s="3"/>
      <c r="Z97" s="62"/>
      <c r="AA97" s="62"/>
      <c r="AB97" s="62"/>
      <c r="AC97" s="62"/>
      <c r="AD97" s="62"/>
      <c r="AE97" s="62"/>
      <c r="AF97" s="62"/>
      <c r="AG97" s="62"/>
      <c r="AH97" s="62"/>
      <c r="AI97" s="62"/>
    </row>
    <row r="98" ht="14.25" customHeight="1">
      <c r="A98" s="3"/>
      <c r="C98" s="237"/>
      <c r="K98" s="3"/>
      <c r="Z98" s="62"/>
      <c r="AA98" s="62"/>
      <c r="AB98" s="62"/>
      <c r="AC98" s="62"/>
      <c r="AD98" s="62"/>
      <c r="AE98" s="62"/>
      <c r="AF98" s="62"/>
      <c r="AG98" s="62"/>
      <c r="AH98" s="62"/>
      <c r="AI98" s="62"/>
    </row>
    <row r="99" ht="14.25" customHeight="1">
      <c r="A99" s="3"/>
      <c r="C99" s="237"/>
      <c r="K99" s="3"/>
      <c r="Z99" s="62"/>
      <c r="AA99" s="62"/>
      <c r="AB99" s="62"/>
      <c r="AC99" s="62"/>
      <c r="AD99" s="62"/>
      <c r="AE99" s="62"/>
      <c r="AF99" s="62"/>
      <c r="AG99" s="62"/>
      <c r="AH99" s="62"/>
      <c r="AI99" s="62"/>
    </row>
    <row r="100" ht="14.25" customHeight="1">
      <c r="A100" s="3"/>
      <c r="C100" s="237"/>
      <c r="K100" s="3"/>
      <c r="Z100" s="62"/>
      <c r="AA100" s="62"/>
      <c r="AB100" s="62"/>
      <c r="AC100" s="62"/>
      <c r="AD100" s="62"/>
      <c r="AE100" s="62"/>
      <c r="AF100" s="62"/>
      <c r="AG100" s="62"/>
      <c r="AH100" s="62"/>
      <c r="AI100" s="62"/>
    </row>
    <row r="101" ht="14.25" customHeight="1">
      <c r="A101" s="3"/>
      <c r="C101" s="237"/>
      <c r="K101" s="3"/>
      <c r="Z101" s="62"/>
      <c r="AA101" s="62"/>
      <c r="AB101" s="62"/>
      <c r="AC101" s="62"/>
      <c r="AD101" s="62"/>
      <c r="AE101" s="62"/>
      <c r="AF101" s="62"/>
      <c r="AG101" s="62"/>
      <c r="AH101" s="62"/>
      <c r="AI101" s="62"/>
    </row>
    <row r="102" ht="14.25" customHeight="1">
      <c r="A102" s="3"/>
      <c r="C102" s="237"/>
      <c r="K102" s="3"/>
      <c r="Z102" s="62"/>
      <c r="AA102" s="62"/>
      <c r="AB102" s="62"/>
      <c r="AC102" s="62"/>
      <c r="AD102" s="62"/>
      <c r="AE102" s="62"/>
      <c r="AF102" s="62"/>
      <c r="AG102" s="62"/>
      <c r="AH102" s="62"/>
      <c r="AI102" s="62"/>
    </row>
    <row r="103" ht="14.25" customHeight="1">
      <c r="A103" s="3"/>
      <c r="C103" s="237"/>
      <c r="K103" s="3"/>
      <c r="Z103" s="62"/>
      <c r="AA103" s="62"/>
      <c r="AB103" s="62"/>
      <c r="AC103" s="62"/>
      <c r="AD103" s="62"/>
      <c r="AE103" s="62"/>
      <c r="AF103" s="62"/>
      <c r="AG103" s="62"/>
      <c r="AH103" s="62"/>
      <c r="AI103" s="62"/>
    </row>
    <row r="104" ht="14.25" customHeight="1">
      <c r="A104" s="3"/>
      <c r="C104" s="237"/>
      <c r="K104" s="3"/>
      <c r="Z104" s="62"/>
      <c r="AA104" s="62"/>
      <c r="AB104" s="62"/>
      <c r="AC104" s="62"/>
      <c r="AD104" s="62"/>
      <c r="AE104" s="62"/>
      <c r="AF104" s="62"/>
      <c r="AG104" s="62"/>
      <c r="AH104" s="62"/>
      <c r="AI104" s="62"/>
    </row>
    <row r="105" ht="14.25" customHeight="1">
      <c r="A105" s="3"/>
      <c r="C105" s="237"/>
      <c r="K105" s="3"/>
      <c r="Z105" s="62"/>
      <c r="AA105" s="62"/>
      <c r="AB105" s="62"/>
      <c r="AC105" s="62"/>
      <c r="AD105" s="62"/>
      <c r="AE105" s="62"/>
      <c r="AF105" s="62"/>
      <c r="AG105" s="62"/>
      <c r="AH105" s="62"/>
      <c r="AI105" s="62"/>
    </row>
    <row r="106" ht="14.25" customHeight="1">
      <c r="A106" s="3"/>
      <c r="C106" s="237"/>
      <c r="K106" s="3"/>
      <c r="Z106" s="62"/>
      <c r="AA106" s="62"/>
      <c r="AB106" s="62"/>
      <c r="AC106" s="62"/>
      <c r="AD106" s="62"/>
      <c r="AE106" s="62"/>
      <c r="AF106" s="62"/>
      <c r="AG106" s="62"/>
      <c r="AH106" s="62"/>
      <c r="AI106" s="62"/>
    </row>
    <row r="107" ht="14.25" customHeight="1">
      <c r="A107" s="3"/>
      <c r="C107" s="237"/>
      <c r="K107" s="3"/>
      <c r="Z107" s="62"/>
      <c r="AA107" s="62"/>
      <c r="AB107" s="62"/>
      <c r="AC107" s="62"/>
      <c r="AD107" s="62"/>
      <c r="AE107" s="62"/>
      <c r="AF107" s="62"/>
      <c r="AG107" s="62"/>
      <c r="AH107" s="62"/>
      <c r="AI107" s="62"/>
    </row>
    <row r="108" ht="14.25" customHeight="1">
      <c r="A108" s="3"/>
      <c r="C108" s="237"/>
      <c r="K108" s="3"/>
      <c r="Z108" s="62"/>
      <c r="AA108" s="62"/>
      <c r="AB108" s="62"/>
      <c r="AC108" s="62"/>
      <c r="AD108" s="62"/>
      <c r="AE108" s="62"/>
      <c r="AF108" s="62"/>
      <c r="AG108" s="62"/>
      <c r="AH108" s="62"/>
      <c r="AI108" s="62"/>
    </row>
    <row r="109" ht="14.25" customHeight="1">
      <c r="A109" s="3"/>
      <c r="C109" s="237"/>
      <c r="K109" s="3"/>
      <c r="Z109" s="62"/>
      <c r="AA109" s="62"/>
      <c r="AB109" s="62"/>
      <c r="AC109" s="62"/>
      <c r="AD109" s="62"/>
      <c r="AE109" s="62"/>
      <c r="AF109" s="62"/>
      <c r="AG109" s="62"/>
      <c r="AH109" s="62"/>
      <c r="AI109" s="62"/>
    </row>
    <row r="110" ht="14.25" customHeight="1">
      <c r="A110" s="3"/>
      <c r="C110" s="237"/>
      <c r="K110" s="3"/>
      <c r="Z110" s="62"/>
      <c r="AA110" s="62"/>
      <c r="AB110" s="62"/>
      <c r="AC110" s="62"/>
      <c r="AD110" s="62"/>
      <c r="AE110" s="62"/>
      <c r="AF110" s="62"/>
      <c r="AG110" s="62"/>
      <c r="AH110" s="62"/>
      <c r="AI110" s="62"/>
    </row>
    <row r="111" ht="14.25" customHeight="1">
      <c r="A111" s="3"/>
      <c r="C111" s="237"/>
      <c r="K111" s="3"/>
      <c r="Z111" s="62"/>
      <c r="AA111" s="62"/>
      <c r="AB111" s="62"/>
      <c r="AC111" s="62"/>
      <c r="AD111" s="62"/>
      <c r="AE111" s="62"/>
      <c r="AF111" s="62"/>
      <c r="AG111" s="62"/>
      <c r="AH111" s="62"/>
      <c r="AI111" s="62"/>
    </row>
    <row r="112" ht="14.25" customHeight="1">
      <c r="A112" s="3"/>
      <c r="C112" s="237"/>
      <c r="K112" s="3"/>
      <c r="Z112" s="62"/>
      <c r="AA112" s="62"/>
      <c r="AB112" s="62"/>
      <c r="AC112" s="62"/>
      <c r="AD112" s="62"/>
      <c r="AE112" s="62"/>
      <c r="AF112" s="62"/>
      <c r="AG112" s="62"/>
      <c r="AH112" s="62"/>
      <c r="AI112" s="62"/>
    </row>
    <row r="113" ht="14.25" customHeight="1">
      <c r="A113" s="3"/>
      <c r="C113" s="237"/>
      <c r="K113" s="3"/>
      <c r="Z113" s="62"/>
      <c r="AA113" s="62"/>
      <c r="AB113" s="62"/>
      <c r="AC113" s="62"/>
      <c r="AD113" s="62"/>
      <c r="AE113" s="62"/>
      <c r="AF113" s="62"/>
      <c r="AG113" s="62"/>
      <c r="AH113" s="62"/>
      <c r="AI113" s="62"/>
    </row>
    <row r="114" ht="14.25" customHeight="1">
      <c r="A114" s="3"/>
      <c r="C114" s="237"/>
      <c r="K114" s="3"/>
      <c r="Z114" s="62"/>
      <c r="AA114" s="62"/>
      <c r="AB114" s="62"/>
      <c r="AC114" s="62"/>
      <c r="AD114" s="62"/>
      <c r="AE114" s="62"/>
      <c r="AF114" s="62"/>
      <c r="AG114" s="62"/>
      <c r="AH114" s="62"/>
      <c r="AI114" s="62"/>
    </row>
    <row r="115" ht="14.25" customHeight="1">
      <c r="A115" s="3"/>
      <c r="C115" s="237"/>
      <c r="K115" s="3"/>
      <c r="Z115" s="62"/>
      <c r="AA115" s="62"/>
      <c r="AB115" s="62"/>
      <c r="AC115" s="62"/>
      <c r="AD115" s="62"/>
      <c r="AE115" s="62"/>
      <c r="AF115" s="62"/>
      <c r="AG115" s="62"/>
      <c r="AH115" s="62"/>
      <c r="AI115" s="62"/>
    </row>
    <row r="116" ht="14.25" customHeight="1">
      <c r="A116" s="3"/>
      <c r="C116" s="237"/>
      <c r="K116" s="3"/>
      <c r="Z116" s="62"/>
      <c r="AA116" s="62"/>
      <c r="AB116" s="62"/>
      <c r="AC116" s="62"/>
      <c r="AD116" s="62"/>
      <c r="AE116" s="62"/>
      <c r="AF116" s="62"/>
      <c r="AG116" s="62"/>
      <c r="AH116" s="62"/>
      <c r="AI116" s="62"/>
    </row>
    <row r="117" ht="14.25" customHeight="1">
      <c r="A117" s="3"/>
      <c r="C117" s="237"/>
      <c r="K117" s="3"/>
      <c r="Z117" s="62"/>
      <c r="AA117" s="62"/>
      <c r="AB117" s="62"/>
      <c r="AC117" s="62"/>
      <c r="AD117" s="62"/>
      <c r="AE117" s="62"/>
      <c r="AF117" s="62"/>
      <c r="AG117" s="62"/>
      <c r="AH117" s="62"/>
      <c r="AI117" s="62"/>
    </row>
    <row r="118" ht="14.25" customHeight="1">
      <c r="A118" s="3"/>
      <c r="C118" s="237"/>
      <c r="K118" s="3"/>
      <c r="Z118" s="62"/>
      <c r="AA118" s="62"/>
      <c r="AB118" s="62"/>
      <c r="AC118" s="62"/>
      <c r="AD118" s="62"/>
      <c r="AE118" s="62"/>
      <c r="AF118" s="62"/>
      <c r="AG118" s="62"/>
      <c r="AH118" s="62"/>
      <c r="AI118" s="62"/>
    </row>
    <row r="119" ht="14.25" customHeight="1">
      <c r="A119" s="3"/>
      <c r="C119" s="237"/>
      <c r="K119" s="3"/>
      <c r="Z119" s="62"/>
      <c r="AA119" s="62"/>
      <c r="AB119" s="62"/>
      <c r="AC119" s="62"/>
      <c r="AD119" s="62"/>
      <c r="AE119" s="62"/>
      <c r="AF119" s="62"/>
      <c r="AG119" s="62"/>
      <c r="AH119" s="62"/>
      <c r="AI119" s="62"/>
    </row>
    <row r="120" ht="14.25" customHeight="1">
      <c r="A120" s="3"/>
      <c r="C120" s="237"/>
      <c r="K120" s="3"/>
      <c r="Z120" s="62"/>
      <c r="AA120" s="62"/>
      <c r="AB120" s="62"/>
      <c r="AC120" s="62"/>
      <c r="AD120" s="62"/>
      <c r="AE120" s="62"/>
      <c r="AF120" s="62"/>
      <c r="AG120" s="62"/>
      <c r="AH120" s="62"/>
      <c r="AI120" s="62"/>
    </row>
    <row r="121" ht="14.25" customHeight="1">
      <c r="A121" s="3"/>
      <c r="C121" s="237"/>
      <c r="K121" s="3"/>
      <c r="Z121" s="62"/>
      <c r="AA121" s="62"/>
      <c r="AB121" s="62"/>
      <c r="AC121" s="62"/>
      <c r="AD121" s="62"/>
      <c r="AE121" s="62"/>
      <c r="AF121" s="62"/>
      <c r="AG121" s="62"/>
      <c r="AH121" s="62"/>
      <c r="AI121" s="62"/>
    </row>
    <row r="122" ht="14.25" customHeight="1">
      <c r="A122" s="3"/>
      <c r="C122" s="237"/>
      <c r="K122" s="3"/>
      <c r="Z122" s="62"/>
      <c r="AA122" s="62"/>
      <c r="AB122" s="62"/>
      <c r="AC122" s="62"/>
      <c r="AD122" s="62"/>
      <c r="AE122" s="62"/>
      <c r="AF122" s="62"/>
      <c r="AG122" s="62"/>
      <c r="AH122" s="62"/>
      <c r="AI122" s="62"/>
    </row>
    <row r="123" ht="14.25" customHeight="1">
      <c r="A123" s="3"/>
      <c r="C123" s="237"/>
      <c r="K123" s="3"/>
      <c r="Z123" s="62"/>
      <c r="AA123" s="62"/>
      <c r="AB123" s="62"/>
      <c r="AC123" s="62"/>
      <c r="AD123" s="62"/>
      <c r="AE123" s="62"/>
      <c r="AF123" s="62"/>
      <c r="AG123" s="62"/>
      <c r="AH123" s="62"/>
      <c r="AI123" s="62"/>
    </row>
    <row r="124" ht="14.25" customHeight="1">
      <c r="A124" s="3"/>
      <c r="C124" s="237"/>
      <c r="K124" s="3"/>
      <c r="Z124" s="62"/>
      <c r="AA124" s="62"/>
      <c r="AB124" s="62"/>
      <c r="AC124" s="62"/>
      <c r="AD124" s="62"/>
      <c r="AE124" s="62"/>
      <c r="AF124" s="62"/>
      <c r="AG124" s="62"/>
      <c r="AH124" s="62"/>
      <c r="AI124" s="62"/>
    </row>
    <row r="125" ht="14.25" customHeight="1">
      <c r="A125" s="3"/>
      <c r="C125" s="237"/>
      <c r="K125" s="3"/>
      <c r="Z125" s="62"/>
      <c r="AA125" s="62"/>
      <c r="AB125" s="62"/>
      <c r="AC125" s="62"/>
      <c r="AD125" s="62"/>
      <c r="AE125" s="62"/>
      <c r="AF125" s="62"/>
      <c r="AG125" s="62"/>
      <c r="AH125" s="62"/>
      <c r="AI125" s="62"/>
    </row>
    <row r="126" ht="14.25" customHeight="1">
      <c r="A126" s="3"/>
      <c r="C126" s="237"/>
      <c r="K126" s="3"/>
      <c r="Z126" s="62"/>
      <c r="AA126" s="62"/>
      <c r="AB126" s="62"/>
      <c r="AC126" s="62"/>
      <c r="AD126" s="62"/>
      <c r="AE126" s="62"/>
      <c r="AF126" s="62"/>
      <c r="AG126" s="62"/>
      <c r="AH126" s="62"/>
      <c r="AI126" s="62"/>
    </row>
    <row r="127" ht="14.25" customHeight="1">
      <c r="A127" s="3"/>
      <c r="C127" s="237"/>
      <c r="K127" s="3"/>
      <c r="Z127" s="62"/>
      <c r="AA127" s="62"/>
      <c r="AB127" s="62"/>
      <c r="AC127" s="62"/>
      <c r="AD127" s="62"/>
      <c r="AE127" s="62"/>
      <c r="AF127" s="62"/>
      <c r="AG127" s="62"/>
      <c r="AH127" s="62"/>
      <c r="AI127" s="62"/>
    </row>
    <row r="128" ht="14.25" customHeight="1">
      <c r="A128" s="3"/>
      <c r="C128" s="237"/>
      <c r="K128" s="3"/>
      <c r="Z128" s="62"/>
      <c r="AA128" s="62"/>
      <c r="AB128" s="62"/>
      <c r="AC128" s="62"/>
      <c r="AD128" s="62"/>
      <c r="AE128" s="62"/>
      <c r="AF128" s="62"/>
      <c r="AG128" s="62"/>
      <c r="AH128" s="62"/>
      <c r="AI128" s="62"/>
    </row>
    <row r="129" ht="14.25" customHeight="1">
      <c r="A129" s="3"/>
      <c r="C129" s="237"/>
      <c r="K129" s="3"/>
      <c r="Z129" s="62"/>
      <c r="AA129" s="62"/>
      <c r="AB129" s="62"/>
      <c r="AC129" s="62"/>
      <c r="AD129" s="62"/>
      <c r="AE129" s="62"/>
      <c r="AF129" s="62"/>
      <c r="AG129" s="62"/>
      <c r="AH129" s="62"/>
      <c r="AI129" s="62"/>
    </row>
    <row r="130" ht="14.25" customHeight="1">
      <c r="A130" s="3"/>
      <c r="C130" s="237"/>
      <c r="K130" s="3"/>
      <c r="Z130" s="62"/>
      <c r="AA130" s="62"/>
      <c r="AB130" s="62"/>
      <c r="AC130" s="62"/>
      <c r="AD130" s="62"/>
      <c r="AE130" s="62"/>
      <c r="AF130" s="62"/>
      <c r="AG130" s="62"/>
      <c r="AH130" s="62"/>
      <c r="AI130" s="62"/>
    </row>
    <row r="131" ht="14.25" customHeight="1">
      <c r="A131" s="3"/>
      <c r="C131" s="237"/>
      <c r="K131" s="3"/>
      <c r="Z131" s="62"/>
      <c r="AA131" s="62"/>
      <c r="AB131" s="62"/>
      <c r="AC131" s="62"/>
      <c r="AD131" s="62"/>
      <c r="AE131" s="62"/>
      <c r="AF131" s="62"/>
      <c r="AG131" s="62"/>
      <c r="AH131" s="62"/>
      <c r="AI131" s="62"/>
    </row>
    <row r="132" ht="14.25" customHeight="1">
      <c r="A132" s="3"/>
      <c r="C132" s="237"/>
      <c r="K132" s="3"/>
      <c r="Z132" s="62"/>
      <c r="AA132" s="62"/>
      <c r="AB132" s="62"/>
      <c r="AC132" s="62"/>
      <c r="AD132" s="62"/>
      <c r="AE132" s="62"/>
      <c r="AF132" s="62"/>
      <c r="AG132" s="62"/>
      <c r="AH132" s="62"/>
      <c r="AI132" s="62"/>
    </row>
    <row r="133" ht="14.25" customHeight="1">
      <c r="A133" s="3"/>
      <c r="C133" s="237"/>
      <c r="K133" s="3"/>
      <c r="Z133" s="62"/>
      <c r="AA133" s="62"/>
      <c r="AB133" s="62"/>
      <c r="AC133" s="62"/>
      <c r="AD133" s="62"/>
      <c r="AE133" s="62"/>
      <c r="AF133" s="62"/>
      <c r="AG133" s="62"/>
      <c r="AH133" s="62"/>
      <c r="AI133" s="62"/>
    </row>
    <row r="134" ht="14.25" customHeight="1">
      <c r="A134" s="3"/>
      <c r="C134" s="237"/>
      <c r="K134" s="3"/>
      <c r="Z134" s="62"/>
      <c r="AA134" s="62"/>
      <c r="AB134" s="62"/>
      <c r="AC134" s="62"/>
      <c r="AD134" s="62"/>
      <c r="AE134" s="62"/>
      <c r="AF134" s="62"/>
      <c r="AG134" s="62"/>
      <c r="AH134" s="62"/>
      <c r="AI134" s="62"/>
    </row>
    <row r="135" ht="14.25" customHeight="1">
      <c r="A135" s="3"/>
      <c r="C135" s="237"/>
      <c r="K135" s="3"/>
      <c r="Z135" s="62"/>
      <c r="AA135" s="62"/>
      <c r="AB135" s="62"/>
      <c r="AC135" s="62"/>
      <c r="AD135" s="62"/>
      <c r="AE135" s="62"/>
      <c r="AF135" s="62"/>
      <c r="AG135" s="62"/>
      <c r="AH135" s="62"/>
      <c r="AI135" s="62"/>
    </row>
    <row r="136" ht="14.25" customHeight="1">
      <c r="A136" s="3"/>
      <c r="C136" s="237"/>
      <c r="K136" s="3"/>
      <c r="Z136" s="62"/>
      <c r="AA136" s="62"/>
      <c r="AB136" s="62"/>
      <c r="AC136" s="62"/>
      <c r="AD136" s="62"/>
      <c r="AE136" s="62"/>
      <c r="AF136" s="62"/>
      <c r="AG136" s="62"/>
      <c r="AH136" s="62"/>
      <c r="AI136" s="62"/>
    </row>
    <row r="137" ht="14.25" customHeight="1">
      <c r="A137" s="3"/>
      <c r="C137" s="237"/>
      <c r="K137" s="3"/>
      <c r="Z137" s="62"/>
      <c r="AA137" s="62"/>
      <c r="AB137" s="62"/>
      <c r="AC137" s="62"/>
      <c r="AD137" s="62"/>
      <c r="AE137" s="62"/>
      <c r="AF137" s="62"/>
      <c r="AG137" s="62"/>
      <c r="AH137" s="62"/>
      <c r="AI137" s="62"/>
    </row>
    <row r="138" ht="14.25" customHeight="1">
      <c r="A138" s="3"/>
      <c r="C138" s="237"/>
      <c r="K138" s="3"/>
      <c r="Z138" s="62"/>
      <c r="AA138" s="62"/>
      <c r="AB138" s="62"/>
      <c r="AC138" s="62"/>
      <c r="AD138" s="62"/>
      <c r="AE138" s="62"/>
      <c r="AF138" s="62"/>
      <c r="AG138" s="62"/>
      <c r="AH138" s="62"/>
      <c r="AI138" s="62"/>
    </row>
    <row r="139" ht="14.25" customHeight="1">
      <c r="A139" s="3"/>
      <c r="C139" s="237"/>
      <c r="K139" s="3"/>
      <c r="Z139" s="62"/>
      <c r="AA139" s="62"/>
      <c r="AB139" s="62"/>
      <c r="AC139" s="62"/>
      <c r="AD139" s="62"/>
      <c r="AE139" s="62"/>
      <c r="AF139" s="62"/>
      <c r="AG139" s="62"/>
      <c r="AH139" s="62"/>
      <c r="AI139" s="62"/>
    </row>
    <row r="140" ht="14.25" customHeight="1">
      <c r="A140" s="3"/>
      <c r="C140" s="237"/>
      <c r="K140" s="3"/>
      <c r="Z140" s="62"/>
      <c r="AA140" s="62"/>
      <c r="AB140" s="62"/>
      <c r="AC140" s="62"/>
      <c r="AD140" s="62"/>
      <c r="AE140" s="62"/>
      <c r="AF140" s="62"/>
      <c r="AG140" s="62"/>
      <c r="AH140" s="62"/>
      <c r="AI140" s="62"/>
    </row>
    <row r="141" ht="14.25" customHeight="1">
      <c r="A141" s="3"/>
      <c r="C141" s="237"/>
      <c r="K141" s="3"/>
      <c r="Z141" s="62"/>
      <c r="AA141" s="62"/>
      <c r="AB141" s="62"/>
      <c r="AC141" s="62"/>
      <c r="AD141" s="62"/>
      <c r="AE141" s="62"/>
      <c r="AF141" s="62"/>
      <c r="AG141" s="62"/>
      <c r="AH141" s="62"/>
      <c r="AI141" s="62"/>
    </row>
    <row r="142" ht="14.25" customHeight="1">
      <c r="A142" s="3"/>
      <c r="C142" s="237"/>
      <c r="K142" s="3"/>
      <c r="Z142" s="62"/>
      <c r="AA142" s="62"/>
      <c r="AB142" s="62"/>
      <c r="AC142" s="62"/>
      <c r="AD142" s="62"/>
      <c r="AE142" s="62"/>
      <c r="AF142" s="62"/>
      <c r="AG142" s="62"/>
      <c r="AH142" s="62"/>
      <c r="AI142" s="62"/>
    </row>
    <row r="143" ht="14.25" customHeight="1">
      <c r="A143" s="3"/>
      <c r="C143" s="237"/>
      <c r="K143" s="3"/>
      <c r="Z143" s="62"/>
      <c r="AA143" s="62"/>
      <c r="AB143" s="62"/>
      <c r="AC143" s="62"/>
      <c r="AD143" s="62"/>
      <c r="AE143" s="62"/>
      <c r="AF143" s="62"/>
      <c r="AG143" s="62"/>
      <c r="AH143" s="62"/>
      <c r="AI143" s="62"/>
    </row>
    <row r="144" ht="14.25" customHeight="1">
      <c r="A144" s="3"/>
      <c r="C144" s="237"/>
      <c r="K144" s="3"/>
      <c r="Z144" s="62"/>
      <c r="AA144" s="62"/>
      <c r="AB144" s="62"/>
      <c r="AC144" s="62"/>
      <c r="AD144" s="62"/>
      <c r="AE144" s="62"/>
      <c r="AF144" s="62"/>
      <c r="AG144" s="62"/>
      <c r="AH144" s="62"/>
      <c r="AI144" s="62"/>
    </row>
    <row r="145" ht="14.25" customHeight="1">
      <c r="A145" s="3"/>
      <c r="C145" s="237"/>
      <c r="K145" s="3"/>
      <c r="Z145" s="62"/>
      <c r="AA145" s="62"/>
      <c r="AB145" s="62"/>
      <c r="AC145" s="62"/>
      <c r="AD145" s="62"/>
      <c r="AE145" s="62"/>
      <c r="AF145" s="62"/>
      <c r="AG145" s="62"/>
      <c r="AH145" s="62"/>
      <c r="AI145" s="62"/>
    </row>
    <row r="146" ht="14.25" customHeight="1">
      <c r="A146" s="3"/>
      <c r="C146" s="237"/>
      <c r="K146" s="3"/>
      <c r="Z146" s="62"/>
      <c r="AA146" s="62"/>
      <c r="AB146" s="62"/>
      <c r="AC146" s="62"/>
      <c r="AD146" s="62"/>
      <c r="AE146" s="62"/>
      <c r="AF146" s="62"/>
      <c r="AG146" s="62"/>
      <c r="AH146" s="62"/>
      <c r="AI146" s="62"/>
    </row>
    <row r="147" ht="14.25" customHeight="1">
      <c r="A147" s="3"/>
      <c r="C147" s="237"/>
      <c r="K147" s="3"/>
      <c r="Z147" s="62"/>
      <c r="AA147" s="62"/>
      <c r="AB147" s="62"/>
      <c r="AC147" s="62"/>
      <c r="AD147" s="62"/>
      <c r="AE147" s="62"/>
      <c r="AF147" s="62"/>
      <c r="AG147" s="62"/>
      <c r="AH147" s="62"/>
      <c r="AI147" s="62"/>
    </row>
    <row r="148" ht="14.25" customHeight="1">
      <c r="A148" s="3"/>
      <c r="C148" s="237"/>
      <c r="K148" s="3"/>
      <c r="Z148" s="62"/>
      <c r="AA148" s="62"/>
      <c r="AB148" s="62"/>
      <c r="AC148" s="62"/>
      <c r="AD148" s="62"/>
      <c r="AE148" s="62"/>
      <c r="AF148" s="62"/>
      <c r="AG148" s="62"/>
      <c r="AH148" s="62"/>
      <c r="AI148" s="62"/>
    </row>
    <row r="149" ht="14.25" customHeight="1">
      <c r="A149" s="3"/>
      <c r="C149" s="237"/>
      <c r="K149" s="3"/>
      <c r="Z149" s="62"/>
      <c r="AA149" s="62"/>
      <c r="AB149" s="62"/>
      <c r="AC149" s="62"/>
      <c r="AD149" s="62"/>
      <c r="AE149" s="62"/>
      <c r="AF149" s="62"/>
      <c r="AG149" s="62"/>
      <c r="AH149" s="62"/>
      <c r="AI149" s="62"/>
    </row>
    <row r="150" ht="14.25" customHeight="1">
      <c r="A150" s="3"/>
      <c r="C150" s="237"/>
      <c r="K150" s="3"/>
      <c r="Z150" s="62"/>
      <c r="AA150" s="62"/>
      <c r="AB150" s="62"/>
      <c r="AC150" s="62"/>
      <c r="AD150" s="62"/>
      <c r="AE150" s="62"/>
      <c r="AF150" s="62"/>
      <c r="AG150" s="62"/>
      <c r="AH150" s="62"/>
      <c r="AI150" s="62"/>
    </row>
    <row r="151" ht="14.25" customHeight="1">
      <c r="A151" s="3"/>
      <c r="C151" s="237"/>
      <c r="K151" s="3"/>
      <c r="Z151" s="62"/>
      <c r="AA151" s="62"/>
      <c r="AB151" s="62"/>
      <c r="AC151" s="62"/>
      <c r="AD151" s="62"/>
      <c r="AE151" s="62"/>
      <c r="AF151" s="62"/>
      <c r="AG151" s="62"/>
      <c r="AH151" s="62"/>
      <c r="AI151" s="62"/>
    </row>
    <row r="152" ht="14.25" customHeight="1">
      <c r="A152" s="3"/>
      <c r="C152" s="237"/>
      <c r="K152" s="3"/>
      <c r="Z152" s="62"/>
      <c r="AA152" s="62"/>
      <c r="AB152" s="62"/>
      <c r="AC152" s="62"/>
      <c r="AD152" s="62"/>
      <c r="AE152" s="62"/>
      <c r="AF152" s="62"/>
      <c r="AG152" s="62"/>
      <c r="AH152" s="62"/>
      <c r="AI152" s="62"/>
    </row>
    <row r="153" ht="14.25" customHeight="1">
      <c r="A153" s="3"/>
      <c r="C153" s="237"/>
      <c r="K153" s="3"/>
      <c r="Z153" s="62"/>
      <c r="AA153" s="62"/>
      <c r="AB153" s="62"/>
      <c r="AC153" s="62"/>
      <c r="AD153" s="62"/>
      <c r="AE153" s="62"/>
      <c r="AF153" s="62"/>
      <c r="AG153" s="62"/>
      <c r="AH153" s="62"/>
      <c r="AI153" s="62"/>
    </row>
    <row r="154" ht="14.25" customHeight="1">
      <c r="A154" s="3"/>
      <c r="C154" s="237"/>
      <c r="K154" s="3"/>
      <c r="Z154" s="62"/>
      <c r="AA154" s="62"/>
      <c r="AB154" s="62"/>
      <c r="AC154" s="62"/>
      <c r="AD154" s="62"/>
      <c r="AE154" s="62"/>
      <c r="AF154" s="62"/>
      <c r="AG154" s="62"/>
      <c r="AH154" s="62"/>
      <c r="AI154" s="62"/>
    </row>
    <row r="155" ht="14.25" customHeight="1">
      <c r="A155" s="3"/>
      <c r="C155" s="237"/>
      <c r="K155" s="3"/>
      <c r="Z155" s="62"/>
      <c r="AA155" s="62"/>
      <c r="AB155" s="62"/>
      <c r="AC155" s="62"/>
      <c r="AD155" s="62"/>
      <c r="AE155" s="62"/>
      <c r="AF155" s="62"/>
      <c r="AG155" s="62"/>
      <c r="AH155" s="62"/>
      <c r="AI155" s="62"/>
    </row>
    <row r="156" ht="14.25" customHeight="1">
      <c r="A156" s="3"/>
      <c r="C156" s="237"/>
      <c r="K156" s="3"/>
      <c r="Z156" s="62"/>
      <c r="AA156" s="62"/>
      <c r="AB156" s="62"/>
      <c r="AC156" s="62"/>
      <c r="AD156" s="62"/>
      <c r="AE156" s="62"/>
      <c r="AF156" s="62"/>
      <c r="AG156" s="62"/>
      <c r="AH156" s="62"/>
      <c r="AI156" s="62"/>
    </row>
    <row r="157" ht="14.25" customHeight="1">
      <c r="A157" s="3"/>
      <c r="C157" s="237"/>
      <c r="K157" s="3"/>
      <c r="Z157" s="62"/>
      <c r="AA157" s="62"/>
      <c r="AB157" s="62"/>
      <c r="AC157" s="62"/>
      <c r="AD157" s="62"/>
      <c r="AE157" s="62"/>
      <c r="AF157" s="62"/>
      <c r="AG157" s="62"/>
      <c r="AH157" s="62"/>
      <c r="AI157" s="62"/>
    </row>
    <row r="158" ht="14.25" customHeight="1">
      <c r="A158" s="3"/>
      <c r="C158" s="237"/>
      <c r="K158" s="3"/>
      <c r="Z158" s="62"/>
      <c r="AA158" s="62"/>
      <c r="AB158" s="62"/>
      <c r="AC158" s="62"/>
      <c r="AD158" s="62"/>
      <c r="AE158" s="62"/>
      <c r="AF158" s="62"/>
      <c r="AG158" s="62"/>
      <c r="AH158" s="62"/>
      <c r="AI158" s="62"/>
    </row>
    <row r="159" ht="14.25" customHeight="1">
      <c r="A159" s="3"/>
      <c r="C159" s="237"/>
      <c r="K159" s="3"/>
      <c r="Z159" s="62"/>
      <c r="AA159" s="62"/>
      <c r="AB159" s="62"/>
      <c r="AC159" s="62"/>
      <c r="AD159" s="62"/>
      <c r="AE159" s="62"/>
      <c r="AF159" s="62"/>
      <c r="AG159" s="62"/>
      <c r="AH159" s="62"/>
      <c r="AI159" s="62"/>
    </row>
    <row r="160" ht="14.25" customHeight="1">
      <c r="A160" s="3"/>
      <c r="C160" s="237"/>
      <c r="K160" s="3"/>
      <c r="Z160" s="62"/>
      <c r="AA160" s="62"/>
      <c r="AB160" s="62"/>
      <c r="AC160" s="62"/>
      <c r="AD160" s="62"/>
      <c r="AE160" s="62"/>
      <c r="AF160" s="62"/>
      <c r="AG160" s="62"/>
      <c r="AH160" s="62"/>
      <c r="AI160" s="62"/>
    </row>
    <row r="161" ht="14.25" customHeight="1">
      <c r="A161" s="3"/>
      <c r="C161" s="237"/>
      <c r="K161" s="3"/>
      <c r="Z161" s="62"/>
      <c r="AA161" s="62"/>
      <c r="AB161" s="62"/>
      <c r="AC161" s="62"/>
      <c r="AD161" s="62"/>
      <c r="AE161" s="62"/>
      <c r="AF161" s="62"/>
      <c r="AG161" s="62"/>
      <c r="AH161" s="62"/>
      <c r="AI161" s="62"/>
    </row>
    <row r="162" ht="14.25" customHeight="1">
      <c r="A162" s="3"/>
      <c r="C162" s="237"/>
      <c r="K162" s="3"/>
      <c r="Z162" s="62"/>
      <c r="AA162" s="62"/>
      <c r="AB162" s="62"/>
      <c r="AC162" s="62"/>
      <c r="AD162" s="62"/>
      <c r="AE162" s="62"/>
      <c r="AF162" s="62"/>
      <c r="AG162" s="62"/>
      <c r="AH162" s="62"/>
      <c r="AI162" s="62"/>
    </row>
    <row r="163" ht="14.25" customHeight="1">
      <c r="A163" s="3"/>
      <c r="C163" s="237"/>
      <c r="K163" s="3"/>
      <c r="Z163" s="62"/>
      <c r="AA163" s="62"/>
      <c r="AB163" s="62"/>
      <c r="AC163" s="62"/>
      <c r="AD163" s="62"/>
      <c r="AE163" s="62"/>
      <c r="AF163" s="62"/>
      <c r="AG163" s="62"/>
      <c r="AH163" s="62"/>
      <c r="AI163" s="62"/>
    </row>
    <row r="164" ht="14.25" customHeight="1">
      <c r="A164" s="3"/>
      <c r="C164" s="237"/>
      <c r="K164" s="3"/>
      <c r="Z164" s="62"/>
      <c r="AA164" s="62"/>
      <c r="AB164" s="62"/>
      <c r="AC164" s="62"/>
      <c r="AD164" s="62"/>
      <c r="AE164" s="62"/>
      <c r="AF164" s="62"/>
      <c r="AG164" s="62"/>
      <c r="AH164" s="62"/>
      <c r="AI164" s="62"/>
    </row>
    <row r="165" ht="14.25" customHeight="1">
      <c r="A165" s="3"/>
      <c r="C165" s="237"/>
      <c r="K165" s="3"/>
      <c r="Z165" s="62"/>
      <c r="AA165" s="62"/>
      <c r="AB165" s="62"/>
      <c r="AC165" s="62"/>
      <c r="AD165" s="62"/>
      <c r="AE165" s="62"/>
      <c r="AF165" s="62"/>
      <c r="AG165" s="62"/>
      <c r="AH165" s="62"/>
      <c r="AI165" s="62"/>
    </row>
    <row r="166" ht="14.25" customHeight="1">
      <c r="A166" s="3"/>
      <c r="C166" s="237"/>
      <c r="K166" s="3"/>
      <c r="Z166" s="62"/>
      <c r="AA166" s="62"/>
      <c r="AB166" s="62"/>
      <c r="AC166" s="62"/>
      <c r="AD166" s="62"/>
      <c r="AE166" s="62"/>
      <c r="AF166" s="62"/>
      <c r="AG166" s="62"/>
      <c r="AH166" s="62"/>
      <c r="AI166" s="62"/>
    </row>
    <row r="167" ht="14.25" customHeight="1">
      <c r="A167" s="3"/>
      <c r="C167" s="237"/>
      <c r="K167" s="3"/>
      <c r="Z167" s="62"/>
      <c r="AA167" s="62"/>
      <c r="AB167" s="62"/>
      <c r="AC167" s="62"/>
      <c r="AD167" s="62"/>
      <c r="AE167" s="62"/>
      <c r="AF167" s="62"/>
      <c r="AG167" s="62"/>
      <c r="AH167" s="62"/>
      <c r="AI167" s="62"/>
    </row>
    <row r="168" ht="14.25" customHeight="1">
      <c r="A168" s="3"/>
      <c r="C168" s="237"/>
      <c r="K168" s="3"/>
      <c r="Z168" s="62"/>
      <c r="AA168" s="62"/>
      <c r="AB168" s="62"/>
      <c r="AC168" s="62"/>
      <c r="AD168" s="62"/>
      <c r="AE168" s="62"/>
      <c r="AF168" s="62"/>
      <c r="AG168" s="62"/>
      <c r="AH168" s="62"/>
      <c r="AI168" s="62"/>
    </row>
    <row r="169" ht="14.25" customHeight="1">
      <c r="A169" s="3"/>
      <c r="C169" s="237"/>
      <c r="K169" s="3"/>
      <c r="Z169" s="62"/>
      <c r="AA169" s="62"/>
      <c r="AB169" s="62"/>
      <c r="AC169" s="62"/>
      <c r="AD169" s="62"/>
      <c r="AE169" s="62"/>
      <c r="AF169" s="62"/>
      <c r="AG169" s="62"/>
      <c r="AH169" s="62"/>
      <c r="AI169" s="62"/>
    </row>
    <row r="170" ht="14.25" customHeight="1">
      <c r="A170" s="3"/>
      <c r="C170" s="237"/>
      <c r="K170" s="3"/>
      <c r="Z170" s="62"/>
      <c r="AA170" s="62"/>
      <c r="AB170" s="62"/>
      <c r="AC170" s="62"/>
      <c r="AD170" s="62"/>
      <c r="AE170" s="62"/>
      <c r="AF170" s="62"/>
      <c r="AG170" s="62"/>
      <c r="AH170" s="62"/>
      <c r="AI170" s="62"/>
    </row>
    <row r="171" ht="14.25" customHeight="1">
      <c r="A171" s="3"/>
      <c r="C171" s="237"/>
      <c r="K171" s="3"/>
      <c r="Z171" s="62"/>
      <c r="AA171" s="62"/>
      <c r="AB171" s="62"/>
      <c r="AC171" s="62"/>
      <c r="AD171" s="62"/>
      <c r="AE171" s="62"/>
      <c r="AF171" s="62"/>
      <c r="AG171" s="62"/>
      <c r="AH171" s="62"/>
      <c r="AI171" s="62"/>
    </row>
    <row r="172" ht="14.25" customHeight="1">
      <c r="A172" s="3"/>
      <c r="C172" s="237"/>
      <c r="K172" s="3"/>
      <c r="Z172" s="62"/>
      <c r="AA172" s="62"/>
      <c r="AB172" s="62"/>
      <c r="AC172" s="62"/>
      <c r="AD172" s="62"/>
      <c r="AE172" s="62"/>
      <c r="AF172" s="62"/>
      <c r="AG172" s="62"/>
      <c r="AH172" s="62"/>
      <c r="AI172" s="62"/>
    </row>
    <row r="173" ht="14.25" customHeight="1">
      <c r="A173" s="3"/>
      <c r="C173" s="237"/>
      <c r="K173" s="3"/>
      <c r="Z173" s="62"/>
      <c r="AA173" s="62"/>
      <c r="AB173" s="62"/>
      <c r="AC173" s="62"/>
      <c r="AD173" s="62"/>
      <c r="AE173" s="62"/>
      <c r="AF173" s="62"/>
      <c r="AG173" s="62"/>
      <c r="AH173" s="62"/>
      <c r="AI173" s="62"/>
    </row>
    <row r="174" ht="14.25" customHeight="1">
      <c r="A174" s="3"/>
      <c r="C174" s="237"/>
      <c r="K174" s="3"/>
      <c r="Z174" s="62"/>
      <c r="AA174" s="62"/>
      <c r="AB174" s="62"/>
      <c r="AC174" s="62"/>
      <c r="AD174" s="62"/>
      <c r="AE174" s="62"/>
      <c r="AF174" s="62"/>
      <c r="AG174" s="62"/>
      <c r="AH174" s="62"/>
      <c r="AI174" s="62"/>
    </row>
    <row r="175" ht="14.25" customHeight="1">
      <c r="A175" s="3"/>
      <c r="C175" s="237"/>
      <c r="K175" s="3"/>
      <c r="Z175" s="62"/>
      <c r="AA175" s="62"/>
      <c r="AB175" s="62"/>
      <c r="AC175" s="62"/>
      <c r="AD175" s="62"/>
      <c r="AE175" s="62"/>
      <c r="AF175" s="62"/>
      <c r="AG175" s="62"/>
      <c r="AH175" s="62"/>
      <c r="AI175" s="62"/>
    </row>
    <row r="176" ht="14.25" customHeight="1">
      <c r="A176" s="3"/>
      <c r="C176" s="237"/>
      <c r="K176" s="3"/>
      <c r="Z176" s="62"/>
      <c r="AA176" s="62"/>
      <c r="AB176" s="62"/>
      <c r="AC176" s="62"/>
      <c r="AD176" s="62"/>
      <c r="AE176" s="62"/>
      <c r="AF176" s="62"/>
      <c r="AG176" s="62"/>
      <c r="AH176" s="62"/>
      <c r="AI176" s="62"/>
    </row>
    <row r="177" ht="14.25" customHeight="1">
      <c r="A177" s="3"/>
      <c r="C177" s="237"/>
      <c r="K177" s="3"/>
      <c r="Z177" s="62"/>
      <c r="AA177" s="62"/>
      <c r="AB177" s="62"/>
      <c r="AC177" s="62"/>
      <c r="AD177" s="62"/>
      <c r="AE177" s="62"/>
      <c r="AF177" s="62"/>
      <c r="AG177" s="62"/>
      <c r="AH177" s="62"/>
      <c r="AI177" s="62"/>
    </row>
    <row r="178" ht="14.25" customHeight="1">
      <c r="A178" s="3"/>
      <c r="C178" s="237"/>
      <c r="K178" s="3"/>
      <c r="Z178" s="62"/>
      <c r="AA178" s="62"/>
      <c r="AB178" s="62"/>
      <c r="AC178" s="62"/>
      <c r="AD178" s="62"/>
      <c r="AE178" s="62"/>
      <c r="AF178" s="62"/>
      <c r="AG178" s="62"/>
      <c r="AH178" s="62"/>
      <c r="AI178" s="62"/>
    </row>
    <row r="179" ht="14.25" customHeight="1">
      <c r="A179" s="3"/>
      <c r="C179" s="237"/>
      <c r="K179" s="3"/>
      <c r="Z179" s="62"/>
      <c r="AA179" s="62"/>
      <c r="AB179" s="62"/>
      <c r="AC179" s="62"/>
      <c r="AD179" s="62"/>
      <c r="AE179" s="62"/>
      <c r="AF179" s="62"/>
      <c r="AG179" s="62"/>
      <c r="AH179" s="62"/>
      <c r="AI179" s="62"/>
    </row>
    <row r="180" ht="14.25" customHeight="1">
      <c r="A180" s="3"/>
      <c r="C180" s="237"/>
      <c r="K180" s="3"/>
      <c r="Z180" s="62"/>
      <c r="AA180" s="62"/>
      <c r="AB180" s="62"/>
      <c r="AC180" s="62"/>
      <c r="AD180" s="62"/>
      <c r="AE180" s="62"/>
      <c r="AF180" s="62"/>
      <c r="AG180" s="62"/>
      <c r="AH180" s="62"/>
      <c r="AI180" s="62"/>
    </row>
    <row r="181" ht="14.25" customHeight="1">
      <c r="A181" s="3"/>
      <c r="C181" s="237"/>
      <c r="K181" s="3"/>
      <c r="Z181" s="62"/>
      <c r="AA181" s="62"/>
      <c r="AB181" s="62"/>
      <c r="AC181" s="62"/>
      <c r="AD181" s="62"/>
      <c r="AE181" s="62"/>
      <c r="AF181" s="62"/>
      <c r="AG181" s="62"/>
      <c r="AH181" s="62"/>
      <c r="AI181" s="62"/>
    </row>
    <row r="182" ht="14.25" customHeight="1">
      <c r="A182" s="3"/>
      <c r="C182" s="237"/>
      <c r="K182" s="3"/>
      <c r="Z182" s="62"/>
      <c r="AA182" s="62"/>
      <c r="AB182" s="62"/>
      <c r="AC182" s="62"/>
      <c r="AD182" s="62"/>
      <c r="AE182" s="62"/>
      <c r="AF182" s="62"/>
      <c r="AG182" s="62"/>
      <c r="AH182" s="62"/>
      <c r="AI182" s="62"/>
    </row>
    <row r="183" ht="14.25" customHeight="1">
      <c r="A183" s="3"/>
      <c r="C183" s="237"/>
      <c r="K183" s="3"/>
      <c r="Z183" s="62"/>
      <c r="AA183" s="62"/>
      <c r="AB183" s="62"/>
      <c r="AC183" s="62"/>
      <c r="AD183" s="62"/>
      <c r="AE183" s="62"/>
      <c r="AF183" s="62"/>
      <c r="AG183" s="62"/>
      <c r="AH183" s="62"/>
      <c r="AI183" s="62"/>
    </row>
    <row r="184" ht="14.25" customHeight="1">
      <c r="A184" s="3"/>
      <c r="C184" s="237"/>
      <c r="K184" s="3"/>
      <c r="Z184" s="62"/>
      <c r="AA184" s="62"/>
      <c r="AB184" s="62"/>
      <c r="AC184" s="62"/>
      <c r="AD184" s="62"/>
      <c r="AE184" s="62"/>
      <c r="AF184" s="62"/>
      <c r="AG184" s="62"/>
      <c r="AH184" s="62"/>
      <c r="AI184" s="62"/>
    </row>
    <row r="185" ht="14.25" customHeight="1">
      <c r="A185" s="3"/>
      <c r="C185" s="237"/>
      <c r="K185" s="3"/>
      <c r="Z185" s="62"/>
      <c r="AA185" s="62"/>
      <c r="AB185" s="62"/>
      <c r="AC185" s="62"/>
      <c r="AD185" s="62"/>
      <c r="AE185" s="62"/>
      <c r="AF185" s="62"/>
      <c r="AG185" s="62"/>
      <c r="AH185" s="62"/>
      <c r="AI185" s="62"/>
    </row>
    <row r="186" ht="14.25" customHeight="1">
      <c r="A186" s="3"/>
      <c r="C186" s="237"/>
      <c r="K186" s="3"/>
      <c r="Z186" s="62"/>
      <c r="AA186" s="62"/>
      <c r="AB186" s="62"/>
      <c r="AC186" s="62"/>
      <c r="AD186" s="62"/>
      <c r="AE186" s="62"/>
      <c r="AF186" s="62"/>
      <c r="AG186" s="62"/>
      <c r="AH186" s="62"/>
      <c r="AI186" s="62"/>
    </row>
    <row r="187" ht="14.25" customHeight="1">
      <c r="A187" s="3"/>
      <c r="C187" s="237"/>
      <c r="K187" s="3"/>
      <c r="Z187" s="62"/>
      <c r="AA187" s="62"/>
      <c r="AB187" s="62"/>
      <c r="AC187" s="62"/>
      <c r="AD187" s="62"/>
      <c r="AE187" s="62"/>
      <c r="AF187" s="62"/>
      <c r="AG187" s="62"/>
      <c r="AH187" s="62"/>
      <c r="AI187" s="62"/>
    </row>
    <row r="188" ht="14.25" customHeight="1">
      <c r="A188" s="3"/>
      <c r="C188" s="237"/>
      <c r="K188" s="3"/>
      <c r="Z188" s="62"/>
      <c r="AA188" s="62"/>
      <c r="AB188" s="62"/>
      <c r="AC188" s="62"/>
      <c r="AD188" s="62"/>
      <c r="AE188" s="62"/>
      <c r="AF188" s="62"/>
      <c r="AG188" s="62"/>
      <c r="AH188" s="62"/>
      <c r="AI188" s="62"/>
    </row>
    <row r="189" ht="14.25" customHeight="1">
      <c r="A189" s="3"/>
      <c r="C189" s="237"/>
      <c r="K189" s="3"/>
      <c r="Z189" s="62"/>
      <c r="AA189" s="62"/>
      <c r="AB189" s="62"/>
      <c r="AC189" s="62"/>
      <c r="AD189" s="62"/>
      <c r="AE189" s="62"/>
      <c r="AF189" s="62"/>
      <c r="AG189" s="62"/>
      <c r="AH189" s="62"/>
      <c r="AI189" s="62"/>
    </row>
    <row r="190" ht="14.25" customHeight="1">
      <c r="A190" s="3"/>
      <c r="C190" s="237"/>
      <c r="K190" s="3"/>
      <c r="Z190" s="62"/>
      <c r="AA190" s="62"/>
      <c r="AB190" s="62"/>
      <c r="AC190" s="62"/>
      <c r="AD190" s="62"/>
      <c r="AE190" s="62"/>
      <c r="AF190" s="62"/>
      <c r="AG190" s="62"/>
      <c r="AH190" s="62"/>
      <c r="AI190" s="62"/>
    </row>
    <row r="191" ht="14.25" customHeight="1">
      <c r="A191" s="3"/>
      <c r="C191" s="237"/>
      <c r="K191" s="3"/>
      <c r="Z191" s="62"/>
      <c r="AA191" s="62"/>
      <c r="AB191" s="62"/>
      <c r="AC191" s="62"/>
      <c r="AD191" s="62"/>
      <c r="AE191" s="62"/>
      <c r="AF191" s="62"/>
      <c r="AG191" s="62"/>
      <c r="AH191" s="62"/>
      <c r="AI191" s="62"/>
    </row>
    <row r="192" ht="14.25" customHeight="1">
      <c r="A192" s="3"/>
      <c r="C192" s="237"/>
      <c r="K192" s="3"/>
      <c r="Z192" s="62"/>
      <c r="AA192" s="62"/>
      <c r="AB192" s="62"/>
      <c r="AC192" s="62"/>
      <c r="AD192" s="62"/>
      <c r="AE192" s="62"/>
      <c r="AF192" s="62"/>
      <c r="AG192" s="62"/>
      <c r="AH192" s="62"/>
      <c r="AI192" s="62"/>
    </row>
    <row r="193" ht="14.25" customHeight="1">
      <c r="A193" s="3"/>
      <c r="C193" s="237"/>
      <c r="K193" s="3"/>
      <c r="Z193" s="62"/>
      <c r="AA193" s="62"/>
      <c r="AB193" s="62"/>
      <c r="AC193" s="62"/>
      <c r="AD193" s="62"/>
      <c r="AE193" s="62"/>
      <c r="AF193" s="62"/>
      <c r="AG193" s="62"/>
      <c r="AH193" s="62"/>
      <c r="AI193" s="62"/>
    </row>
    <row r="194" ht="14.25" customHeight="1">
      <c r="A194" s="3"/>
      <c r="C194" s="237"/>
      <c r="K194" s="3"/>
      <c r="Z194" s="62"/>
      <c r="AA194" s="62"/>
      <c r="AB194" s="62"/>
      <c r="AC194" s="62"/>
      <c r="AD194" s="62"/>
      <c r="AE194" s="62"/>
      <c r="AF194" s="62"/>
      <c r="AG194" s="62"/>
      <c r="AH194" s="62"/>
      <c r="AI194" s="62"/>
    </row>
    <row r="195" ht="14.25" customHeight="1">
      <c r="A195" s="3"/>
      <c r="C195" s="237"/>
      <c r="K195" s="3"/>
      <c r="Z195" s="62"/>
      <c r="AA195" s="62"/>
      <c r="AB195" s="62"/>
      <c r="AC195" s="62"/>
      <c r="AD195" s="62"/>
      <c r="AE195" s="62"/>
      <c r="AF195" s="62"/>
      <c r="AG195" s="62"/>
      <c r="AH195" s="62"/>
      <c r="AI195" s="62"/>
    </row>
    <row r="196" ht="14.25" customHeight="1">
      <c r="A196" s="3"/>
      <c r="C196" s="237"/>
      <c r="K196" s="3"/>
      <c r="Z196" s="62"/>
      <c r="AA196" s="62"/>
      <c r="AB196" s="62"/>
      <c r="AC196" s="62"/>
      <c r="AD196" s="62"/>
      <c r="AE196" s="62"/>
      <c r="AF196" s="62"/>
      <c r="AG196" s="62"/>
      <c r="AH196" s="62"/>
      <c r="AI196" s="62"/>
    </row>
    <row r="197" ht="14.25" customHeight="1">
      <c r="A197" s="3"/>
      <c r="C197" s="237"/>
      <c r="K197" s="3"/>
      <c r="Z197" s="62"/>
      <c r="AA197" s="62"/>
      <c r="AB197" s="62"/>
      <c r="AC197" s="62"/>
      <c r="AD197" s="62"/>
      <c r="AE197" s="62"/>
      <c r="AF197" s="62"/>
      <c r="AG197" s="62"/>
      <c r="AH197" s="62"/>
      <c r="AI197" s="62"/>
    </row>
    <row r="198" ht="14.25" customHeight="1">
      <c r="A198" s="3"/>
      <c r="C198" s="237"/>
      <c r="K198" s="3"/>
      <c r="Z198" s="62"/>
      <c r="AA198" s="62"/>
      <c r="AB198" s="62"/>
      <c r="AC198" s="62"/>
      <c r="AD198" s="62"/>
      <c r="AE198" s="62"/>
      <c r="AF198" s="62"/>
      <c r="AG198" s="62"/>
      <c r="AH198" s="62"/>
      <c r="AI198" s="62"/>
    </row>
    <row r="199" ht="14.25" customHeight="1">
      <c r="A199" s="3"/>
      <c r="C199" s="237"/>
      <c r="K199" s="3"/>
      <c r="Z199" s="62"/>
      <c r="AA199" s="62"/>
      <c r="AB199" s="62"/>
      <c r="AC199" s="62"/>
      <c r="AD199" s="62"/>
      <c r="AE199" s="62"/>
      <c r="AF199" s="62"/>
      <c r="AG199" s="62"/>
      <c r="AH199" s="62"/>
      <c r="AI199" s="62"/>
    </row>
    <row r="200" ht="14.25" customHeight="1">
      <c r="A200" s="3"/>
      <c r="C200" s="237"/>
      <c r="K200" s="3"/>
      <c r="Z200" s="62"/>
      <c r="AA200" s="62"/>
      <c r="AB200" s="62"/>
      <c r="AC200" s="62"/>
      <c r="AD200" s="62"/>
      <c r="AE200" s="62"/>
      <c r="AF200" s="62"/>
      <c r="AG200" s="62"/>
      <c r="AH200" s="62"/>
      <c r="AI200" s="62"/>
    </row>
    <row r="201" ht="14.25" customHeight="1">
      <c r="A201" s="3"/>
      <c r="C201" s="237"/>
      <c r="K201" s="3"/>
      <c r="Z201" s="62"/>
      <c r="AA201" s="62"/>
      <c r="AB201" s="62"/>
      <c r="AC201" s="62"/>
      <c r="AD201" s="62"/>
      <c r="AE201" s="62"/>
      <c r="AF201" s="62"/>
      <c r="AG201" s="62"/>
      <c r="AH201" s="62"/>
      <c r="AI201" s="62"/>
    </row>
    <row r="202" ht="14.25" customHeight="1">
      <c r="A202" s="3"/>
      <c r="C202" s="237"/>
      <c r="K202" s="3"/>
      <c r="Z202" s="62"/>
      <c r="AA202" s="62"/>
      <c r="AB202" s="62"/>
      <c r="AC202" s="62"/>
      <c r="AD202" s="62"/>
      <c r="AE202" s="62"/>
      <c r="AF202" s="62"/>
      <c r="AG202" s="62"/>
      <c r="AH202" s="62"/>
      <c r="AI202" s="62"/>
    </row>
    <row r="203" ht="14.25" customHeight="1">
      <c r="A203" s="3"/>
      <c r="C203" s="237"/>
      <c r="K203" s="3"/>
      <c r="Z203" s="62"/>
      <c r="AA203" s="62"/>
      <c r="AB203" s="62"/>
      <c r="AC203" s="62"/>
      <c r="AD203" s="62"/>
      <c r="AE203" s="62"/>
      <c r="AF203" s="62"/>
      <c r="AG203" s="62"/>
      <c r="AH203" s="62"/>
      <c r="AI203" s="62"/>
    </row>
    <row r="204" ht="14.25" customHeight="1">
      <c r="A204" s="3"/>
      <c r="C204" s="237"/>
      <c r="K204" s="3"/>
      <c r="Z204" s="62"/>
      <c r="AA204" s="62"/>
      <c r="AB204" s="62"/>
      <c r="AC204" s="62"/>
      <c r="AD204" s="62"/>
      <c r="AE204" s="62"/>
      <c r="AF204" s="62"/>
      <c r="AG204" s="62"/>
      <c r="AH204" s="62"/>
      <c r="AI204" s="62"/>
    </row>
    <row r="205" ht="14.25" customHeight="1">
      <c r="A205" s="3"/>
      <c r="C205" s="237"/>
      <c r="K205" s="3"/>
      <c r="Z205" s="62"/>
      <c r="AA205" s="62"/>
      <c r="AB205" s="62"/>
      <c r="AC205" s="62"/>
      <c r="AD205" s="62"/>
      <c r="AE205" s="62"/>
      <c r="AF205" s="62"/>
      <c r="AG205" s="62"/>
      <c r="AH205" s="62"/>
      <c r="AI205" s="62"/>
    </row>
    <row r="206" ht="14.25" customHeight="1">
      <c r="A206" s="3"/>
      <c r="C206" s="237"/>
      <c r="K206" s="3"/>
      <c r="Z206" s="62"/>
      <c r="AA206" s="62"/>
      <c r="AB206" s="62"/>
      <c r="AC206" s="62"/>
      <c r="AD206" s="62"/>
      <c r="AE206" s="62"/>
      <c r="AF206" s="62"/>
      <c r="AG206" s="62"/>
      <c r="AH206" s="62"/>
      <c r="AI206" s="62"/>
    </row>
    <row r="207" ht="14.25" customHeight="1">
      <c r="A207" s="3"/>
      <c r="C207" s="237"/>
      <c r="K207" s="3"/>
      <c r="Z207" s="62"/>
      <c r="AA207" s="62"/>
      <c r="AB207" s="62"/>
      <c r="AC207" s="62"/>
      <c r="AD207" s="62"/>
      <c r="AE207" s="62"/>
      <c r="AF207" s="62"/>
      <c r="AG207" s="62"/>
      <c r="AH207" s="62"/>
      <c r="AI207" s="62"/>
    </row>
    <row r="208" ht="14.25" customHeight="1">
      <c r="A208" s="3"/>
      <c r="C208" s="237"/>
      <c r="K208" s="3"/>
      <c r="Z208" s="62"/>
      <c r="AA208" s="62"/>
      <c r="AB208" s="62"/>
      <c r="AC208" s="62"/>
      <c r="AD208" s="62"/>
      <c r="AE208" s="62"/>
      <c r="AF208" s="62"/>
      <c r="AG208" s="62"/>
      <c r="AH208" s="62"/>
      <c r="AI208" s="62"/>
    </row>
    <row r="209" ht="14.25" customHeight="1">
      <c r="A209" s="3"/>
      <c r="C209" s="237"/>
      <c r="K209" s="3"/>
      <c r="Z209" s="62"/>
      <c r="AA209" s="62"/>
      <c r="AB209" s="62"/>
      <c r="AC209" s="62"/>
      <c r="AD209" s="62"/>
      <c r="AE209" s="62"/>
      <c r="AF209" s="62"/>
      <c r="AG209" s="62"/>
      <c r="AH209" s="62"/>
      <c r="AI209" s="62"/>
    </row>
    <row r="210" ht="14.25" customHeight="1">
      <c r="A210" s="3"/>
      <c r="C210" s="237"/>
      <c r="K210" s="3"/>
      <c r="Z210" s="62"/>
      <c r="AA210" s="62"/>
      <c r="AB210" s="62"/>
      <c r="AC210" s="62"/>
      <c r="AD210" s="62"/>
      <c r="AE210" s="62"/>
      <c r="AF210" s="62"/>
      <c r="AG210" s="62"/>
      <c r="AH210" s="62"/>
      <c r="AI210" s="62"/>
    </row>
    <row r="211" ht="14.25" customHeight="1">
      <c r="A211" s="3"/>
      <c r="C211" s="237"/>
      <c r="K211" s="3"/>
      <c r="Z211" s="62"/>
      <c r="AA211" s="62"/>
      <c r="AB211" s="62"/>
      <c r="AC211" s="62"/>
      <c r="AD211" s="62"/>
      <c r="AE211" s="62"/>
      <c r="AF211" s="62"/>
      <c r="AG211" s="62"/>
      <c r="AH211" s="62"/>
      <c r="AI211" s="62"/>
    </row>
    <row r="212" ht="14.25" customHeight="1">
      <c r="A212" s="3"/>
      <c r="C212" s="237"/>
      <c r="K212" s="3"/>
      <c r="Z212" s="62"/>
      <c r="AA212" s="62"/>
      <c r="AB212" s="62"/>
      <c r="AC212" s="62"/>
      <c r="AD212" s="62"/>
      <c r="AE212" s="62"/>
      <c r="AF212" s="62"/>
      <c r="AG212" s="62"/>
      <c r="AH212" s="62"/>
      <c r="AI212" s="62"/>
    </row>
    <row r="213" ht="14.25" customHeight="1">
      <c r="A213" s="3"/>
      <c r="C213" s="237"/>
      <c r="K213" s="3"/>
      <c r="Z213" s="62"/>
      <c r="AA213" s="62"/>
      <c r="AB213" s="62"/>
      <c r="AC213" s="62"/>
      <c r="AD213" s="62"/>
      <c r="AE213" s="62"/>
      <c r="AF213" s="62"/>
      <c r="AG213" s="62"/>
      <c r="AH213" s="62"/>
      <c r="AI213" s="62"/>
    </row>
    <row r="214" ht="14.25" customHeight="1">
      <c r="A214" s="3"/>
      <c r="C214" s="237"/>
      <c r="K214" s="3"/>
      <c r="Z214" s="62"/>
      <c r="AA214" s="62"/>
      <c r="AB214" s="62"/>
      <c r="AC214" s="62"/>
      <c r="AD214" s="62"/>
      <c r="AE214" s="62"/>
      <c r="AF214" s="62"/>
      <c r="AG214" s="62"/>
      <c r="AH214" s="62"/>
      <c r="AI214" s="62"/>
    </row>
    <row r="215" ht="14.25" customHeight="1">
      <c r="A215" s="3"/>
      <c r="C215" s="237"/>
      <c r="K215" s="3"/>
      <c r="Z215" s="62"/>
      <c r="AA215" s="62"/>
      <c r="AB215" s="62"/>
      <c r="AC215" s="62"/>
      <c r="AD215" s="62"/>
      <c r="AE215" s="62"/>
      <c r="AF215" s="62"/>
      <c r="AG215" s="62"/>
      <c r="AH215" s="62"/>
      <c r="AI215" s="62"/>
    </row>
    <row r="216" ht="14.25" customHeight="1">
      <c r="A216" s="3"/>
      <c r="C216" s="237"/>
      <c r="K216" s="3"/>
      <c r="Z216" s="62"/>
      <c r="AA216" s="62"/>
      <c r="AB216" s="62"/>
      <c r="AC216" s="62"/>
      <c r="AD216" s="62"/>
      <c r="AE216" s="62"/>
      <c r="AF216" s="62"/>
      <c r="AG216" s="62"/>
      <c r="AH216" s="62"/>
      <c r="AI216" s="62"/>
    </row>
    <row r="217" ht="14.25" customHeight="1">
      <c r="A217" s="3"/>
      <c r="C217" s="237"/>
      <c r="K217" s="3"/>
      <c r="Z217" s="62"/>
      <c r="AA217" s="62"/>
      <c r="AB217" s="62"/>
      <c r="AC217" s="62"/>
      <c r="AD217" s="62"/>
      <c r="AE217" s="62"/>
      <c r="AF217" s="62"/>
      <c r="AG217" s="62"/>
      <c r="AH217" s="62"/>
      <c r="AI217" s="62"/>
    </row>
    <row r="218" ht="14.25" customHeight="1">
      <c r="A218" s="3"/>
      <c r="C218" s="237"/>
      <c r="K218" s="3"/>
      <c r="Z218" s="62"/>
      <c r="AA218" s="62"/>
      <c r="AB218" s="62"/>
      <c r="AC218" s="62"/>
      <c r="AD218" s="62"/>
      <c r="AE218" s="62"/>
      <c r="AF218" s="62"/>
      <c r="AG218" s="62"/>
      <c r="AH218" s="62"/>
      <c r="AI218" s="62"/>
    </row>
    <row r="219" ht="14.25" customHeight="1">
      <c r="A219" s="3"/>
      <c r="C219" s="237"/>
      <c r="K219" s="3"/>
      <c r="Z219" s="62"/>
      <c r="AA219" s="62"/>
      <c r="AB219" s="62"/>
      <c r="AC219" s="62"/>
      <c r="AD219" s="62"/>
      <c r="AE219" s="62"/>
      <c r="AF219" s="62"/>
      <c r="AG219" s="62"/>
      <c r="AH219" s="62"/>
      <c r="AI219" s="62"/>
    </row>
    <row r="220" ht="14.25" customHeight="1">
      <c r="A220" s="3"/>
      <c r="C220" s="237"/>
      <c r="K220" s="3"/>
      <c r="Z220" s="62"/>
      <c r="AA220" s="62"/>
      <c r="AB220" s="62"/>
      <c r="AC220" s="62"/>
      <c r="AD220" s="62"/>
      <c r="AE220" s="62"/>
      <c r="AF220" s="62"/>
      <c r="AG220" s="62"/>
      <c r="AH220" s="62"/>
      <c r="AI220" s="6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L1:Q1"/>
    <mergeCell ref="L2:Q2"/>
    <mergeCell ref="G23:L23"/>
    <mergeCell ref="G24:L24"/>
  </mergeCells>
  <dataValidations>
    <dataValidation type="list" allowBlank="1" showErrorMessage="1" sqref="Z5:AH16 Z19:AH25 AH26 Z27:AH28 Z29:AG33">
      <formula1>"Ada,Belum Ada,Proses,Belum mengurus"</formula1>
    </dataValidation>
    <dataValidation type="list" allowBlank="1" showErrorMessage="1" sqref="G5:G11 G27:G32">
      <formula1>"Sudah Operasional,Belum operasional,Tahap persiapan"</formula1>
    </dataValidation>
  </dataValidations>
  <printOptions/>
  <pageMargins bottom="0.75" footer="0.0" header="0.0" left="0.7" right="0.7" top="0.75"/>
  <pageSetup paperSize="9" orientation="landscape"/>
  <drawing r:id="rId1"/>
  <tableParts count="2">
    <tablePart r:id="rId4"/>
    <tablePart r:id="rId5"/>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6"/>
    <col customWidth="1" min="2" max="2" width="16.0"/>
    <col customWidth="1" min="3" max="3" width="21.86"/>
    <col customWidth="1" min="4" max="4" width="11.86"/>
    <col customWidth="1" min="5" max="5" width="19.29"/>
    <col customWidth="1" min="6" max="6" width="15.86"/>
    <col customWidth="1" min="7" max="7" width="17.14"/>
    <col customWidth="1" min="8" max="11" width="21.14"/>
    <col customWidth="1" min="12" max="12" width="27.0"/>
    <col customWidth="1" min="13" max="13" width="30.29"/>
    <col customWidth="1" min="14" max="16" width="27.0"/>
    <col customWidth="1" min="17" max="17" width="31.86"/>
    <col customWidth="1" min="18" max="19" width="35.29"/>
    <col customWidth="1" min="20" max="24" width="26.43"/>
    <col customWidth="1" min="25" max="25" width="18.43"/>
    <col customWidth="1" min="26" max="35" width="8.71"/>
  </cols>
  <sheetData>
    <row r="1" ht="14.25" customHeight="1">
      <c r="A1" s="3"/>
      <c r="L1" s="63" t="s">
        <v>1</v>
      </c>
      <c r="Z1" s="62"/>
      <c r="AA1" s="62"/>
      <c r="AB1" s="62"/>
      <c r="AC1" s="62"/>
      <c r="AD1" s="62"/>
      <c r="AE1" s="62"/>
      <c r="AF1" s="62"/>
      <c r="AG1" s="62"/>
      <c r="AH1" s="62"/>
      <c r="AI1" s="62"/>
    </row>
    <row r="2" ht="14.25" customHeight="1">
      <c r="A2" s="3"/>
      <c r="L2" s="64" t="s">
        <v>2</v>
      </c>
      <c r="Z2" s="62"/>
      <c r="AA2" s="62"/>
      <c r="AB2" s="62"/>
      <c r="AC2" s="62"/>
      <c r="AD2" s="62"/>
      <c r="AE2" s="62"/>
      <c r="AF2" s="62"/>
      <c r="AG2" s="62"/>
      <c r="AH2" s="62"/>
      <c r="AI2" s="62"/>
    </row>
    <row r="3" ht="14.25" customHeight="1">
      <c r="A3" s="3"/>
      <c r="Z3" s="62"/>
      <c r="AA3" s="62"/>
      <c r="AB3" s="62"/>
      <c r="AC3" s="62"/>
      <c r="AD3" s="62"/>
      <c r="AE3" s="62"/>
      <c r="AF3" s="62"/>
      <c r="AG3" s="62"/>
      <c r="AH3" s="62"/>
      <c r="AI3" s="62"/>
    </row>
    <row r="4" ht="40.5" customHeight="1">
      <c r="A4" s="65" t="s">
        <v>3</v>
      </c>
      <c r="B4" s="65" t="s">
        <v>4</v>
      </c>
      <c r="C4" s="65" t="s">
        <v>5</v>
      </c>
      <c r="D4" s="65" t="s">
        <v>6</v>
      </c>
      <c r="E4" s="65" t="s">
        <v>7</v>
      </c>
      <c r="F4" s="65" t="s">
        <v>8</v>
      </c>
      <c r="G4" s="65" t="s">
        <v>9</v>
      </c>
      <c r="H4" s="65" t="s">
        <v>1084</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84.0" customHeight="1">
      <c r="A5" s="68">
        <v>1.0</v>
      </c>
      <c r="B5" s="67" t="s">
        <v>2637</v>
      </c>
      <c r="C5" s="67" t="s">
        <v>2638</v>
      </c>
      <c r="D5" s="67" t="s">
        <v>2639</v>
      </c>
      <c r="E5" s="68" t="s">
        <v>2640</v>
      </c>
      <c r="F5" s="67" t="s">
        <v>2641</v>
      </c>
      <c r="G5" s="67" t="s">
        <v>43</v>
      </c>
      <c r="H5" s="79">
        <v>46031.0</v>
      </c>
      <c r="I5" s="67" t="s">
        <v>563</v>
      </c>
      <c r="J5" s="67" t="s">
        <v>2642</v>
      </c>
      <c r="K5" s="80" t="s">
        <v>2643</v>
      </c>
      <c r="L5" s="67">
        <v>2176.0</v>
      </c>
      <c r="M5" s="68" t="s">
        <v>53</v>
      </c>
      <c r="N5" s="67" t="s">
        <v>2644</v>
      </c>
      <c r="O5" s="67"/>
      <c r="P5" s="67" t="s">
        <v>2645</v>
      </c>
      <c r="Q5" s="249" t="s">
        <v>2646</v>
      </c>
      <c r="R5" s="250" t="s">
        <v>2647</v>
      </c>
      <c r="S5" s="250" t="s">
        <v>2648</v>
      </c>
      <c r="T5" s="90" t="s">
        <v>2649</v>
      </c>
      <c r="U5" s="67" t="s">
        <v>2650</v>
      </c>
      <c r="V5" s="67" t="s">
        <v>2651</v>
      </c>
      <c r="W5" s="68" t="s">
        <v>53</v>
      </c>
      <c r="X5" s="68" t="s">
        <v>53</v>
      </c>
      <c r="Y5" s="68"/>
      <c r="Z5" s="54" t="s">
        <v>54</v>
      </c>
      <c r="AA5" s="139" t="s">
        <v>54</v>
      </c>
      <c r="AB5" s="139" t="s">
        <v>54</v>
      </c>
      <c r="AC5" s="139" t="s">
        <v>54</v>
      </c>
      <c r="AD5" s="139" t="s">
        <v>54</v>
      </c>
      <c r="AE5" s="139" t="s">
        <v>146</v>
      </c>
      <c r="AF5" s="139" t="s">
        <v>54</v>
      </c>
      <c r="AG5" s="139" t="s">
        <v>54</v>
      </c>
      <c r="AH5" s="139" t="s">
        <v>146</v>
      </c>
      <c r="AI5" s="139">
        <v>47.0</v>
      </c>
    </row>
    <row r="6" ht="14.25" customHeight="1">
      <c r="A6" s="68"/>
      <c r="B6" s="68"/>
      <c r="C6" s="68"/>
      <c r="D6" s="68"/>
      <c r="E6" s="106"/>
      <c r="F6" s="68"/>
      <c r="G6" s="68"/>
      <c r="H6" s="68"/>
      <c r="I6" s="68"/>
      <c r="J6" s="68"/>
      <c r="K6" s="251"/>
      <c r="L6" s="68"/>
      <c r="M6" s="68">
        <v>0.0</v>
      </c>
      <c r="N6" s="68">
        <v>108.0</v>
      </c>
      <c r="O6" s="106">
        <v>0.0</v>
      </c>
      <c r="P6" s="76">
        <v>26.0</v>
      </c>
      <c r="Q6" s="76">
        <v>1061.0</v>
      </c>
      <c r="R6" s="76">
        <v>294.0</v>
      </c>
      <c r="S6" s="76">
        <v>156.0</v>
      </c>
      <c r="T6" s="68">
        <v>33.0</v>
      </c>
      <c r="U6" s="68">
        <v>95.0</v>
      </c>
      <c r="V6" s="68">
        <v>361.0</v>
      </c>
      <c r="W6" s="68">
        <v>0.0</v>
      </c>
      <c r="X6" s="68">
        <v>0.0</v>
      </c>
      <c r="Y6" s="68"/>
      <c r="Z6" s="131"/>
      <c r="AA6" s="131"/>
      <c r="AB6" s="131"/>
      <c r="AC6" s="131"/>
      <c r="AD6" s="131"/>
      <c r="AE6" s="131"/>
      <c r="AF6" s="131"/>
      <c r="AG6" s="131"/>
      <c r="AH6" s="131"/>
      <c r="AI6" s="131"/>
    </row>
    <row r="7" ht="145.5" customHeight="1">
      <c r="A7" s="68">
        <v>2.0</v>
      </c>
      <c r="B7" s="55" t="s">
        <v>2652</v>
      </c>
      <c r="C7" s="55" t="s">
        <v>2653</v>
      </c>
      <c r="D7" s="55" t="s">
        <v>2654</v>
      </c>
      <c r="E7" s="55" t="s">
        <v>732</v>
      </c>
      <c r="F7" s="55" t="s">
        <v>2655</v>
      </c>
      <c r="G7" s="55" t="s">
        <v>43</v>
      </c>
      <c r="H7" s="135" t="s">
        <v>2656</v>
      </c>
      <c r="I7" s="250" t="s">
        <v>44</v>
      </c>
      <c r="J7" s="135" t="s">
        <v>2657</v>
      </c>
      <c r="K7" s="252" t="s">
        <v>2658</v>
      </c>
      <c r="L7" s="135">
        <v>2321.0</v>
      </c>
      <c r="M7" s="250" t="s">
        <v>2659</v>
      </c>
      <c r="N7" s="250" t="s">
        <v>2660</v>
      </c>
      <c r="O7" s="250" t="s">
        <v>2661</v>
      </c>
      <c r="P7" s="55" t="s">
        <v>53</v>
      </c>
      <c r="Q7" s="250" t="s">
        <v>2662</v>
      </c>
      <c r="R7" s="250" t="s">
        <v>2663</v>
      </c>
      <c r="S7" s="250" t="s">
        <v>2664</v>
      </c>
      <c r="T7" s="250" t="s">
        <v>2665</v>
      </c>
      <c r="U7" s="250" t="s">
        <v>2666</v>
      </c>
      <c r="V7" s="250" t="s">
        <v>2667</v>
      </c>
      <c r="W7" s="55" t="s">
        <v>53</v>
      </c>
      <c r="X7" s="55" t="s">
        <v>53</v>
      </c>
      <c r="Y7" s="135"/>
      <c r="Z7" s="130"/>
      <c r="AA7" s="130"/>
      <c r="AB7" s="130"/>
      <c r="AC7" s="130"/>
      <c r="AD7" s="130"/>
      <c r="AE7" s="130"/>
      <c r="AF7" s="130"/>
      <c r="AG7" s="130"/>
      <c r="AH7" s="130"/>
      <c r="AI7" s="130"/>
    </row>
    <row r="8" ht="14.25" customHeight="1">
      <c r="A8" s="68"/>
      <c r="B8" s="68"/>
      <c r="C8" s="68"/>
      <c r="D8" s="68"/>
      <c r="E8" s="68"/>
      <c r="F8" s="68"/>
      <c r="G8" s="67"/>
      <c r="H8" s="68"/>
      <c r="I8" s="68"/>
      <c r="J8" s="68"/>
      <c r="K8" s="68"/>
      <c r="L8" s="67"/>
      <c r="M8" s="61">
        <v>49.0</v>
      </c>
      <c r="N8" s="61">
        <v>118.0</v>
      </c>
      <c r="O8" s="61">
        <v>18.0</v>
      </c>
      <c r="P8" s="54">
        <v>0.0</v>
      </c>
      <c r="Q8" s="61">
        <v>648.0</v>
      </c>
      <c r="R8" s="61">
        <v>487.0</v>
      </c>
      <c r="S8" s="61">
        <v>513.0</v>
      </c>
      <c r="T8" s="253">
        <v>36.0</v>
      </c>
      <c r="U8" s="61">
        <v>123.0</v>
      </c>
      <c r="V8" s="61">
        <v>274.0</v>
      </c>
      <c r="W8" s="54">
        <v>0.0</v>
      </c>
      <c r="X8" s="54">
        <v>0.0</v>
      </c>
      <c r="Y8" s="68"/>
      <c r="Z8" s="138" t="s">
        <v>54</v>
      </c>
      <c r="AA8" s="138" t="s">
        <v>54</v>
      </c>
      <c r="AB8" s="138" t="s">
        <v>54</v>
      </c>
      <c r="AC8" s="138" t="s">
        <v>146</v>
      </c>
      <c r="AD8" s="138" t="s">
        <v>54</v>
      </c>
      <c r="AE8" s="138" t="s">
        <v>146</v>
      </c>
      <c r="AF8" s="138" t="s">
        <v>146</v>
      </c>
      <c r="AG8" s="138" t="s">
        <v>54</v>
      </c>
      <c r="AH8" s="138" t="s">
        <v>146</v>
      </c>
      <c r="AI8" s="138">
        <v>47.0</v>
      </c>
    </row>
    <row r="9" ht="141.0" customHeight="1">
      <c r="A9" s="55">
        <v>3.0</v>
      </c>
      <c r="B9" s="55" t="s">
        <v>2637</v>
      </c>
      <c r="C9" s="55" t="s">
        <v>2668</v>
      </c>
      <c r="D9" s="55" t="s">
        <v>2669</v>
      </c>
      <c r="E9" s="55" t="s">
        <v>2670</v>
      </c>
      <c r="F9" s="55" t="s">
        <v>2671</v>
      </c>
      <c r="G9" s="55" t="s">
        <v>43</v>
      </c>
      <c r="H9" s="254">
        <v>46112.0</v>
      </c>
      <c r="I9" s="135" t="s">
        <v>44</v>
      </c>
      <c r="J9" s="135" t="s">
        <v>2672</v>
      </c>
      <c r="K9" s="255" t="s">
        <v>2673</v>
      </c>
      <c r="L9" s="250">
        <v>2201.0</v>
      </c>
      <c r="M9" s="135" t="s">
        <v>2674</v>
      </c>
      <c r="N9" s="135" t="s">
        <v>2675</v>
      </c>
      <c r="O9" s="135" t="s">
        <v>2676</v>
      </c>
      <c r="P9" s="135"/>
      <c r="Q9" s="135" t="s">
        <v>2677</v>
      </c>
      <c r="R9" s="135" t="s">
        <v>2678</v>
      </c>
      <c r="S9" s="135" t="s">
        <v>2679</v>
      </c>
      <c r="T9" s="135" t="s">
        <v>2680</v>
      </c>
      <c r="U9" s="135" t="s">
        <v>2681</v>
      </c>
      <c r="V9" s="135" t="s">
        <v>2682</v>
      </c>
      <c r="W9" s="55" t="s">
        <v>53</v>
      </c>
      <c r="X9" s="55" t="s">
        <v>53</v>
      </c>
      <c r="Y9" s="135"/>
      <c r="Z9" s="130"/>
      <c r="AA9" s="139" t="s">
        <v>54</v>
      </c>
      <c r="AB9" s="139" t="s">
        <v>54</v>
      </c>
      <c r="AC9" s="139"/>
      <c r="AD9" s="139" t="s">
        <v>145</v>
      </c>
      <c r="AE9" s="139" t="s">
        <v>54</v>
      </c>
      <c r="AF9" s="139" t="s">
        <v>54</v>
      </c>
      <c r="AG9" s="139" t="s">
        <v>54</v>
      </c>
      <c r="AH9" s="139" t="s">
        <v>145</v>
      </c>
      <c r="AI9" s="139">
        <v>47.0</v>
      </c>
    </row>
    <row r="10" ht="14.25" customHeight="1">
      <c r="A10" s="106"/>
      <c r="B10" s="106"/>
      <c r="C10" s="106"/>
      <c r="D10" s="106"/>
      <c r="E10" s="106"/>
      <c r="F10" s="106"/>
      <c r="G10" s="106"/>
      <c r="H10" s="106"/>
      <c r="I10" s="106"/>
      <c r="J10" s="106"/>
      <c r="K10" s="106"/>
      <c r="L10" s="106"/>
      <c r="M10" s="106">
        <v>32.0</v>
      </c>
      <c r="N10" s="106">
        <v>24.0</v>
      </c>
      <c r="O10" s="106"/>
      <c r="P10" s="106"/>
      <c r="Q10" s="106"/>
      <c r="R10" s="106"/>
      <c r="S10" s="256"/>
      <c r="T10" s="106"/>
      <c r="U10" s="106"/>
      <c r="V10" s="106"/>
      <c r="W10" s="106">
        <v>0.0</v>
      </c>
      <c r="X10" s="106">
        <v>0.0</v>
      </c>
      <c r="Y10" s="106"/>
      <c r="Z10" s="138" t="s">
        <v>54</v>
      </c>
      <c r="AA10" s="138" t="s">
        <v>54</v>
      </c>
      <c r="AB10" s="138" t="s">
        <v>54</v>
      </c>
      <c r="AC10" s="138" t="s">
        <v>146</v>
      </c>
      <c r="AD10" s="138" t="s">
        <v>54</v>
      </c>
      <c r="AE10" s="138" t="s">
        <v>146</v>
      </c>
      <c r="AF10" s="138" t="s">
        <v>146</v>
      </c>
      <c r="AG10" s="138" t="s">
        <v>146</v>
      </c>
      <c r="AH10" s="138" t="s">
        <v>146</v>
      </c>
      <c r="AI10" s="138">
        <v>48.0</v>
      </c>
    </row>
    <row r="11" ht="138.75" customHeight="1">
      <c r="A11" s="55">
        <v>4.0</v>
      </c>
      <c r="B11" s="55" t="s">
        <v>2683</v>
      </c>
      <c r="C11" s="55" t="s">
        <v>2684</v>
      </c>
      <c r="D11" s="55" t="s">
        <v>2685</v>
      </c>
      <c r="E11" s="55" t="s">
        <v>2686</v>
      </c>
      <c r="F11" s="55" t="s">
        <v>2687</v>
      </c>
      <c r="G11" s="55" t="s">
        <v>43</v>
      </c>
      <c r="H11" s="257">
        <v>46090.0</v>
      </c>
      <c r="I11" s="135" t="s">
        <v>44</v>
      </c>
      <c r="J11" s="135" t="s">
        <v>2688</v>
      </c>
      <c r="K11" s="255" t="s">
        <v>2689</v>
      </c>
      <c r="L11" s="135">
        <v>2496.0</v>
      </c>
      <c r="M11" s="55" t="s">
        <v>53</v>
      </c>
      <c r="N11" s="73" t="s">
        <v>2690</v>
      </c>
      <c r="O11" s="55" t="s">
        <v>53</v>
      </c>
      <c r="P11" s="55" t="s">
        <v>53</v>
      </c>
      <c r="Q11" s="73" t="s">
        <v>2691</v>
      </c>
      <c r="R11" s="135" t="s">
        <v>2692</v>
      </c>
      <c r="S11" s="135" t="s">
        <v>2693</v>
      </c>
      <c r="T11" s="245" t="s">
        <v>2694</v>
      </c>
      <c r="U11" s="245" t="s">
        <v>2695</v>
      </c>
      <c r="V11" s="245" t="s">
        <v>2696</v>
      </c>
      <c r="W11" s="55" t="s">
        <v>53</v>
      </c>
      <c r="X11" s="55" t="s">
        <v>53</v>
      </c>
      <c r="Y11" s="135"/>
      <c r="Z11" s="139" t="s">
        <v>54</v>
      </c>
      <c r="AA11" s="139" t="s">
        <v>54</v>
      </c>
      <c r="AB11" s="139" t="s">
        <v>54</v>
      </c>
      <c r="AC11" s="139" t="s">
        <v>146</v>
      </c>
      <c r="AD11" s="139" t="s">
        <v>54</v>
      </c>
      <c r="AE11" s="139" t="s">
        <v>146</v>
      </c>
      <c r="AF11" s="139" t="s">
        <v>146</v>
      </c>
      <c r="AG11" s="139" t="s">
        <v>146</v>
      </c>
      <c r="AH11" s="139" t="s">
        <v>146</v>
      </c>
      <c r="AI11" s="139">
        <v>48.0</v>
      </c>
    </row>
    <row r="12" ht="14.25" customHeight="1">
      <c r="A12" s="106"/>
      <c r="B12" s="106"/>
      <c r="C12" s="106"/>
      <c r="D12" s="106"/>
      <c r="E12" s="106"/>
      <c r="F12" s="106"/>
      <c r="G12" s="106"/>
      <c r="H12" s="106"/>
      <c r="I12" s="106"/>
      <c r="J12" s="106"/>
      <c r="K12" s="106"/>
      <c r="L12" s="106"/>
      <c r="M12" s="106">
        <v>0.0</v>
      </c>
      <c r="N12" s="106">
        <v>262.0</v>
      </c>
      <c r="O12" s="106">
        <v>0.0</v>
      </c>
      <c r="P12" s="106">
        <v>0.0</v>
      </c>
      <c r="Q12" s="106">
        <v>1266.0</v>
      </c>
      <c r="R12" s="106">
        <v>377.0</v>
      </c>
      <c r="S12" s="106">
        <v>591.0</v>
      </c>
      <c r="T12" s="106"/>
      <c r="U12" s="106">
        <v>0.0</v>
      </c>
      <c r="V12" s="106">
        <v>0.0</v>
      </c>
      <c r="W12" s="106">
        <v>0.0</v>
      </c>
      <c r="X12" s="106">
        <v>0.0</v>
      </c>
      <c r="Y12" s="106"/>
      <c r="Z12" s="131"/>
      <c r="AA12" s="131"/>
      <c r="AB12" s="131"/>
      <c r="AC12" s="131"/>
      <c r="AD12" s="131"/>
      <c r="AE12" s="131"/>
      <c r="AF12" s="131"/>
      <c r="AG12" s="131"/>
      <c r="AH12" s="131"/>
      <c r="AI12" s="131"/>
    </row>
    <row r="13" ht="141.0" customHeight="1">
      <c r="A13" s="55">
        <v>5.0</v>
      </c>
      <c r="B13" s="55" t="s">
        <v>2697</v>
      </c>
      <c r="C13" s="55" t="s">
        <v>2698</v>
      </c>
      <c r="D13" s="55" t="s">
        <v>2699</v>
      </c>
      <c r="E13" s="55" t="s">
        <v>732</v>
      </c>
      <c r="F13" s="55" t="s">
        <v>2700</v>
      </c>
      <c r="G13" s="55" t="s">
        <v>43</v>
      </c>
      <c r="H13" s="135" t="s">
        <v>1776</v>
      </c>
      <c r="I13" s="135" t="s">
        <v>2701</v>
      </c>
      <c r="J13" s="135" t="s">
        <v>2702</v>
      </c>
      <c r="K13" s="258" t="s">
        <v>2703</v>
      </c>
      <c r="L13" s="135">
        <v>1605.0</v>
      </c>
      <c r="M13" s="135" t="s">
        <v>2704</v>
      </c>
      <c r="N13" s="135" t="s">
        <v>2705</v>
      </c>
      <c r="O13" s="55" t="s">
        <v>53</v>
      </c>
      <c r="P13" s="55" t="s">
        <v>53</v>
      </c>
      <c r="Q13" s="135" t="s">
        <v>2706</v>
      </c>
      <c r="R13" s="135" t="s">
        <v>2707</v>
      </c>
      <c r="S13" s="135" t="s">
        <v>2708</v>
      </c>
      <c r="T13" s="135" t="s">
        <v>2709</v>
      </c>
      <c r="U13" s="135" t="s">
        <v>2710</v>
      </c>
      <c r="V13" s="135" t="s">
        <v>2711</v>
      </c>
      <c r="W13" s="135" t="s">
        <v>2712</v>
      </c>
      <c r="X13" s="135" t="s">
        <v>2712</v>
      </c>
      <c r="Y13" s="135" t="s">
        <v>2713</v>
      </c>
      <c r="Z13" s="130" t="s">
        <v>145</v>
      </c>
      <c r="AA13" s="130" t="s">
        <v>54</v>
      </c>
      <c r="AB13" s="130" t="s">
        <v>54</v>
      </c>
      <c r="AC13" s="130" t="s">
        <v>145</v>
      </c>
      <c r="AD13" s="130" t="s">
        <v>145</v>
      </c>
      <c r="AE13" s="130" t="s">
        <v>145</v>
      </c>
      <c r="AF13" s="130" t="s">
        <v>145</v>
      </c>
      <c r="AG13" s="130" t="s">
        <v>54</v>
      </c>
      <c r="AH13" s="130" t="s">
        <v>146</v>
      </c>
      <c r="AI13" s="130">
        <v>37.0</v>
      </c>
    </row>
    <row r="14" ht="14.25" customHeight="1">
      <c r="A14" s="106"/>
      <c r="B14" s="106"/>
      <c r="C14" s="106"/>
      <c r="D14" s="106"/>
      <c r="E14" s="106"/>
      <c r="F14" s="106"/>
      <c r="G14" s="106"/>
      <c r="H14" s="106"/>
      <c r="I14" s="106"/>
      <c r="J14" s="106"/>
      <c r="K14" s="106"/>
      <c r="L14" s="106"/>
      <c r="M14" s="106">
        <v>73.0</v>
      </c>
      <c r="N14" s="106">
        <v>72.0</v>
      </c>
      <c r="O14" s="106">
        <v>0.0</v>
      </c>
      <c r="P14" s="106">
        <v>0.0</v>
      </c>
      <c r="Q14" s="106">
        <v>788.0</v>
      </c>
      <c r="R14" s="106">
        <v>304.0</v>
      </c>
      <c r="S14" s="106">
        <v>128.0</v>
      </c>
      <c r="T14" s="106">
        <v>22.0</v>
      </c>
      <c r="U14" s="106">
        <v>64.0</v>
      </c>
      <c r="V14" s="106">
        <v>144.0</v>
      </c>
      <c r="W14" s="106">
        <v>0.0</v>
      </c>
      <c r="X14" s="106"/>
      <c r="Y14" s="106"/>
      <c r="Z14" s="131"/>
      <c r="AA14" s="131"/>
      <c r="AB14" s="131"/>
      <c r="AC14" s="131"/>
      <c r="AD14" s="131"/>
      <c r="AE14" s="131"/>
      <c r="AF14" s="131"/>
      <c r="AG14" s="131"/>
      <c r="AH14" s="131"/>
      <c r="AI14" s="131"/>
    </row>
    <row r="15" ht="72.0" customHeight="1">
      <c r="A15" s="55">
        <v>6.0</v>
      </c>
      <c r="B15" s="55" t="s">
        <v>2714</v>
      </c>
      <c r="C15" s="55" t="s">
        <v>2715</v>
      </c>
      <c r="D15" s="259" t="s">
        <v>2716</v>
      </c>
      <c r="E15" s="68" t="s">
        <v>2717</v>
      </c>
      <c r="F15" s="55" t="s">
        <v>2718</v>
      </c>
      <c r="G15" s="55" t="s">
        <v>43</v>
      </c>
      <c r="H15" s="254">
        <v>46188.0</v>
      </c>
      <c r="I15" s="135" t="s">
        <v>72</v>
      </c>
      <c r="J15" s="135" t="s">
        <v>2719</v>
      </c>
      <c r="K15" s="255" t="s">
        <v>2720</v>
      </c>
      <c r="L15" s="135">
        <v>1190.0</v>
      </c>
      <c r="M15" s="135" t="s">
        <v>2721</v>
      </c>
      <c r="N15" s="135" t="s">
        <v>2722</v>
      </c>
      <c r="O15" s="135"/>
      <c r="P15" s="135"/>
      <c r="Q15" s="135" t="s">
        <v>2723</v>
      </c>
      <c r="R15" s="135" t="s">
        <v>2724</v>
      </c>
      <c r="S15" s="135"/>
      <c r="T15" s="250" t="s">
        <v>2725</v>
      </c>
      <c r="U15" s="250" t="s">
        <v>2726</v>
      </c>
      <c r="V15" s="135" t="s">
        <v>2727</v>
      </c>
      <c r="W15" s="135"/>
      <c r="X15" s="135"/>
      <c r="Y15" s="135"/>
      <c r="Z15" s="130" t="s">
        <v>190</v>
      </c>
      <c r="AA15" s="130" t="s">
        <v>145</v>
      </c>
      <c r="AB15" s="130" t="s">
        <v>145</v>
      </c>
      <c r="AC15" s="130" t="s">
        <v>146</v>
      </c>
      <c r="AD15" s="130" t="s">
        <v>145</v>
      </c>
      <c r="AE15" s="130" t="s">
        <v>146</v>
      </c>
      <c r="AF15" s="130" t="s">
        <v>146</v>
      </c>
      <c r="AG15" s="130" t="s">
        <v>54</v>
      </c>
      <c r="AH15" s="130" t="s">
        <v>146</v>
      </c>
      <c r="AI15" s="130">
        <v>39.0</v>
      </c>
    </row>
    <row r="16" ht="14.25" customHeight="1">
      <c r="A16" s="106"/>
      <c r="B16" s="106"/>
      <c r="C16" s="106"/>
      <c r="D16" s="106"/>
      <c r="E16" s="106"/>
      <c r="F16" s="106"/>
      <c r="G16" s="106"/>
      <c r="H16" s="106"/>
      <c r="I16" s="106"/>
      <c r="J16" s="106"/>
      <c r="K16" s="106"/>
      <c r="L16" s="106"/>
      <c r="M16" s="106"/>
      <c r="N16" s="253">
        <v>72.0</v>
      </c>
      <c r="O16" s="106"/>
      <c r="P16" s="106"/>
      <c r="Q16" s="253">
        <v>383.0</v>
      </c>
      <c r="R16" s="253">
        <v>147.0</v>
      </c>
      <c r="S16" s="106"/>
      <c r="T16" s="253">
        <v>22.0</v>
      </c>
      <c r="U16" s="253">
        <v>50.0</v>
      </c>
      <c r="V16" s="253">
        <v>198.0</v>
      </c>
      <c r="W16" s="106"/>
      <c r="X16" s="106"/>
      <c r="Y16" s="106"/>
      <c r="Z16" s="131"/>
      <c r="AA16" s="131"/>
      <c r="AB16" s="131"/>
      <c r="AC16" s="131"/>
      <c r="AD16" s="131"/>
      <c r="AE16" s="131"/>
      <c r="AF16" s="131"/>
      <c r="AG16" s="131"/>
      <c r="AH16" s="131"/>
      <c r="AI16" s="131"/>
    </row>
    <row r="17" ht="58.5" customHeight="1">
      <c r="A17" s="55">
        <v>7.0</v>
      </c>
      <c r="B17" s="55" t="s">
        <v>2652</v>
      </c>
      <c r="C17" s="55" t="s">
        <v>2728</v>
      </c>
      <c r="D17" s="55" t="s">
        <v>2729</v>
      </c>
      <c r="E17" s="55" t="s">
        <v>2730</v>
      </c>
      <c r="F17" s="55" t="s">
        <v>2731</v>
      </c>
      <c r="G17" s="55" t="s">
        <v>949</v>
      </c>
      <c r="H17" s="135"/>
      <c r="I17" s="135"/>
      <c r="J17" s="135"/>
      <c r="K17" s="135"/>
      <c r="L17" s="135"/>
      <c r="M17" s="135"/>
      <c r="N17" s="135"/>
      <c r="O17" s="135"/>
      <c r="P17" s="135"/>
      <c r="Q17" s="135"/>
      <c r="R17" s="135"/>
      <c r="S17" s="135"/>
      <c r="T17" s="135"/>
      <c r="U17" s="135"/>
      <c r="V17" s="135"/>
      <c r="W17" s="135"/>
      <c r="X17" s="135"/>
      <c r="Y17" s="135"/>
      <c r="Z17" s="130"/>
      <c r="AA17" s="130"/>
      <c r="AB17" s="130"/>
      <c r="AC17" s="130"/>
      <c r="AD17" s="130"/>
      <c r="AE17" s="130"/>
      <c r="AF17" s="130"/>
      <c r="AG17" s="130"/>
      <c r="AH17" s="130"/>
      <c r="AI17" s="130"/>
    </row>
    <row r="18" ht="14.25" customHeight="1">
      <c r="A18" s="106"/>
      <c r="B18" s="106"/>
      <c r="C18" s="106"/>
      <c r="D18" s="106"/>
      <c r="E18" s="106"/>
      <c r="F18" s="106"/>
      <c r="G18" s="106"/>
      <c r="H18" s="95"/>
      <c r="I18" s="95"/>
      <c r="J18" s="95"/>
      <c r="K18" s="95"/>
      <c r="L18" s="95"/>
      <c r="M18" s="95"/>
      <c r="N18" s="95"/>
      <c r="O18" s="95"/>
      <c r="P18" s="95"/>
      <c r="Q18" s="95"/>
      <c r="R18" s="95"/>
      <c r="S18" s="95"/>
      <c r="T18" s="95"/>
      <c r="U18" s="95"/>
      <c r="V18" s="95"/>
      <c r="W18" s="95"/>
      <c r="X18" s="95"/>
      <c r="Y18" s="95"/>
      <c r="Z18" s="131"/>
      <c r="AA18" s="131"/>
      <c r="AB18" s="131"/>
      <c r="AC18" s="131"/>
      <c r="AD18" s="131"/>
      <c r="AE18" s="131"/>
      <c r="AF18" s="131"/>
      <c r="AG18" s="131"/>
      <c r="AH18" s="131"/>
      <c r="AI18" s="131"/>
    </row>
    <row r="19" ht="51.75" customHeight="1">
      <c r="A19" s="55">
        <v>8.0</v>
      </c>
      <c r="B19" s="55" t="s">
        <v>2732</v>
      </c>
      <c r="C19" s="55" t="s">
        <v>2733</v>
      </c>
      <c r="D19" s="55" t="s">
        <v>2734</v>
      </c>
      <c r="E19" s="55" t="s">
        <v>2735</v>
      </c>
      <c r="F19" s="55" t="s">
        <v>2736</v>
      </c>
      <c r="G19" s="55" t="s">
        <v>949</v>
      </c>
      <c r="H19" s="135"/>
      <c r="I19" s="135"/>
      <c r="J19" s="135"/>
      <c r="K19" s="135"/>
      <c r="L19" s="135"/>
      <c r="M19" s="135"/>
      <c r="N19" s="135"/>
      <c r="O19" s="135"/>
      <c r="P19" s="135"/>
      <c r="Q19" s="135"/>
      <c r="R19" s="135"/>
      <c r="S19" s="135"/>
      <c r="T19" s="135"/>
      <c r="U19" s="135"/>
      <c r="V19" s="135"/>
      <c r="W19" s="135"/>
      <c r="X19" s="135"/>
      <c r="Y19" s="135"/>
      <c r="Z19" s="130"/>
      <c r="AA19" s="130"/>
      <c r="AB19" s="130"/>
      <c r="AC19" s="130"/>
      <c r="AD19" s="130"/>
      <c r="AE19" s="130"/>
      <c r="AF19" s="130"/>
      <c r="AG19" s="130"/>
      <c r="AH19" s="130"/>
      <c r="AI19" s="130"/>
    </row>
    <row r="20" ht="14.25" customHeight="1">
      <c r="A20" s="3"/>
      <c r="Z20" s="26"/>
      <c r="AA20" s="26"/>
      <c r="AB20" s="26"/>
      <c r="AC20" s="26"/>
      <c r="AD20" s="26"/>
      <c r="AE20" s="26"/>
      <c r="AF20" s="26"/>
      <c r="AG20" s="26"/>
      <c r="AH20" s="26"/>
      <c r="AI20" s="26"/>
    </row>
    <row r="21" ht="46.5" customHeight="1">
      <c r="A21" s="55">
        <v>9.0</v>
      </c>
      <c r="B21" s="55" t="s">
        <v>2732</v>
      </c>
      <c r="C21" s="55" t="s">
        <v>2737</v>
      </c>
      <c r="D21" s="55" t="s">
        <v>2738</v>
      </c>
      <c r="E21" s="55" t="s">
        <v>2739</v>
      </c>
      <c r="F21" s="55"/>
      <c r="G21" s="55" t="s">
        <v>949</v>
      </c>
      <c r="H21" s="135" t="s">
        <v>2740</v>
      </c>
      <c r="I21" s="135"/>
      <c r="J21" s="55"/>
      <c r="K21" s="258"/>
      <c r="L21" s="55"/>
      <c r="M21" s="135"/>
      <c r="N21" s="135"/>
      <c r="O21" s="135"/>
      <c r="P21" s="135"/>
      <c r="Q21" s="135"/>
      <c r="R21" s="135"/>
      <c r="S21" s="135"/>
      <c r="T21" s="135"/>
      <c r="U21" s="135"/>
      <c r="V21" s="135"/>
      <c r="W21" s="135"/>
      <c r="X21" s="135"/>
      <c r="Y21" s="135"/>
      <c r="Z21" s="130"/>
      <c r="AA21" s="130"/>
      <c r="AB21" s="130"/>
      <c r="AC21" s="130"/>
      <c r="AD21" s="130"/>
      <c r="AE21" s="130"/>
      <c r="AF21" s="130"/>
      <c r="AG21" s="130"/>
      <c r="AH21" s="130"/>
      <c r="AI21" s="130"/>
    </row>
    <row r="22" ht="14.25" customHeight="1">
      <c r="A22" s="3"/>
      <c r="Z22" s="26"/>
      <c r="AA22" s="26"/>
      <c r="AB22" s="26"/>
      <c r="AC22" s="26"/>
      <c r="AD22" s="26"/>
      <c r="AE22" s="26"/>
      <c r="AF22" s="26"/>
      <c r="AG22" s="26"/>
      <c r="AH22" s="26"/>
      <c r="AI22" s="26"/>
    </row>
    <row r="23" ht="14.25" customHeight="1">
      <c r="A23" s="3"/>
      <c r="Z23" s="25"/>
      <c r="AA23" s="25"/>
      <c r="AB23" s="25"/>
      <c r="AC23" s="25"/>
      <c r="AD23" s="25"/>
      <c r="AE23" s="25"/>
      <c r="AF23" s="25"/>
      <c r="AG23" s="25"/>
      <c r="AH23" s="25"/>
      <c r="AI23" s="25"/>
    </row>
    <row r="24" ht="14.25" customHeight="1">
      <c r="A24" s="3"/>
      <c r="Z24" s="62"/>
      <c r="AA24" s="62"/>
      <c r="AB24" s="62"/>
      <c r="AC24" s="62"/>
      <c r="AD24" s="62"/>
      <c r="AE24" s="62"/>
      <c r="AF24" s="62"/>
      <c r="AG24" s="62"/>
      <c r="AH24" s="62"/>
      <c r="AI24" s="62"/>
    </row>
    <row r="25" ht="14.25" customHeight="1">
      <c r="A25" s="3"/>
      <c r="C25" s="62" t="s">
        <v>216</v>
      </c>
      <c r="D25" s="45">
        <v>6.0</v>
      </c>
      <c r="Z25" s="62"/>
      <c r="AA25" s="62"/>
      <c r="AB25" s="62"/>
      <c r="AC25" s="62"/>
      <c r="AD25" s="62"/>
      <c r="AE25" s="62"/>
      <c r="AF25" s="62"/>
      <c r="AG25" s="62"/>
      <c r="AH25" s="62"/>
      <c r="AI25" s="62"/>
    </row>
    <row r="26" ht="14.25" customHeight="1">
      <c r="A26" s="3"/>
      <c r="C26" s="62" t="s">
        <v>217</v>
      </c>
      <c r="D26" s="45">
        <v>0.0</v>
      </c>
      <c r="Z26" s="62"/>
      <c r="AA26" s="62"/>
      <c r="AB26" s="62"/>
      <c r="AC26" s="62"/>
      <c r="AD26" s="62"/>
      <c r="AE26" s="62"/>
      <c r="AF26" s="62"/>
      <c r="AG26" s="62"/>
      <c r="AH26" s="62"/>
      <c r="AI26" s="62"/>
    </row>
    <row r="27" ht="14.25" customHeight="1">
      <c r="A27" s="3"/>
      <c r="C27" s="62" t="s">
        <v>2741</v>
      </c>
      <c r="D27" s="62">
        <v>2.0</v>
      </c>
      <c r="Z27" s="62"/>
      <c r="AA27" s="62"/>
      <c r="AB27" s="62"/>
      <c r="AC27" s="62"/>
      <c r="AD27" s="62"/>
      <c r="AE27" s="62"/>
      <c r="AF27" s="62"/>
      <c r="AG27" s="62"/>
      <c r="AH27" s="62"/>
      <c r="AI27" s="62"/>
    </row>
    <row r="28" ht="14.25" customHeight="1">
      <c r="A28" s="3"/>
      <c r="C28" s="62" t="s">
        <v>2742</v>
      </c>
      <c r="D28" s="62">
        <v>1.0</v>
      </c>
      <c r="Z28" s="62"/>
      <c r="AA28" s="62"/>
      <c r="AB28" s="62"/>
      <c r="AC28" s="62"/>
      <c r="AD28" s="62"/>
      <c r="AE28" s="62"/>
      <c r="AF28" s="62"/>
      <c r="AG28" s="62"/>
      <c r="AH28" s="62"/>
      <c r="AI28" s="62"/>
    </row>
    <row r="29" ht="14.25" customHeight="1">
      <c r="A29" s="3"/>
      <c r="D29" s="62">
        <f>SUM(D25:D28)</f>
        <v>9</v>
      </c>
      <c r="Z29" s="62"/>
      <c r="AA29" s="62"/>
      <c r="AB29" s="62"/>
      <c r="AC29" s="62"/>
      <c r="AD29" s="62"/>
      <c r="AE29" s="62"/>
      <c r="AF29" s="62"/>
      <c r="AG29" s="62"/>
      <c r="AH29" s="62"/>
      <c r="AI29" s="62"/>
    </row>
    <row r="30" ht="14.25" customHeight="1">
      <c r="A30" s="3"/>
      <c r="Z30" s="62"/>
      <c r="AA30" s="62"/>
      <c r="AB30" s="62"/>
      <c r="AC30" s="62"/>
      <c r="AD30" s="62"/>
      <c r="AE30" s="62"/>
      <c r="AF30" s="62"/>
      <c r="AG30" s="62"/>
      <c r="AH30" s="62"/>
      <c r="AI30" s="62"/>
    </row>
    <row r="31" ht="14.25" customHeight="1">
      <c r="A31" s="3"/>
      <c r="Z31" s="62"/>
      <c r="AA31" s="62"/>
      <c r="AB31" s="62"/>
      <c r="AC31" s="62"/>
      <c r="AD31" s="62"/>
      <c r="AE31" s="62"/>
      <c r="AF31" s="62"/>
      <c r="AG31" s="62"/>
      <c r="AH31" s="62"/>
      <c r="AI31" s="62"/>
    </row>
    <row r="32" ht="14.25" customHeight="1">
      <c r="A32" s="3"/>
      <c r="Z32" s="62"/>
      <c r="AA32" s="62"/>
      <c r="AB32" s="62"/>
      <c r="AC32" s="62"/>
      <c r="AD32" s="62"/>
      <c r="AE32" s="62"/>
      <c r="AF32" s="62"/>
      <c r="AG32" s="62"/>
      <c r="AH32" s="62"/>
      <c r="AI32" s="62"/>
    </row>
    <row r="33" ht="14.25" customHeight="1">
      <c r="A33" s="3"/>
      <c r="Z33" s="62"/>
      <c r="AA33" s="62"/>
      <c r="AB33" s="62"/>
      <c r="AC33" s="62"/>
      <c r="AD33" s="62"/>
      <c r="AE33" s="62"/>
      <c r="AF33" s="62"/>
      <c r="AG33" s="62"/>
      <c r="AH33" s="62"/>
      <c r="AI33" s="62"/>
    </row>
    <row r="34" ht="14.25" customHeight="1">
      <c r="A34" s="3"/>
      <c r="Z34" s="62"/>
      <c r="AA34" s="62"/>
      <c r="AB34" s="62"/>
      <c r="AC34" s="62"/>
      <c r="AD34" s="62"/>
      <c r="AE34" s="62"/>
      <c r="AF34" s="62"/>
      <c r="AG34" s="62"/>
      <c r="AH34" s="62"/>
      <c r="AI34" s="62"/>
    </row>
    <row r="35" ht="14.25" customHeight="1">
      <c r="A35" s="3"/>
      <c r="Z35" s="62"/>
      <c r="AA35" s="62"/>
      <c r="AB35" s="62"/>
      <c r="AC35" s="62"/>
      <c r="AD35" s="62"/>
      <c r="AE35" s="62"/>
      <c r="AF35" s="62"/>
      <c r="AG35" s="62"/>
      <c r="AH35" s="62"/>
      <c r="AI35" s="62"/>
    </row>
    <row r="36" ht="14.25" customHeight="1">
      <c r="A36" s="3"/>
      <c r="Z36" s="62"/>
      <c r="AA36" s="62"/>
      <c r="AB36" s="62"/>
      <c r="AC36" s="62"/>
      <c r="AD36" s="62"/>
      <c r="AE36" s="62"/>
      <c r="AF36" s="62"/>
      <c r="AG36" s="62"/>
      <c r="AH36" s="62"/>
      <c r="AI36" s="62"/>
    </row>
    <row r="37" ht="14.25" customHeight="1">
      <c r="A37" s="3"/>
      <c r="Z37" s="62"/>
      <c r="AA37" s="62"/>
      <c r="AB37" s="62"/>
      <c r="AC37" s="62"/>
      <c r="AD37" s="62"/>
      <c r="AE37" s="62"/>
      <c r="AF37" s="62"/>
      <c r="AG37" s="62"/>
      <c r="AH37" s="62"/>
      <c r="AI37" s="62"/>
    </row>
    <row r="38" ht="14.25" customHeight="1">
      <c r="A38" s="3"/>
      <c r="Z38" s="62"/>
      <c r="AA38" s="62"/>
      <c r="AB38" s="62"/>
      <c r="AC38" s="62"/>
      <c r="AD38" s="62"/>
      <c r="AE38" s="62"/>
      <c r="AF38" s="62"/>
      <c r="AG38" s="62"/>
      <c r="AH38" s="62"/>
      <c r="AI38" s="62"/>
    </row>
    <row r="39" ht="14.25" customHeight="1">
      <c r="A39" s="3"/>
      <c r="Z39" s="62"/>
      <c r="AA39" s="62"/>
      <c r="AB39" s="62"/>
      <c r="AC39" s="62"/>
      <c r="AD39" s="62"/>
      <c r="AE39" s="62"/>
      <c r="AF39" s="62"/>
      <c r="AG39" s="62"/>
      <c r="AH39" s="62"/>
      <c r="AI39" s="62"/>
    </row>
    <row r="40" ht="14.25" customHeight="1">
      <c r="A40" s="3"/>
      <c r="Z40" s="62"/>
      <c r="AA40" s="62"/>
      <c r="AB40" s="62"/>
      <c r="AC40" s="62"/>
      <c r="AD40" s="62"/>
      <c r="AE40" s="62"/>
      <c r="AF40" s="62"/>
      <c r="AG40" s="62"/>
      <c r="AH40" s="62"/>
      <c r="AI40" s="62"/>
    </row>
    <row r="41" ht="14.25" customHeight="1">
      <c r="A41" s="3"/>
      <c r="Z41" s="62"/>
      <c r="AA41" s="62"/>
      <c r="AB41" s="62"/>
      <c r="AC41" s="62"/>
      <c r="AD41" s="62"/>
      <c r="AE41" s="62"/>
      <c r="AF41" s="62"/>
      <c r="AG41" s="62"/>
      <c r="AH41" s="62"/>
      <c r="AI41" s="62"/>
    </row>
    <row r="42" ht="14.25" customHeight="1">
      <c r="A42" s="3"/>
      <c r="Z42" s="62"/>
      <c r="AA42" s="62"/>
      <c r="AB42" s="62"/>
      <c r="AC42" s="62"/>
      <c r="AD42" s="62"/>
      <c r="AE42" s="62"/>
      <c r="AF42" s="62"/>
      <c r="AG42" s="62"/>
      <c r="AH42" s="62"/>
      <c r="AI42" s="62"/>
    </row>
    <row r="43" ht="14.25" customHeight="1">
      <c r="A43" s="3"/>
      <c r="Z43" s="62"/>
      <c r="AA43" s="62"/>
      <c r="AB43" s="62"/>
      <c r="AC43" s="62"/>
      <c r="AD43" s="62"/>
      <c r="AE43" s="62"/>
      <c r="AF43" s="62"/>
      <c r="AG43" s="62"/>
      <c r="AH43" s="62"/>
      <c r="AI43" s="62"/>
    </row>
    <row r="44" ht="14.25" customHeight="1">
      <c r="A44" s="3"/>
      <c r="Z44" s="62"/>
      <c r="AA44" s="62"/>
      <c r="AB44" s="62"/>
      <c r="AC44" s="62"/>
      <c r="AD44" s="62"/>
      <c r="AE44" s="62"/>
      <c r="AF44" s="62"/>
      <c r="AG44" s="62"/>
      <c r="AH44" s="62"/>
      <c r="AI44" s="62"/>
    </row>
    <row r="45" ht="14.25" customHeight="1">
      <c r="A45" s="3"/>
      <c r="Z45" s="62"/>
      <c r="AA45" s="62"/>
      <c r="AB45" s="62"/>
      <c r="AC45" s="62"/>
      <c r="AD45" s="62"/>
      <c r="AE45" s="62"/>
      <c r="AF45" s="62"/>
      <c r="AG45" s="62"/>
      <c r="AH45" s="62"/>
      <c r="AI45" s="62"/>
    </row>
    <row r="46" ht="14.25" customHeight="1">
      <c r="A46" s="3"/>
      <c r="Z46" s="62"/>
      <c r="AA46" s="62"/>
      <c r="AB46" s="62"/>
      <c r="AC46" s="62"/>
      <c r="AD46" s="62"/>
      <c r="AE46" s="62"/>
      <c r="AF46" s="62"/>
      <c r="AG46" s="62"/>
      <c r="AH46" s="62"/>
      <c r="AI46" s="62"/>
    </row>
    <row r="47" ht="14.25" customHeight="1">
      <c r="A47" s="3"/>
      <c r="Z47" s="62"/>
      <c r="AA47" s="62"/>
      <c r="AB47" s="62"/>
      <c r="AC47" s="62"/>
      <c r="AD47" s="62"/>
      <c r="AE47" s="62"/>
      <c r="AF47" s="62"/>
      <c r="AG47" s="62"/>
      <c r="AH47" s="62"/>
      <c r="AI47" s="62"/>
    </row>
    <row r="48" ht="14.25" customHeight="1">
      <c r="A48" s="3"/>
      <c r="Z48" s="62"/>
      <c r="AA48" s="62"/>
      <c r="AB48" s="62"/>
      <c r="AC48" s="62"/>
      <c r="AD48" s="62"/>
      <c r="AE48" s="62"/>
      <c r="AF48" s="62"/>
      <c r="AG48" s="62"/>
      <c r="AH48" s="62"/>
      <c r="AI48" s="62"/>
    </row>
    <row r="49" ht="14.25" customHeight="1">
      <c r="A49" s="3"/>
      <c r="Z49" s="62"/>
      <c r="AA49" s="62"/>
      <c r="AB49" s="62"/>
      <c r="AC49" s="62"/>
      <c r="AD49" s="62"/>
      <c r="AE49" s="62"/>
      <c r="AF49" s="62"/>
      <c r="AG49" s="62"/>
      <c r="AH49" s="62"/>
      <c r="AI49" s="62"/>
    </row>
    <row r="50" ht="14.25" customHeight="1">
      <c r="A50" s="3"/>
      <c r="Z50" s="62"/>
      <c r="AA50" s="62"/>
      <c r="AB50" s="62"/>
      <c r="AC50" s="62"/>
      <c r="AD50" s="62"/>
      <c r="AE50" s="62"/>
      <c r="AF50" s="62"/>
      <c r="AG50" s="62"/>
      <c r="AH50" s="62"/>
      <c r="AI50" s="62"/>
    </row>
    <row r="51" ht="14.25" customHeight="1">
      <c r="A51" s="3"/>
      <c r="Z51" s="62"/>
      <c r="AA51" s="62"/>
      <c r="AB51" s="62"/>
      <c r="AC51" s="62"/>
      <c r="AD51" s="62"/>
      <c r="AE51" s="62"/>
      <c r="AF51" s="62"/>
      <c r="AG51" s="62"/>
      <c r="AH51" s="62"/>
      <c r="AI51" s="62"/>
    </row>
    <row r="52" ht="14.25" customHeight="1">
      <c r="A52" s="3"/>
      <c r="Z52" s="62"/>
      <c r="AA52" s="62"/>
      <c r="AB52" s="62"/>
      <c r="AC52" s="62"/>
      <c r="AD52" s="62"/>
      <c r="AE52" s="62"/>
      <c r="AF52" s="62"/>
      <c r="AG52" s="62"/>
      <c r="AH52" s="62"/>
      <c r="AI52" s="62"/>
    </row>
    <row r="53" ht="14.25" customHeight="1">
      <c r="A53" s="3"/>
      <c r="Z53" s="62"/>
      <c r="AA53" s="62"/>
      <c r="AB53" s="62"/>
      <c r="AC53" s="62"/>
      <c r="AD53" s="62"/>
      <c r="AE53" s="62"/>
      <c r="AF53" s="62"/>
      <c r="AG53" s="62"/>
      <c r="AH53" s="62"/>
      <c r="AI53" s="62"/>
    </row>
    <row r="54" ht="14.25" customHeight="1">
      <c r="A54" s="3"/>
      <c r="Z54" s="62"/>
      <c r="AA54" s="62"/>
      <c r="AB54" s="62"/>
      <c r="AC54" s="62"/>
      <c r="AD54" s="62"/>
      <c r="AE54" s="62"/>
      <c r="AF54" s="62"/>
      <c r="AG54" s="62"/>
      <c r="AH54" s="62"/>
      <c r="AI54" s="62"/>
    </row>
    <row r="55" ht="14.25" customHeight="1">
      <c r="A55" s="3"/>
      <c r="Z55" s="62"/>
      <c r="AA55" s="62"/>
      <c r="AB55" s="62"/>
      <c r="AC55" s="62"/>
      <c r="AD55" s="62"/>
      <c r="AE55" s="62"/>
      <c r="AF55" s="62"/>
      <c r="AG55" s="62"/>
      <c r="AH55" s="62"/>
      <c r="AI55" s="62"/>
    </row>
    <row r="56" ht="14.25" customHeight="1">
      <c r="A56" s="3"/>
      <c r="Z56" s="62"/>
      <c r="AA56" s="62"/>
      <c r="AB56" s="62"/>
      <c r="AC56" s="62"/>
      <c r="AD56" s="62"/>
      <c r="AE56" s="62"/>
      <c r="AF56" s="62"/>
      <c r="AG56" s="62"/>
      <c r="AH56" s="62"/>
      <c r="AI56" s="62"/>
    </row>
    <row r="57" ht="14.25" customHeight="1">
      <c r="A57" s="3"/>
      <c r="Z57" s="62"/>
      <c r="AA57" s="62"/>
      <c r="AB57" s="62"/>
      <c r="AC57" s="62"/>
      <c r="AD57" s="62"/>
      <c r="AE57" s="62"/>
      <c r="AF57" s="62"/>
      <c r="AG57" s="62"/>
      <c r="AH57" s="62"/>
      <c r="AI57" s="62"/>
    </row>
    <row r="58" ht="14.25" customHeight="1">
      <c r="A58" s="3"/>
      <c r="Z58" s="62"/>
      <c r="AA58" s="62"/>
      <c r="AB58" s="62"/>
      <c r="AC58" s="62"/>
      <c r="AD58" s="62"/>
      <c r="AE58" s="62"/>
      <c r="AF58" s="62"/>
      <c r="AG58" s="62"/>
      <c r="AH58" s="62"/>
      <c r="AI58" s="62"/>
    </row>
    <row r="59" ht="14.25" customHeight="1">
      <c r="A59" s="3"/>
      <c r="Z59" s="62"/>
      <c r="AA59" s="62"/>
      <c r="AB59" s="62"/>
      <c r="AC59" s="62"/>
      <c r="AD59" s="62"/>
      <c r="AE59" s="62"/>
      <c r="AF59" s="62"/>
      <c r="AG59" s="62"/>
      <c r="AH59" s="62"/>
      <c r="AI59" s="62"/>
    </row>
    <row r="60" ht="14.25" customHeight="1">
      <c r="A60" s="3"/>
      <c r="Z60" s="62"/>
      <c r="AA60" s="62"/>
      <c r="AB60" s="62"/>
      <c r="AC60" s="62"/>
      <c r="AD60" s="62"/>
      <c r="AE60" s="62"/>
      <c r="AF60" s="62"/>
      <c r="AG60" s="62"/>
      <c r="AH60" s="62"/>
      <c r="AI60" s="62"/>
    </row>
    <row r="61" ht="14.25" customHeight="1">
      <c r="A61" s="3"/>
      <c r="Z61" s="62"/>
      <c r="AA61" s="62"/>
      <c r="AB61" s="62"/>
      <c r="AC61" s="62"/>
      <c r="AD61" s="62"/>
      <c r="AE61" s="62"/>
      <c r="AF61" s="62"/>
      <c r="AG61" s="62"/>
      <c r="AH61" s="62"/>
      <c r="AI61" s="62"/>
    </row>
    <row r="62" ht="14.25" customHeight="1">
      <c r="A62" s="3"/>
      <c r="Z62" s="62"/>
      <c r="AA62" s="62"/>
      <c r="AB62" s="62"/>
      <c r="AC62" s="62"/>
      <c r="AD62" s="62"/>
      <c r="AE62" s="62"/>
      <c r="AF62" s="62"/>
      <c r="AG62" s="62"/>
      <c r="AH62" s="62"/>
      <c r="AI62" s="62"/>
    </row>
    <row r="63" ht="14.25" customHeight="1">
      <c r="A63" s="3"/>
      <c r="Z63" s="62"/>
      <c r="AA63" s="62"/>
      <c r="AB63" s="62"/>
      <c r="AC63" s="62"/>
      <c r="AD63" s="62"/>
      <c r="AE63" s="62"/>
      <c r="AF63" s="62"/>
      <c r="AG63" s="62"/>
      <c r="AH63" s="62"/>
      <c r="AI63" s="62"/>
    </row>
    <row r="64" ht="14.25" customHeight="1">
      <c r="A64" s="3"/>
      <c r="Z64" s="62"/>
      <c r="AA64" s="62"/>
      <c r="AB64" s="62"/>
      <c r="AC64" s="62"/>
      <c r="AD64" s="62"/>
      <c r="AE64" s="62"/>
      <c r="AF64" s="62"/>
      <c r="AG64" s="62"/>
      <c r="AH64" s="62"/>
      <c r="AI64" s="62"/>
    </row>
    <row r="65" ht="14.25" customHeight="1">
      <c r="A65" s="3"/>
      <c r="Z65" s="62"/>
      <c r="AA65" s="62"/>
      <c r="AB65" s="62"/>
      <c r="AC65" s="62"/>
      <c r="AD65" s="62"/>
      <c r="AE65" s="62"/>
      <c r="AF65" s="62"/>
      <c r="AG65" s="62"/>
      <c r="AH65" s="62"/>
      <c r="AI65" s="62"/>
    </row>
    <row r="66" ht="14.25" customHeight="1">
      <c r="A66" s="3"/>
      <c r="Z66" s="62"/>
      <c r="AA66" s="62"/>
      <c r="AB66" s="62"/>
      <c r="AC66" s="62"/>
      <c r="AD66" s="62"/>
      <c r="AE66" s="62"/>
      <c r="AF66" s="62"/>
      <c r="AG66" s="62"/>
      <c r="AH66" s="62"/>
      <c r="AI66" s="62"/>
    </row>
    <row r="67" ht="14.25" customHeight="1">
      <c r="A67" s="3"/>
      <c r="Z67" s="62"/>
      <c r="AA67" s="62"/>
      <c r="AB67" s="62"/>
      <c r="AC67" s="62"/>
      <c r="AD67" s="62"/>
      <c r="AE67" s="62"/>
      <c r="AF67" s="62"/>
      <c r="AG67" s="62"/>
      <c r="AH67" s="62"/>
      <c r="AI67" s="62"/>
    </row>
    <row r="68" ht="14.25" customHeight="1">
      <c r="A68" s="3"/>
      <c r="Z68" s="62"/>
      <c r="AA68" s="62"/>
      <c r="AB68" s="62"/>
      <c r="AC68" s="62"/>
      <c r="AD68" s="62"/>
      <c r="AE68" s="62"/>
      <c r="AF68" s="62"/>
      <c r="AG68" s="62"/>
      <c r="AH68" s="62"/>
      <c r="AI68" s="62"/>
    </row>
    <row r="69" ht="14.25" customHeight="1">
      <c r="A69" s="3"/>
      <c r="Z69" s="62"/>
      <c r="AA69" s="62"/>
      <c r="AB69" s="62"/>
      <c r="AC69" s="62"/>
      <c r="AD69" s="62"/>
      <c r="AE69" s="62"/>
      <c r="AF69" s="62"/>
      <c r="AG69" s="62"/>
      <c r="AH69" s="62"/>
      <c r="AI69" s="62"/>
    </row>
    <row r="70" ht="14.25" customHeight="1">
      <c r="A70" s="3"/>
      <c r="Z70" s="62"/>
      <c r="AA70" s="62"/>
      <c r="AB70" s="62"/>
      <c r="AC70" s="62"/>
      <c r="AD70" s="62"/>
      <c r="AE70" s="62"/>
      <c r="AF70" s="62"/>
      <c r="AG70" s="62"/>
      <c r="AH70" s="62"/>
      <c r="AI70" s="62"/>
    </row>
    <row r="71" ht="14.25" customHeight="1">
      <c r="A71" s="3"/>
      <c r="Z71" s="62"/>
      <c r="AA71" s="62"/>
      <c r="AB71" s="62"/>
      <c r="AC71" s="62"/>
      <c r="AD71" s="62"/>
      <c r="AE71" s="62"/>
      <c r="AF71" s="62"/>
      <c r="AG71" s="62"/>
      <c r="AH71" s="62"/>
      <c r="AI71" s="62"/>
    </row>
    <row r="72" ht="14.25" customHeight="1">
      <c r="A72" s="3"/>
      <c r="Z72" s="62"/>
      <c r="AA72" s="62"/>
      <c r="AB72" s="62"/>
      <c r="AC72" s="62"/>
      <c r="AD72" s="62"/>
      <c r="AE72" s="62"/>
      <c r="AF72" s="62"/>
      <c r="AG72" s="62"/>
      <c r="AH72" s="62"/>
      <c r="AI72" s="62"/>
    </row>
    <row r="73" ht="14.25" customHeight="1">
      <c r="A73" s="3"/>
      <c r="Z73" s="62"/>
      <c r="AA73" s="62"/>
      <c r="AB73" s="62"/>
      <c r="AC73" s="62"/>
      <c r="AD73" s="62"/>
      <c r="AE73" s="62"/>
      <c r="AF73" s="62"/>
      <c r="AG73" s="62"/>
      <c r="AH73" s="62"/>
      <c r="AI73" s="62"/>
    </row>
    <row r="74" ht="14.25" customHeight="1">
      <c r="A74" s="3"/>
      <c r="Z74" s="62"/>
      <c r="AA74" s="62"/>
      <c r="AB74" s="62"/>
      <c r="AC74" s="62"/>
      <c r="AD74" s="62"/>
      <c r="AE74" s="62"/>
      <c r="AF74" s="62"/>
      <c r="AG74" s="62"/>
      <c r="AH74" s="62"/>
      <c r="AI74" s="62"/>
    </row>
    <row r="75" ht="14.25" customHeight="1">
      <c r="A75" s="3"/>
      <c r="Z75" s="62"/>
      <c r="AA75" s="62"/>
      <c r="AB75" s="62"/>
      <c r="AC75" s="62"/>
      <c r="AD75" s="62"/>
      <c r="AE75" s="62"/>
      <c r="AF75" s="62"/>
      <c r="AG75" s="62"/>
      <c r="AH75" s="62"/>
      <c r="AI75" s="62"/>
    </row>
    <row r="76" ht="14.25" customHeight="1">
      <c r="A76" s="3"/>
      <c r="Z76" s="62"/>
      <c r="AA76" s="62"/>
      <c r="AB76" s="62"/>
      <c r="AC76" s="62"/>
      <c r="AD76" s="62"/>
      <c r="AE76" s="62"/>
      <c r="AF76" s="62"/>
      <c r="AG76" s="62"/>
      <c r="AH76" s="62"/>
      <c r="AI76" s="62"/>
    </row>
    <row r="77" ht="14.25" customHeight="1">
      <c r="A77" s="3"/>
      <c r="Z77" s="62"/>
      <c r="AA77" s="62"/>
      <c r="AB77" s="62"/>
      <c r="AC77" s="62"/>
      <c r="AD77" s="62"/>
      <c r="AE77" s="62"/>
      <c r="AF77" s="62"/>
      <c r="AG77" s="62"/>
      <c r="AH77" s="62"/>
      <c r="AI77" s="62"/>
    </row>
    <row r="78" ht="14.25" customHeight="1">
      <c r="A78" s="3"/>
      <c r="Z78" s="62"/>
      <c r="AA78" s="62"/>
      <c r="AB78" s="62"/>
      <c r="AC78" s="62"/>
      <c r="AD78" s="62"/>
      <c r="AE78" s="62"/>
      <c r="AF78" s="62"/>
      <c r="AG78" s="62"/>
      <c r="AH78" s="62"/>
      <c r="AI78" s="62"/>
    </row>
    <row r="79" ht="14.25" customHeight="1">
      <c r="A79" s="3"/>
      <c r="Z79" s="62"/>
      <c r="AA79" s="62"/>
      <c r="AB79" s="62"/>
      <c r="AC79" s="62"/>
      <c r="AD79" s="62"/>
      <c r="AE79" s="62"/>
      <c r="AF79" s="62"/>
      <c r="AG79" s="62"/>
      <c r="AH79" s="62"/>
      <c r="AI79" s="62"/>
    </row>
    <row r="80" ht="14.25" customHeight="1">
      <c r="A80" s="3"/>
      <c r="Z80" s="62"/>
      <c r="AA80" s="62"/>
      <c r="AB80" s="62"/>
      <c r="AC80" s="62"/>
      <c r="AD80" s="62"/>
      <c r="AE80" s="62"/>
      <c r="AF80" s="62"/>
      <c r="AG80" s="62"/>
      <c r="AH80" s="62"/>
      <c r="AI80" s="62"/>
    </row>
    <row r="81" ht="14.25" customHeight="1">
      <c r="A81" s="3"/>
      <c r="Z81" s="62"/>
      <c r="AA81" s="62"/>
      <c r="AB81" s="62"/>
      <c r="AC81" s="62"/>
      <c r="AD81" s="62"/>
      <c r="AE81" s="62"/>
      <c r="AF81" s="62"/>
      <c r="AG81" s="62"/>
      <c r="AH81" s="62"/>
      <c r="AI81" s="62"/>
    </row>
    <row r="82" ht="14.25" customHeight="1">
      <c r="A82" s="3"/>
      <c r="Z82" s="62"/>
      <c r="AA82" s="62"/>
      <c r="AB82" s="62"/>
      <c r="AC82" s="62"/>
      <c r="AD82" s="62"/>
      <c r="AE82" s="62"/>
      <c r="AF82" s="62"/>
      <c r="AG82" s="62"/>
      <c r="AH82" s="62"/>
      <c r="AI82" s="62"/>
    </row>
    <row r="83" ht="14.25" customHeight="1">
      <c r="A83" s="3"/>
      <c r="Z83" s="62"/>
      <c r="AA83" s="62"/>
      <c r="AB83" s="62"/>
      <c r="AC83" s="62"/>
      <c r="AD83" s="62"/>
      <c r="AE83" s="62"/>
      <c r="AF83" s="62"/>
      <c r="AG83" s="62"/>
      <c r="AH83" s="62"/>
      <c r="AI83" s="62"/>
    </row>
    <row r="84" ht="14.25" customHeight="1">
      <c r="A84" s="3"/>
      <c r="Z84" s="62"/>
      <c r="AA84" s="62"/>
      <c r="AB84" s="62"/>
      <c r="AC84" s="62"/>
      <c r="AD84" s="62"/>
      <c r="AE84" s="62"/>
      <c r="AF84" s="62"/>
      <c r="AG84" s="62"/>
      <c r="AH84" s="62"/>
      <c r="AI84" s="62"/>
    </row>
    <row r="85" ht="14.25" customHeight="1">
      <c r="A85" s="3"/>
      <c r="Z85" s="62"/>
      <c r="AA85" s="62"/>
      <c r="AB85" s="62"/>
      <c r="AC85" s="62"/>
      <c r="AD85" s="62"/>
      <c r="AE85" s="62"/>
      <c r="AF85" s="62"/>
      <c r="AG85" s="62"/>
      <c r="AH85" s="62"/>
      <c r="AI85" s="62"/>
    </row>
    <row r="86" ht="14.25" customHeight="1">
      <c r="A86" s="3"/>
      <c r="Z86" s="62"/>
      <c r="AA86" s="62"/>
      <c r="AB86" s="62"/>
      <c r="AC86" s="62"/>
      <c r="AD86" s="62"/>
      <c r="AE86" s="62"/>
      <c r="AF86" s="62"/>
      <c r="AG86" s="62"/>
      <c r="AH86" s="62"/>
      <c r="AI86" s="62"/>
    </row>
    <row r="87" ht="14.25" customHeight="1">
      <c r="A87" s="3"/>
      <c r="Z87" s="62"/>
      <c r="AA87" s="62"/>
      <c r="AB87" s="62"/>
      <c r="AC87" s="62"/>
      <c r="AD87" s="62"/>
      <c r="AE87" s="62"/>
      <c r="AF87" s="62"/>
      <c r="AG87" s="62"/>
      <c r="AH87" s="62"/>
      <c r="AI87" s="62"/>
    </row>
    <row r="88" ht="14.25" customHeight="1">
      <c r="A88" s="3"/>
      <c r="Z88" s="62"/>
      <c r="AA88" s="62"/>
      <c r="AB88" s="62"/>
      <c r="AC88" s="62"/>
      <c r="AD88" s="62"/>
      <c r="AE88" s="62"/>
      <c r="AF88" s="62"/>
      <c r="AG88" s="62"/>
      <c r="AH88" s="62"/>
      <c r="AI88" s="62"/>
    </row>
    <row r="89" ht="14.25" customHeight="1">
      <c r="A89" s="3"/>
      <c r="Z89" s="62"/>
      <c r="AA89" s="62"/>
      <c r="AB89" s="62"/>
      <c r="AC89" s="62"/>
      <c r="AD89" s="62"/>
      <c r="AE89" s="62"/>
      <c r="AF89" s="62"/>
      <c r="AG89" s="62"/>
      <c r="AH89" s="62"/>
      <c r="AI89" s="62"/>
    </row>
    <row r="90" ht="14.25" customHeight="1">
      <c r="A90" s="3"/>
      <c r="Z90" s="62"/>
      <c r="AA90" s="62"/>
      <c r="AB90" s="62"/>
      <c r="AC90" s="62"/>
      <c r="AD90" s="62"/>
      <c r="AE90" s="62"/>
      <c r="AF90" s="62"/>
      <c r="AG90" s="62"/>
      <c r="AH90" s="62"/>
      <c r="AI90" s="62"/>
    </row>
    <row r="91" ht="14.25" customHeight="1">
      <c r="A91" s="3"/>
      <c r="Z91" s="62"/>
      <c r="AA91" s="62"/>
      <c r="AB91" s="62"/>
      <c r="AC91" s="62"/>
      <c r="AD91" s="62"/>
      <c r="AE91" s="62"/>
      <c r="AF91" s="62"/>
      <c r="AG91" s="62"/>
      <c r="AH91" s="62"/>
      <c r="AI91" s="62"/>
    </row>
    <row r="92" ht="14.25" customHeight="1">
      <c r="A92" s="3"/>
      <c r="Z92" s="62"/>
      <c r="AA92" s="62"/>
      <c r="AB92" s="62"/>
      <c r="AC92" s="62"/>
      <c r="AD92" s="62"/>
      <c r="AE92" s="62"/>
      <c r="AF92" s="62"/>
      <c r="AG92" s="62"/>
      <c r="AH92" s="62"/>
      <c r="AI92" s="62"/>
    </row>
    <row r="93" ht="14.25" customHeight="1">
      <c r="A93" s="3"/>
      <c r="Z93" s="62"/>
      <c r="AA93" s="62"/>
      <c r="AB93" s="62"/>
      <c r="AC93" s="62"/>
      <c r="AD93" s="62"/>
      <c r="AE93" s="62"/>
      <c r="AF93" s="62"/>
      <c r="AG93" s="62"/>
      <c r="AH93" s="62"/>
      <c r="AI93" s="62"/>
    </row>
    <row r="94" ht="14.25" customHeight="1">
      <c r="A94" s="3"/>
      <c r="Z94" s="62"/>
      <c r="AA94" s="62"/>
      <c r="AB94" s="62"/>
      <c r="AC94" s="62"/>
      <c r="AD94" s="62"/>
      <c r="AE94" s="62"/>
      <c r="AF94" s="62"/>
      <c r="AG94" s="62"/>
      <c r="AH94" s="62"/>
      <c r="AI94" s="62"/>
    </row>
    <row r="95" ht="14.25" customHeight="1">
      <c r="A95" s="3"/>
      <c r="Z95" s="62"/>
      <c r="AA95" s="62"/>
      <c r="AB95" s="62"/>
      <c r="AC95" s="62"/>
      <c r="AD95" s="62"/>
      <c r="AE95" s="62"/>
      <c r="AF95" s="62"/>
      <c r="AG95" s="62"/>
      <c r="AH95" s="62"/>
      <c r="AI95" s="62"/>
    </row>
    <row r="96" ht="14.25" customHeight="1">
      <c r="A96" s="3"/>
      <c r="Z96" s="62"/>
      <c r="AA96" s="62"/>
      <c r="AB96" s="62"/>
      <c r="AC96" s="62"/>
      <c r="AD96" s="62"/>
      <c r="AE96" s="62"/>
      <c r="AF96" s="62"/>
      <c r="AG96" s="62"/>
      <c r="AH96" s="62"/>
      <c r="AI96" s="62"/>
    </row>
    <row r="97" ht="14.25" customHeight="1">
      <c r="A97" s="3"/>
      <c r="Z97" s="62"/>
      <c r="AA97" s="62"/>
      <c r="AB97" s="62"/>
      <c r="AC97" s="62"/>
      <c r="AD97" s="62"/>
      <c r="AE97" s="62"/>
      <c r="AF97" s="62"/>
      <c r="AG97" s="62"/>
      <c r="AH97" s="62"/>
      <c r="AI97" s="62"/>
    </row>
    <row r="98" ht="14.25" customHeight="1">
      <c r="A98" s="3"/>
      <c r="Z98" s="62"/>
      <c r="AA98" s="62"/>
      <c r="AB98" s="62"/>
      <c r="AC98" s="62"/>
      <c r="AD98" s="62"/>
      <c r="AE98" s="62"/>
      <c r="AF98" s="62"/>
      <c r="AG98" s="62"/>
      <c r="AH98" s="62"/>
      <c r="AI98" s="62"/>
    </row>
    <row r="99" ht="14.25" customHeight="1">
      <c r="A99" s="3"/>
      <c r="Z99" s="62"/>
      <c r="AA99" s="62"/>
      <c r="AB99" s="62"/>
      <c r="AC99" s="62"/>
      <c r="AD99" s="62"/>
      <c r="AE99" s="62"/>
      <c r="AF99" s="62"/>
      <c r="AG99" s="62"/>
      <c r="AH99" s="62"/>
      <c r="AI99" s="62"/>
    </row>
    <row r="100" ht="14.25" customHeight="1">
      <c r="A100" s="3"/>
      <c r="Z100" s="62"/>
      <c r="AA100" s="62"/>
      <c r="AB100" s="62"/>
      <c r="AC100" s="62"/>
      <c r="AD100" s="62"/>
      <c r="AE100" s="62"/>
      <c r="AF100" s="62"/>
      <c r="AG100" s="62"/>
      <c r="AH100" s="62"/>
      <c r="AI100" s="62"/>
    </row>
    <row r="101" ht="14.25" customHeight="1">
      <c r="A101" s="3"/>
      <c r="Z101" s="62"/>
      <c r="AA101" s="62"/>
      <c r="AB101" s="62"/>
      <c r="AC101" s="62"/>
      <c r="AD101" s="62"/>
      <c r="AE101" s="62"/>
      <c r="AF101" s="62"/>
      <c r="AG101" s="62"/>
      <c r="AH101" s="62"/>
      <c r="AI101" s="62"/>
    </row>
    <row r="102" ht="14.25" customHeight="1">
      <c r="A102" s="3"/>
      <c r="Z102" s="62"/>
      <c r="AA102" s="62"/>
      <c r="AB102" s="62"/>
      <c r="AC102" s="62"/>
      <c r="AD102" s="62"/>
      <c r="AE102" s="62"/>
      <c r="AF102" s="62"/>
      <c r="AG102" s="62"/>
      <c r="AH102" s="62"/>
      <c r="AI102" s="62"/>
    </row>
    <row r="103" ht="14.25" customHeight="1">
      <c r="A103" s="3"/>
      <c r="Z103" s="62"/>
      <c r="AA103" s="62"/>
      <c r="AB103" s="62"/>
      <c r="AC103" s="62"/>
      <c r="AD103" s="62"/>
      <c r="AE103" s="62"/>
      <c r="AF103" s="62"/>
      <c r="AG103" s="62"/>
      <c r="AH103" s="62"/>
      <c r="AI103" s="62"/>
    </row>
    <row r="104" ht="14.25" customHeight="1">
      <c r="A104" s="3"/>
      <c r="Z104" s="62"/>
      <c r="AA104" s="62"/>
      <c r="AB104" s="62"/>
      <c r="AC104" s="62"/>
      <c r="AD104" s="62"/>
      <c r="AE104" s="62"/>
      <c r="AF104" s="62"/>
      <c r="AG104" s="62"/>
      <c r="AH104" s="62"/>
      <c r="AI104" s="62"/>
    </row>
    <row r="105" ht="14.25" customHeight="1">
      <c r="A105" s="3"/>
      <c r="Z105" s="62"/>
      <c r="AA105" s="62"/>
      <c r="AB105" s="62"/>
      <c r="AC105" s="62"/>
      <c r="AD105" s="62"/>
      <c r="AE105" s="62"/>
      <c r="AF105" s="62"/>
      <c r="AG105" s="62"/>
      <c r="AH105" s="62"/>
      <c r="AI105" s="62"/>
    </row>
    <row r="106" ht="14.25" customHeight="1">
      <c r="A106" s="3"/>
      <c r="Z106" s="62"/>
      <c r="AA106" s="62"/>
      <c r="AB106" s="62"/>
      <c r="AC106" s="62"/>
      <c r="AD106" s="62"/>
      <c r="AE106" s="62"/>
      <c r="AF106" s="62"/>
      <c r="AG106" s="62"/>
      <c r="AH106" s="62"/>
      <c r="AI106" s="62"/>
    </row>
    <row r="107" ht="14.25" customHeight="1">
      <c r="A107" s="3"/>
      <c r="Z107" s="62"/>
      <c r="AA107" s="62"/>
      <c r="AB107" s="62"/>
      <c r="AC107" s="62"/>
      <c r="AD107" s="62"/>
      <c r="AE107" s="62"/>
      <c r="AF107" s="62"/>
      <c r="AG107" s="62"/>
      <c r="AH107" s="62"/>
      <c r="AI107" s="62"/>
    </row>
    <row r="108" ht="14.25" customHeight="1">
      <c r="A108" s="3"/>
      <c r="Z108" s="62"/>
      <c r="AA108" s="62"/>
      <c r="AB108" s="62"/>
      <c r="AC108" s="62"/>
      <c r="AD108" s="62"/>
      <c r="AE108" s="62"/>
      <c r="AF108" s="62"/>
      <c r="AG108" s="62"/>
      <c r="AH108" s="62"/>
      <c r="AI108" s="62"/>
    </row>
    <row r="109" ht="14.25" customHeight="1">
      <c r="A109" s="3"/>
      <c r="Z109" s="62"/>
      <c r="AA109" s="62"/>
      <c r="AB109" s="62"/>
      <c r="AC109" s="62"/>
      <c r="AD109" s="62"/>
      <c r="AE109" s="62"/>
      <c r="AF109" s="62"/>
      <c r="AG109" s="62"/>
      <c r="AH109" s="62"/>
      <c r="AI109" s="62"/>
    </row>
    <row r="110" ht="14.25" customHeight="1">
      <c r="A110" s="3"/>
      <c r="Z110" s="62"/>
      <c r="AA110" s="62"/>
      <c r="AB110" s="62"/>
      <c r="AC110" s="62"/>
      <c r="AD110" s="62"/>
      <c r="AE110" s="62"/>
      <c r="AF110" s="62"/>
      <c r="AG110" s="62"/>
      <c r="AH110" s="62"/>
      <c r="AI110" s="62"/>
    </row>
    <row r="111" ht="14.25" customHeight="1">
      <c r="A111" s="3"/>
      <c r="Z111" s="62"/>
      <c r="AA111" s="62"/>
      <c r="AB111" s="62"/>
      <c r="AC111" s="62"/>
      <c r="AD111" s="62"/>
      <c r="AE111" s="62"/>
      <c r="AF111" s="62"/>
      <c r="AG111" s="62"/>
      <c r="AH111" s="62"/>
      <c r="AI111" s="62"/>
    </row>
    <row r="112" ht="14.25" customHeight="1">
      <c r="A112" s="3"/>
      <c r="Z112" s="62"/>
      <c r="AA112" s="62"/>
      <c r="AB112" s="62"/>
      <c r="AC112" s="62"/>
      <c r="AD112" s="62"/>
      <c r="AE112" s="62"/>
      <c r="AF112" s="62"/>
      <c r="AG112" s="62"/>
      <c r="AH112" s="62"/>
      <c r="AI112" s="62"/>
    </row>
    <row r="113" ht="14.25" customHeight="1">
      <c r="A113" s="3"/>
      <c r="Z113" s="62"/>
      <c r="AA113" s="62"/>
      <c r="AB113" s="62"/>
      <c r="AC113" s="62"/>
      <c r="AD113" s="62"/>
      <c r="AE113" s="62"/>
      <c r="AF113" s="62"/>
      <c r="AG113" s="62"/>
      <c r="AH113" s="62"/>
      <c r="AI113" s="62"/>
    </row>
    <row r="114" ht="14.25" customHeight="1">
      <c r="A114" s="3"/>
      <c r="Z114" s="62"/>
      <c r="AA114" s="62"/>
      <c r="AB114" s="62"/>
      <c r="AC114" s="62"/>
      <c r="AD114" s="62"/>
      <c r="AE114" s="62"/>
      <c r="AF114" s="62"/>
      <c r="AG114" s="62"/>
      <c r="AH114" s="62"/>
      <c r="AI114" s="62"/>
    </row>
    <row r="115" ht="14.25" customHeight="1">
      <c r="A115" s="3"/>
      <c r="Z115" s="62"/>
      <c r="AA115" s="62"/>
      <c r="AB115" s="62"/>
      <c r="AC115" s="62"/>
      <c r="AD115" s="62"/>
      <c r="AE115" s="62"/>
      <c r="AF115" s="62"/>
      <c r="AG115" s="62"/>
      <c r="AH115" s="62"/>
      <c r="AI115" s="62"/>
    </row>
    <row r="116" ht="14.25" customHeight="1">
      <c r="A116" s="3"/>
      <c r="Z116" s="62"/>
      <c r="AA116" s="62"/>
      <c r="AB116" s="62"/>
      <c r="AC116" s="62"/>
      <c r="AD116" s="62"/>
      <c r="AE116" s="62"/>
      <c r="AF116" s="62"/>
      <c r="AG116" s="62"/>
      <c r="AH116" s="62"/>
      <c r="AI116" s="62"/>
    </row>
    <row r="117" ht="14.25" customHeight="1">
      <c r="A117" s="3"/>
      <c r="Z117" s="62"/>
      <c r="AA117" s="62"/>
      <c r="AB117" s="62"/>
      <c r="AC117" s="62"/>
      <c r="AD117" s="62"/>
      <c r="AE117" s="62"/>
      <c r="AF117" s="62"/>
      <c r="AG117" s="62"/>
      <c r="AH117" s="62"/>
      <c r="AI117" s="62"/>
    </row>
    <row r="118" ht="14.25" customHeight="1">
      <c r="A118" s="3"/>
      <c r="Z118" s="62"/>
      <c r="AA118" s="62"/>
      <c r="AB118" s="62"/>
      <c r="AC118" s="62"/>
      <c r="AD118" s="62"/>
      <c r="AE118" s="62"/>
      <c r="AF118" s="62"/>
      <c r="AG118" s="62"/>
      <c r="AH118" s="62"/>
      <c r="AI118" s="62"/>
    </row>
    <row r="119" ht="14.25" customHeight="1">
      <c r="A119" s="3"/>
      <c r="Z119" s="62"/>
      <c r="AA119" s="62"/>
      <c r="AB119" s="62"/>
      <c r="AC119" s="62"/>
      <c r="AD119" s="62"/>
      <c r="AE119" s="62"/>
      <c r="AF119" s="62"/>
      <c r="AG119" s="62"/>
      <c r="AH119" s="62"/>
      <c r="AI119" s="62"/>
    </row>
    <row r="120" ht="14.25" customHeight="1">
      <c r="A120" s="3"/>
      <c r="Z120" s="62"/>
      <c r="AA120" s="62"/>
      <c r="AB120" s="62"/>
      <c r="AC120" s="62"/>
      <c r="AD120" s="62"/>
      <c r="AE120" s="62"/>
      <c r="AF120" s="62"/>
      <c r="AG120" s="62"/>
      <c r="AH120" s="62"/>
      <c r="AI120" s="62"/>
    </row>
    <row r="121" ht="14.25" customHeight="1">
      <c r="A121" s="3"/>
      <c r="Z121" s="62"/>
      <c r="AA121" s="62"/>
      <c r="AB121" s="62"/>
      <c r="AC121" s="62"/>
      <c r="AD121" s="62"/>
      <c r="AE121" s="62"/>
      <c r="AF121" s="62"/>
      <c r="AG121" s="62"/>
      <c r="AH121" s="62"/>
      <c r="AI121" s="62"/>
    </row>
    <row r="122" ht="14.25" customHeight="1">
      <c r="A122" s="3"/>
      <c r="Z122" s="62"/>
      <c r="AA122" s="62"/>
      <c r="AB122" s="62"/>
      <c r="AC122" s="62"/>
      <c r="AD122" s="62"/>
      <c r="AE122" s="62"/>
      <c r="AF122" s="62"/>
      <c r="AG122" s="62"/>
      <c r="AH122" s="62"/>
      <c r="AI122" s="62"/>
    </row>
    <row r="123" ht="14.25" customHeight="1">
      <c r="A123" s="3"/>
      <c r="Z123" s="62"/>
      <c r="AA123" s="62"/>
      <c r="AB123" s="62"/>
      <c r="AC123" s="62"/>
      <c r="AD123" s="62"/>
      <c r="AE123" s="62"/>
      <c r="AF123" s="62"/>
      <c r="AG123" s="62"/>
      <c r="AH123" s="62"/>
      <c r="AI123" s="62"/>
    </row>
    <row r="124" ht="14.25" customHeight="1">
      <c r="A124" s="3"/>
      <c r="Z124" s="62"/>
      <c r="AA124" s="62"/>
      <c r="AB124" s="62"/>
      <c r="AC124" s="62"/>
      <c r="AD124" s="62"/>
      <c r="AE124" s="62"/>
      <c r="AF124" s="62"/>
      <c r="AG124" s="62"/>
      <c r="AH124" s="62"/>
      <c r="AI124" s="62"/>
    </row>
    <row r="125" ht="14.25" customHeight="1">
      <c r="A125" s="3"/>
      <c r="Z125" s="62"/>
      <c r="AA125" s="62"/>
      <c r="AB125" s="62"/>
      <c r="AC125" s="62"/>
      <c r="AD125" s="62"/>
      <c r="AE125" s="62"/>
      <c r="AF125" s="62"/>
      <c r="AG125" s="62"/>
      <c r="AH125" s="62"/>
      <c r="AI125" s="62"/>
    </row>
    <row r="126" ht="14.25" customHeight="1">
      <c r="A126" s="3"/>
      <c r="Z126" s="62"/>
      <c r="AA126" s="62"/>
      <c r="AB126" s="62"/>
      <c r="AC126" s="62"/>
      <c r="AD126" s="62"/>
      <c r="AE126" s="62"/>
      <c r="AF126" s="62"/>
      <c r="AG126" s="62"/>
      <c r="AH126" s="62"/>
      <c r="AI126" s="62"/>
    </row>
    <row r="127" ht="14.25" customHeight="1">
      <c r="A127" s="3"/>
      <c r="Z127" s="62"/>
      <c r="AA127" s="62"/>
      <c r="AB127" s="62"/>
      <c r="AC127" s="62"/>
      <c r="AD127" s="62"/>
      <c r="AE127" s="62"/>
      <c r="AF127" s="62"/>
      <c r="AG127" s="62"/>
      <c r="AH127" s="62"/>
      <c r="AI127" s="62"/>
    </row>
    <row r="128" ht="14.25" customHeight="1">
      <c r="A128" s="3"/>
      <c r="Z128" s="62"/>
      <c r="AA128" s="62"/>
      <c r="AB128" s="62"/>
      <c r="AC128" s="62"/>
      <c r="AD128" s="62"/>
      <c r="AE128" s="62"/>
      <c r="AF128" s="62"/>
      <c r="AG128" s="62"/>
      <c r="AH128" s="62"/>
      <c r="AI128" s="62"/>
    </row>
    <row r="129" ht="14.25" customHeight="1">
      <c r="A129" s="3"/>
      <c r="Z129" s="62"/>
      <c r="AA129" s="62"/>
      <c r="AB129" s="62"/>
      <c r="AC129" s="62"/>
      <c r="AD129" s="62"/>
      <c r="AE129" s="62"/>
      <c r="AF129" s="62"/>
      <c r="AG129" s="62"/>
      <c r="AH129" s="62"/>
      <c r="AI129" s="62"/>
    </row>
    <row r="130" ht="14.25" customHeight="1">
      <c r="A130" s="3"/>
      <c r="Z130" s="62"/>
      <c r="AA130" s="62"/>
      <c r="AB130" s="62"/>
      <c r="AC130" s="62"/>
      <c r="AD130" s="62"/>
      <c r="AE130" s="62"/>
      <c r="AF130" s="62"/>
      <c r="AG130" s="62"/>
      <c r="AH130" s="62"/>
      <c r="AI130" s="62"/>
    </row>
    <row r="131" ht="14.25" customHeight="1">
      <c r="A131" s="3"/>
      <c r="Z131" s="62"/>
      <c r="AA131" s="62"/>
      <c r="AB131" s="62"/>
      <c r="AC131" s="62"/>
      <c r="AD131" s="62"/>
      <c r="AE131" s="62"/>
      <c r="AF131" s="62"/>
      <c r="AG131" s="62"/>
      <c r="AH131" s="62"/>
      <c r="AI131" s="62"/>
    </row>
    <row r="132" ht="14.25" customHeight="1">
      <c r="A132" s="3"/>
      <c r="Z132" s="62"/>
      <c r="AA132" s="62"/>
      <c r="AB132" s="62"/>
      <c r="AC132" s="62"/>
      <c r="AD132" s="62"/>
      <c r="AE132" s="62"/>
      <c r="AF132" s="62"/>
      <c r="AG132" s="62"/>
      <c r="AH132" s="62"/>
      <c r="AI132" s="62"/>
    </row>
    <row r="133" ht="14.25" customHeight="1">
      <c r="A133" s="3"/>
      <c r="Z133" s="62"/>
      <c r="AA133" s="62"/>
      <c r="AB133" s="62"/>
      <c r="AC133" s="62"/>
      <c r="AD133" s="62"/>
      <c r="AE133" s="62"/>
      <c r="AF133" s="62"/>
      <c r="AG133" s="62"/>
      <c r="AH133" s="62"/>
      <c r="AI133" s="62"/>
    </row>
    <row r="134" ht="14.25" customHeight="1">
      <c r="A134" s="3"/>
      <c r="Z134" s="62"/>
      <c r="AA134" s="62"/>
      <c r="AB134" s="62"/>
      <c r="AC134" s="62"/>
      <c r="AD134" s="62"/>
      <c r="AE134" s="62"/>
      <c r="AF134" s="62"/>
      <c r="AG134" s="62"/>
      <c r="AH134" s="62"/>
      <c r="AI134" s="62"/>
    </row>
    <row r="135" ht="14.25" customHeight="1">
      <c r="A135" s="3"/>
      <c r="Z135" s="62"/>
      <c r="AA135" s="62"/>
      <c r="AB135" s="62"/>
      <c r="AC135" s="62"/>
      <c r="AD135" s="62"/>
      <c r="AE135" s="62"/>
      <c r="AF135" s="62"/>
      <c r="AG135" s="62"/>
      <c r="AH135" s="62"/>
      <c r="AI135" s="62"/>
    </row>
    <row r="136" ht="14.25" customHeight="1">
      <c r="A136" s="3"/>
      <c r="Z136" s="62"/>
      <c r="AA136" s="62"/>
      <c r="AB136" s="62"/>
      <c r="AC136" s="62"/>
      <c r="AD136" s="62"/>
      <c r="AE136" s="62"/>
      <c r="AF136" s="62"/>
      <c r="AG136" s="62"/>
      <c r="AH136" s="62"/>
      <c r="AI136" s="62"/>
    </row>
    <row r="137" ht="14.25" customHeight="1">
      <c r="A137" s="3"/>
      <c r="Z137" s="62"/>
      <c r="AA137" s="62"/>
      <c r="AB137" s="62"/>
      <c r="AC137" s="62"/>
      <c r="AD137" s="62"/>
      <c r="AE137" s="62"/>
      <c r="AF137" s="62"/>
      <c r="AG137" s="62"/>
      <c r="AH137" s="62"/>
      <c r="AI137" s="62"/>
    </row>
    <row r="138" ht="14.25" customHeight="1">
      <c r="A138" s="3"/>
      <c r="Z138" s="62"/>
      <c r="AA138" s="62"/>
      <c r="AB138" s="62"/>
      <c r="AC138" s="62"/>
      <c r="AD138" s="62"/>
      <c r="AE138" s="62"/>
      <c r="AF138" s="62"/>
      <c r="AG138" s="62"/>
      <c r="AH138" s="62"/>
      <c r="AI138" s="62"/>
    </row>
    <row r="139" ht="14.25" customHeight="1">
      <c r="A139" s="3"/>
      <c r="Z139" s="62"/>
      <c r="AA139" s="62"/>
      <c r="AB139" s="62"/>
      <c r="AC139" s="62"/>
      <c r="AD139" s="62"/>
      <c r="AE139" s="62"/>
      <c r="AF139" s="62"/>
      <c r="AG139" s="62"/>
      <c r="AH139" s="62"/>
      <c r="AI139" s="62"/>
    </row>
    <row r="140" ht="14.25" customHeight="1">
      <c r="A140" s="3"/>
      <c r="Z140" s="62"/>
      <c r="AA140" s="62"/>
      <c r="AB140" s="62"/>
      <c r="AC140" s="62"/>
      <c r="AD140" s="62"/>
      <c r="AE140" s="62"/>
      <c r="AF140" s="62"/>
      <c r="AG140" s="62"/>
      <c r="AH140" s="62"/>
      <c r="AI140" s="62"/>
    </row>
    <row r="141" ht="14.25" customHeight="1">
      <c r="A141" s="3"/>
      <c r="Z141" s="62"/>
      <c r="AA141" s="62"/>
      <c r="AB141" s="62"/>
      <c r="AC141" s="62"/>
      <c r="AD141" s="62"/>
      <c r="AE141" s="62"/>
      <c r="AF141" s="62"/>
      <c r="AG141" s="62"/>
      <c r="AH141" s="62"/>
      <c r="AI141" s="62"/>
    </row>
    <row r="142" ht="14.25" customHeight="1">
      <c r="A142" s="3"/>
      <c r="Z142" s="62"/>
      <c r="AA142" s="62"/>
      <c r="AB142" s="62"/>
      <c r="AC142" s="62"/>
      <c r="AD142" s="62"/>
      <c r="AE142" s="62"/>
      <c r="AF142" s="62"/>
      <c r="AG142" s="62"/>
      <c r="AH142" s="62"/>
      <c r="AI142" s="62"/>
    </row>
    <row r="143" ht="14.25" customHeight="1">
      <c r="A143" s="3"/>
      <c r="Z143" s="62"/>
      <c r="AA143" s="62"/>
      <c r="AB143" s="62"/>
      <c r="AC143" s="62"/>
      <c r="AD143" s="62"/>
      <c r="AE143" s="62"/>
      <c r="AF143" s="62"/>
      <c r="AG143" s="62"/>
      <c r="AH143" s="62"/>
      <c r="AI143" s="62"/>
    </row>
    <row r="144" ht="14.25" customHeight="1">
      <c r="A144" s="3"/>
      <c r="Z144" s="62"/>
      <c r="AA144" s="62"/>
      <c r="AB144" s="62"/>
      <c r="AC144" s="62"/>
      <c r="AD144" s="62"/>
      <c r="AE144" s="62"/>
      <c r="AF144" s="62"/>
      <c r="AG144" s="62"/>
      <c r="AH144" s="62"/>
      <c r="AI144" s="62"/>
    </row>
    <row r="145" ht="14.25" customHeight="1">
      <c r="A145" s="3"/>
      <c r="Z145" s="62"/>
      <c r="AA145" s="62"/>
      <c r="AB145" s="62"/>
      <c r="AC145" s="62"/>
      <c r="AD145" s="62"/>
      <c r="AE145" s="62"/>
      <c r="AF145" s="62"/>
      <c r="AG145" s="62"/>
      <c r="AH145" s="62"/>
      <c r="AI145" s="62"/>
    </row>
    <row r="146" ht="14.25" customHeight="1">
      <c r="A146" s="3"/>
      <c r="Z146" s="62"/>
      <c r="AA146" s="62"/>
      <c r="AB146" s="62"/>
      <c r="AC146" s="62"/>
      <c r="AD146" s="62"/>
      <c r="AE146" s="62"/>
      <c r="AF146" s="62"/>
      <c r="AG146" s="62"/>
      <c r="AH146" s="62"/>
      <c r="AI146" s="62"/>
    </row>
    <row r="147" ht="14.25" customHeight="1">
      <c r="A147" s="3"/>
      <c r="Z147" s="62"/>
      <c r="AA147" s="62"/>
      <c r="AB147" s="62"/>
      <c r="AC147" s="62"/>
      <c r="AD147" s="62"/>
      <c r="AE147" s="62"/>
      <c r="AF147" s="62"/>
      <c r="AG147" s="62"/>
      <c r="AH147" s="62"/>
      <c r="AI147" s="62"/>
    </row>
    <row r="148" ht="14.25" customHeight="1">
      <c r="A148" s="3"/>
      <c r="Z148" s="62"/>
      <c r="AA148" s="62"/>
      <c r="AB148" s="62"/>
      <c r="AC148" s="62"/>
      <c r="AD148" s="62"/>
      <c r="AE148" s="62"/>
      <c r="AF148" s="62"/>
      <c r="AG148" s="62"/>
      <c r="AH148" s="62"/>
      <c r="AI148" s="62"/>
    </row>
    <row r="149" ht="14.25" customHeight="1">
      <c r="A149" s="3"/>
      <c r="Z149" s="62"/>
      <c r="AA149" s="62"/>
      <c r="AB149" s="62"/>
      <c r="AC149" s="62"/>
      <c r="AD149" s="62"/>
      <c r="AE149" s="62"/>
      <c r="AF149" s="62"/>
      <c r="AG149" s="62"/>
      <c r="AH149" s="62"/>
      <c r="AI149" s="62"/>
    </row>
    <row r="150" ht="14.25" customHeight="1">
      <c r="A150" s="3"/>
      <c r="Z150" s="62"/>
      <c r="AA150" s="62"/>
      <c r="AB150" s="62"/>
      <c r="AC150" s="62"/>
      <c r="AD150" s="62"/>
      <c r="AE150" s="62"/>
      <c r="AF150" s="62"/>
      <c r="AG150" s="62"/>
      <c r="AH150" s="62"/>
      <c r="AI150" s="62"/>
    </row>
    <row r="151" ht="14.25" customHeight="1">
      <c r="A151" s="3"/>
      <c r="Z151" s="62"/>
      <c r="AA151" s="62"/>
      <c r="AB151" s="62"/>
      <c r="AC151" s="62"/>
      <c r="AD151" s="62"/>
      <c r="AE151" s="62"/>
      <c r="AF151" s="62"/>
      <c r="AG151" s="62"/>
      <c r="AH151" s="62"/>
      <c r="AI151" s="62"/>
    </row>
    <row r="152" ht="14.25" customHeight="1">
      <c r="A152" s="3"/>
      <c r="Z152" s="62"/>
      <c r="AA152" s="62"/>
      <c r="AB152" s="62"/>
      <c r="AC152" s="62"/>
      <c r="AD152" s="62"/>
      <c r="AE152" s="62"/>
      <c r="AF152" s="62"/>
      <c r="AG152" s="62"/>
      <c r="AH152" s="62"/>
      <c r="AI152" s="62"/>
    </row>
    <row r="153" ht="14.25" customHeight="1">
      <c r="A153" s="3"/>
      <c r="Z153" s="62"/>
      <c r="AA153" s="62"/>
      <c r="AB153" s="62"/>
      <c r="AC153" s="62"/>
      <c r="AD153" s="62"/>
      <c r="AE153" s="62"/>
      <c r="AF153" s="62"/>
      <c r="AG153" s="62"/>
      <c r="AH153" s="62"/>
      <c r="AI153" s="62"/>
    </row>
    <row r="154" ht="14.25" customHeight="1">
      <c r="A154" s="3"/>
      <c r="Z154" s="62"/>
      <c r="AA154" s="62"/>
      <c r="AB154" s="62"/>
      <c r="AC154" s="62"/>
      <c r="AD154" s="62"/>
      <c r="AE154" s="62"/>
      <c r="AF154" s="62"/>
      <c r="AG154" s="62"/>
      <c r="AH154" s="62"/>
      <c r="AI154" s="62"/>
    </row>
    <row r="155" ht="14.25" customHeight="1">
      <c r="A155" s="3"/>
      <c r="Z155" s="62"/>
      <c r="AA155" s="62"/>
      <c r="AB155" s="62"/>
      <c r="AC155" s="62"/>
      <c r="AD155" s="62"/>
      <c r="AE155" s="62"/>
      <c r="AF155" s="62"/>
      <c r="AG155" s="62"/>
      <c r="AH155" s="62"/>
      <c r="AI155" s="62"/>
    </row>
    <row r="156" ht="14.25" customHeight="1">
      <c r="A156" s="3"/>
      <c r="Z156" s="62"/>
      <c r="AA156" s="62"/>
      <c r="AB156" s="62"/>
      <c r="AC156" s="62"/>
      <c r="AD156" s="62"/>
      <c r="AE156" s="62"/>
      <c r="AF156" s="62"/>
      <c r="AG156" s="62"/>
      <c r="AH156" s="62"/>
      <c r="AI156" s="62"/>
    </row>
    <row r="157" ht="14.25" customHeight="1">
      <c r="A157" s="3"/>
      <c r="Z157" s="62"/>
      <c r="AA157" s="62"/>
      <c r="AB157" s="62"/>
      <c r="AC157" s="62"/>
      <c r="AD157" s="62"/>
      <c r="AE157" s="62"/>
      <c r="AF157" s="62"/>
      <c r="AG157" s="62"/>
      <c r="AH157" s="62"/>
      <c r="AI157" s="62"/>
    </row>
    <row r="158" ht="14.25" customHeight="1">
      <c r="A158" s="3"/>
      <c r="Z158" s="62"/>
      <c r="AA158" s="62"/>
      <c r="AB158" s="62"/>
      <c r="AC158" s="62"/>
      <c r="AD158" s="62"/>
      <c r="AE158" s="62"/>
      <c r="AF158" s="62"/>
      <c r="AG158" s="62"/>
      <c r="AH158" s="62"/>
      <c r="AI158" s="62"/>
    </row>
    <row r="159" ht="14.25" customHeight="1">
      <c r="A159" s="3"/>
      <c r="Z159" s="62"/>
      <c r="AA159" s="62"/>
      <c r="AB159" s="62"/>
      <c r="AC159" s="62"/>
      <c r="AD159" s="62"/>
      <c r="AE159" s="62"/>
      <c r="AF159" s="62"/>
      <c r="AG159" s="62"/>
      <c r="AH159" s="62"/>
      <c r="AI159" s="62"/>
    </row>
    <row r="160" ht="14.25" customHeight="1">
      <c r="A160" s="3"/>
      <c r="Z160" s="62"/>
      <c r="AA160" s="62"/>
      <c r="AB160" s="62"/>
      <c r="AC160" s="62"/>
      <c r="AD160" s="62"/>
      <c r="AE160" s="62"/>
      <c r="AF160" s="62"/>
      <c r="AG160" s="62"/>
      <c r="AH160" s="62"/>
      <c r="AI160" s="62"/>
    </row>
    <row r="161" ht="14.25" customHeight="1">
      <c r="A161" s="3"/>
      <c r="Z161" s="62"/>
      <c r="AA161" s="62"/>
      <c r="AB161" s="62"/>
      <c r="AC161" s="62"/>
      <c r="AD161" s="62"/>
      <c r="AE161" s="62"/>
      <c r="AF161" s="62"/>
      <c r="AG161" s="62"/>
      <c r="AH161" s="62"/>
      <c r="AI161" s="62"/>
    </row>
    <row r="162" ht="14.25" customHeight="1">
      <c r="A162" s="3"/>
      <c r="Z162" s="62"/>
      <c r="AA162" s="62"/>
      <c r="AB162" s="62"/>
      <c r="AC162" s="62"/>
      <c r="AD162" s="62"/>
      <c r="AE162" s="62"/>
      <c r="AF162" s="62"/>
      <c r="AG162" s="62"/>
      <c r="AH162" s="62"/>
      <c r="AI162" s="62"/>
    </row>
    <row r="163" ht="14.25" customHeight="1">
      <c r="A163" s="3"/>
      <c r="Z163" s="62"/>
      <c r="AA163" s="62"/>
      <c r="AB163" s="62"/>
      <c r="AC163" s="62"/>
      <c r="AD163" s="62"/>
      <c r="AE163" s="62"/>
      <c r="AF163" s="62"/>
      <c r="AG163" s="62"/>
      <c r="AH163" s="62"/>
      <c r="AI163" s="62"/>
    </row>
    <row r="164" ht="14.25" customHeight="1">
      <c r="A164" s="3"/>
      <c r="Z164" s="62"/>
      <c r="AA164" s="62"/>
      <c r="AB164" s="62"/>
      <c r="AC164" s="62"/>
      <c r="AD164" s="62"/>
      <c r="AE164" s="62"/>
      <c r="AF164" s="62"/>
      <c r="AG164" s="62"/>
      <c r="AH164" s="62"/>
      <c r="AI164" s="62"/>
    </row>
    <row r="165" ht="14.25" customHeight="1">
      <c r="A165" s="3"/>
      <c r="Z165" s="62"/>
      <c r="AA165" s="62"/>
      <c r="AB165" s="62"/>
      <c r="AC165" s="62"/>
      <c r="AD165" s="62"/>
      <c r="AE165" s="62"/>
      <c r="AF165" s="62"/>
      <c r="AG165" s="62"/>
      <c r="AH165" s="62"/>
      <c r="AI165" s="62"/>
    </row>
    <row r="166" ht="14.25" customHeight="1">
      <c r="A166" s="3"/>
      <c r="Z166" s="62"/>
      <c r="AA166" s="62"/>
      <c r="AB166" s="62"/>
      <c r="AC166" s="62"/>
      <c r="AD166" s="62"/>
      <c r="AE166" s="62"/>
      <c r="AF166" s="62"/>
      <c r="AG166" s="62"/>
      <c r="AH166" s="62"/>
      <c r="AI166" s="62"/>
    </row>
    <row r="167" ht="14.25" customHeight="1">
      <c r="A167" s="3"/>
      <c r="Z167" s="62"/>
      <c r="AA167" s="62"/>
      <c r="AB167" s="62"/>
      <c r="AC167" s="62"/>
      <c r="AD167" s="62"/>
      <c r="AE167" s="62"/>
      <c r="AF167" s="62"/>
      <c r="AG167" s="62"/>
      <c r="AH167" s="62"/>
      <c r="AI167" s="62"/>
    </row>
    <row r="168" ht="14.25" customHeight="1">
      <c r="A168" s="3"/>
      <c r="Z168" s="62"/>
      <c r="AA168" s="62"/>
      <c r="AB168" s="62"/>
      <c r="AC168" s="62"/>
      <c r="AD168" s="62"/>
      <c r="AE168" s="62"/>
      <c r="AF168" s="62"/>
      <c r="AG168" s="62"/>
      <c r="AH168" s="62"/>
      <c r="AI168" s="62"/>
    </row>
    <row r="169" ht="14.25" customHeight="1">
      <c r="A169" s="3"/>
      <c r="Z169" s="62"/>
      <c r="AA169" s="62"/>
      <c r="AB169" s="62"/>
      <c r="AC169" s="62"/>
      <c r="AD169" s="62"/>
      <c r="AE169" s="62"/>
      <c r="AF169" s="62"/>
      <c r="AG169" s="62"/>
      <c r="AH169" s="62"/>
      <c r="AI169" s="62"/>
    </row>
    <row r="170" ht="14.25" customHeight="1">
      <c r="A170" s="3"/>
      <c r="Z170" s="62"/>
      <c r="AA170" s="62"/>
      <c r="AB170" s="62"/>
      <c r="AC170" s="62"/>
      <c r="AD170" s="62"/>
      <c r="AE170" s="62"/>
      <c r="AF170" s="62"/>
      <c r="AG170" s="62"/>
      <c r="AH170" s="62"/>
      <c r="AI170" s="62"/>
    </row>
    <row r="171" ht="14.25" customHeight="1">
      <c r="A171" s="3"/>
      <c r="Z171" s="62"/>
      <c r="AA171" s="62"/>
      <c r="AB171" s="62"/>
      <c r="AC171" s="62"/>
      <c r="AD171" s="62"/>
      <c r="AE171" s="62"/>
      <c r="AF171" s="62"/>
      <c r="AG171" s="62"/>
      <c r="AH171" s="62"/>
      <c r="AI171" s="62"/>
    </row>
    <row r="172" ht="14.25" customHeight="1">
      <c r="A172" s="3"/>
      <c r="Z172" s="62"/>
      <c r="AA172" s="62"/>
      <c r="AB172" s="62"/>
      <c r="AC172" s="62"/>
      <c r="AD172" s="62"/>
      <c r="AE172" s="62"/>
      <c r="AF172" s="62"/>
      <c r="AG172" s="62"/>
      <c r="AH172" s="62"/>
      <c r="AI172" s="62"/>
    </row>
    <row r="173" ht="14.25" customHeight="1">
      <c r="A173" s="3"/>
      <c r="Z173" s="62"/>
      <c r="AA173" s="62"/>
      <c r="AB173" s="62"/>
      <c r="AC173" s="62"/>
      <c r="AD173" s="62"/>
      <c r="AE173" s="62"/>
      <c r="AF173" s="62"/>
      <c r="AG173" s="62"/>
      <c r="AH173" s="62"/>
      <c r="AI173" s="62"/>
    </row>
    <row r="174" ht="14.25" customHeight="1">
      <c r="A174" s="3"/>
      <c r="Z174" s="62"/>
      <c r="AA174" s="62"/>
      <c r="AB174" s="62"/>
      <c r="AC174" s="62"/>
      <c r="AD174" s="62"/>
      <c r="AE174" s="62"/>
      <c r="AF174" s="62"/>
      <c r="AG174" s="62"/>
      <c r="AH174" s="62"/>
      <c r="AI174" s="62"/>
    </row>
    <row r="175" ht="14.25" customHeight="1">
      <c r="A175" s="3"/>
      <c r="Z175" s="62"/>
      <c r="AA175" s="62"/>
      <c r="AB175" s="62"/>
      <c r="AC175" s="62"/>
      <c r="AD175" s="62"/>
      <c r="AE175" s="62"/>
      <c r="AF175" s="62"/>
      <c r="AG175" s="62"/>
      <c r="AH175" s="62"/>
      <c r="AI175" s="62"/>
    </row>
    <row r="176" ht="14.25" customHeight="1">
      <c r="A176" s="3"/>
      <c r="Z176" s="62"/>
      <c r="AA176" s="62"/>
      <c r="AB176" s="62"/>
      <c r="AC176" s="62"/>
      <c r="AD176" s="62"/>
      <c r="AE176" s="62"/>
      <c r="AF176" s="62"/>
      <c r="AG176" s="62"/>
      <c r="AH176" s="62"/>
      <c r="AI176" s="62"/>
    </row>
    <row r="177" ht="14.25" customHeight="1">
      <c r="A177" s="3"/>
      <c r="Z177" s="62"/>
      <c r="AA177" s="62"/>
      <c r="AB177" s="62"/>
      <c r="AC177" s="62"/>
      <c r="AD177" s="62"/>
      <c r="AE177" s="62"/>
      <c r="AF177" s="62"/>
      <c r="AG177" s="62"/>
      <c r="AH177" s="62"/>
      <c r="AI177" s="62"/>
    </row>
    <row r="178" ht="14.25" customHeight="1">
      <c r="A178" s="3"/>
      <c r="Z178" s="62"/>
      <c r="AA178" s="62"/>
      <c r="AB178" s="62"/>
      <c r="AC178" s="62"/>
      <c r="AD178" s="62"/>
      <c r="AE178" s="62"/>
      <c r="AF178" s="62"/>
      <c r="AG178" s="62"/>
      <c r="AH178" s="62"/>
      <c r="AI178" s="62"/>
    </row>
    <row r="179" ht="14.25" customHeight="1">
      <c r="A179" s="3"/>
      <c r="Z179" s="62"/>
      <c r="AA179" s="62"/>
      <c r="AB179" s="62"/>
      <c r="AC179" s="62"/>
      <c r="AD179" s="62"/>
      <c r="AE179" s="62"/>
      <c r="AF179" s="62"/>
      <c r="AG179" s="62"/>
      <c r="AH179" s="62"/>
      <c r="AI179" s="62"/>
    </row>
    <row r="180" ht="14.25" customHeight="1">
      <c r="A180" s="3"/>
      <c r="Z180" s="62"/>
      <c r="AA180" s="62"/>
      <c r="AB180" s="62"/>
      <c r="AC180" s="62"/>
      <c r="AD180" s="62"/>
      <c r="AE180" s="62"/>
      <c r="AF180" s="62"/>
      <c r="AG180" s="62"/>
      <c r="AH180" s="62"/>
      <c r="AI180" s="62"/>
    </row>
    <row r="181" ht="14.25" customHeight="1">
      <c r="A181" s="3"/>
      <c r="Z181" s="62"/>
      <c r="AA181" s="62"/>
      <c r="AB181" s="62"/>
      <c r="AC181" s="62"/>
      <c r="AD181" s="62"/>
      <c r="AE181" s="62"/>
      <c r="AF181" s="62"/>
      <c r="AG181" s="62"/>
      <c r="AH181" s="62"/>
      <c r="AI181" s="62"/>
    </row>
    <row r="182" ht="14.25" customHeight="1">
      <c r="A182" s="3"/>
      <c r="Z182" s="62"/>
      <c r="AA182" s="62"/>
      <c r="AB182" s="62"/>
      <c r="AC182" s="62"/>
      <c r="AD182" s="62"/>
      <c r="AE182" s="62"/>
      <c r="AF182" s="62"/>
      <c r="AG182" s="62"/>
      <c r="AH182" s="62"/>
      <c r="AI182" s="62"/>
    </row>
    <row r="183" ht="14.25" customHeight="1">
      <c r="A183" s="3"/>
      <c r="Z183" s="62"/>
      <c r="AA183" s="62"/>
      <c r="AB183" s="62"/>
      <c r="AC183" s="62"/>
      <c r="AD183" s="62"/>
      <c r="AE183" s="62"/>
      <c r="AF183" s="62"/>
      <c r="AG183" s="62"/>
      <c r="AH183" s="62"/>
      <c r="AI183" s="62"/>
    </row>
    <row r="184" ht="14.25" customHeight="1">
      <c r="A184" s="3"/>
      <c r="Z184" s="62"/>
      <c r="AA184" s="62"/>
      <c r="AB184" s="62"/>
      <c r="AC184" s="62"/>
      <c r="AD184" s="62"/>
      <c r="AE184" s="62"/>
      <c r="AF184" s="62"/>
      <c r="AG184" s="62"/>
      <c r="AH184" s="62"/>
      <c r="AI184" s="62"/>
    </row>
    <row r="185" ht="14.25" customHeight="1">
      <c r="A185" s="3"/>
      <c r="Z185" s="62"/>
      <c r="AA185" s="62"/>
      <c r="AB185" s="62"/>
      <c r="AC185" s="62"/>
      <c r="AD185" s="62"/>
      <c r="AE185" s="62"/>
      <c r="AF185" s="62"/>
      <c r="AG185" s="62"/>
      <c r="AH185" s="62"/>
      <c r="AI185" s="62"/>
    </row>
    <row r="186" ht="14.25" customHeight="1">
      <c r="A186" s="3"/>
      <c r="Z186" s="62"/>
      <c r="AA186" s="62"/>
      <c r="AB186" s="62"/>
      <c r="AC186" s="62"/>
      <c r="AD186" s="62"/>
      <c r="AE186" s="62"/>
      <c r="AF186" s="62"/>
      <c r="AG186" s="62"/>
      <c r="AH186" s="62"/>
      <c r="AI186" s="62"/>
    </row>
    <row r="187" ht="14.25" customHeight="1">
      <c r="A187" s="3"/>
      <c r="Z187" s="62"/>
      <c r="AA187" s="62"/>
      <c r="AB187" s="62"/>
      <c r="AC187" s="62"/>
      <c r="AD187" s="62"/>
      <c r="AE187" s="62"/>
      <c r="AF187" s="62"/>
      <c r="AG187" s="62"/>
      <c r="AH187" s="62"/>
      <c r="AI187" s="62"/>
    </row>
    <row r="188" ht="14.25" customHeight="1">
      <c r="A188" s="3"/>
      <c r="Z188" s="62"/>
      <c r="AA188" s="62"/>
      <c r="AB188" s="62"/>
      <c r="AC188" s="62"/>
      <c r="AD188" s="62"/>
      <c r="AE188" s="62"/>
      <c r="AF188" s="62"/>
      <c r="AG188" s="62"/>
      <c r="AH188" s="62"/>
      <c r="AI188" s="62"/>
    </row>
    <row r="189" ht="14.25" customHeight="1">
      <c r="A189" s="3"/>
      <c r="Z189" s="62"/>
      <c r="AA189" s="62"/>
      <c r="AB189" s="62"/>
      <c r="AC189" s="62"/>
      <c r="AD189" s="62"/>
      <c r="AE189" s="62"/>
      <c r="AF189" s="62"/>
      <c r="AG189" s="62"/>
      <c r="AH189" s="62"/>
      <c r="AI189" s="62"/>
    </row>
    <row r="190" ht="14.25" customHeight="1">
      <c r="A190" s="3"/>
      <c r="Z190" s="62"/>
      <c r="AA190" s="62"/>
      <c r="AB190" s="62"/>
      <c r="AC190" s="62"/>
      <c r="AD190" s="62"/>
      <c r="AE190" s="62"/>
      <c r="AF190" s="62"/>
      <c r="AG190" s="62"/>
      <c r="AH190" s="62"/>
      <c r="AI190" s="62"/>
    </row>
    <row r="191" ht="14.25" customHeight="1">
      <c r="A191" s="3"/>
      <c r="Z191" s="62"/>
      <c r="AA191" s="62"/>
      <c r="AB191" s="62"/>
      <c r="AC191" s="62"/>
      <c r="AD191" s="62"/>
      <c r="AE191" s="62"/>
      <c r="AF191" s="62"/>
      <c r="AG191" s="62"/>
      <c r="AH191" s="62"/>
      <c r="AI191" s="62"/>
    </row>
    <row r="192" ht="14.25" customHeight="1">
      <c r="A192" s="3"/>
      <c r="Z192" s="62"/>
      <c r="AA192" s="62"/>
      <c r="AB192" s="62"/>
      <c r="AC192" s="62"/>
      <c r="AD192" s="62"/>
      <c r="AE192" s="62"/>
      <c r="AF192" s="62"/>
      <c r="AG192" s="62"/>
      <c r="AH192" s="62"/>
      <c r="AI192" s="62"/>
    </row>
    <row r="193" ht="14.25" customHeight="1">
      <c r="A193" s="3"/>
      <c r="Z193" s="62"/>
      <c r="AA193" s="62"/>
      <c r="AB193" s="62"/>
      <c r="AC193" s="62"/>
      <c r="AD193" s="62"/>
      <c r="AE193" s="62"/>
      <c r="AF193" s="62"/>
      <c r="AG193" s="62"/>
      <c r="AH193" s="62"/>
      <c r="AI193" s="62"/>
    </row>
    <row r="194" ht="14.25" customHeight="1">
      <c r="A194" s="3"/>
      <c r="Z194" s="62"/>
      <c r="AA194" s="62"/>
      <c r="AB194" s="62"/>
      <c r="AC194" s="62"/>
      <c r="AD194" s="62"/>
      <c r="AE194" s="62"/>
      <c r="AF194" s="62"/>
      <c r="AG194" s="62"/>
      <c r="AH194" s="62"/>
      <c r="AI194" s="62"/>
    </row>
    <row r="195" ht="14.25" customHeight="1">
      <c r="A195" s="3"/>
      <c r="Z195" s="62"/>
      <c r="AA195" s="62"/>
      <c r="AB195" s="62"/>
      <c r="AC195" s="62"/>
      <c r="AD195" s="62"/>
      <c r="AE195" s="62"/>
      <c r="AF195" s="62"/>
      <c r="AG195" s="62"/>
      <c r="AH195" s="62"/>
      <c r="AI195" s="62"/>
    </row>
    <row r="196" ht="14.25" customHeight="1">
      <c r="A196" s="3"/>
      <c r="Z196" s="62"/>
      <c r="AA196" s="62"/>
      <c r="AB196" s="62"/>
      <c r="AC196" s="62"/>
      <c r="AD196" s="62"/>
      <c r="AE196" s="62"/>
      <c r="AF196" s="62"/>
      <c r="AG196" s="62"/>
      <c r="AH196" s="62"/>
      <c r="AI196" s="62"/>
    </row>
    <row r="197" ht="14.25" customHeight="1">
      <c r="A197" s="3"/>
      <c r="Z197" s="62"/>
      <c r="AA197" s="62"/>
      <c r="AB197" s="62"/>
      <c r="AC197" s="62"/>
      <c r="AD197" s="62"/>
      <c r="AE197" s="62"/>
      <c r="AF197" s="62"/>
      <c r="AG197" s="62"/>
      <c r="AH197" s="62"/>
      <c r="AI197" s="62"/>
    </row>
    <row r="198" ht="14.25" customHeight="1">
      <c r="A198" s="3"/>
      <c r="Z198" s="62"/>
      <c r="AA198" s="62"/>
      <c r="AB198" s="62"/>
      <c r="AC198" s="62"/>
      <c r="AD198" s="62"/>
      <c r="AE198" s="62"/>
      <c r="AF198" s="62"/>
      <c r="AG198" s="62"/>
      <c r="AH198" s="62"/>
      <c r="AI198" s="62"/>
    </row>
    <row r="199" ht="14.25" customHeight="1">
      <c r="A199" s="3"/>
      <c r="Z199" s="62"/>
      <c r="AA199" s="62"/>
      <c r="AB199" s="62"/>
      <c r="AC199" s="62"/>
      <c r="AD199" s="62"/>
      <c r="AE199" s="62"/>
      <c r="AF199" s="62"/>
      <c r="AG199" s="62"/>
      <c r="AH199" s="62"/>
      <c r="AI199" s="62"/>
    </row>
    <row r="200" ht="14.25" customHeight="1">
      <c r="A200" s="3"/>
      <c r="Z200" s="62"/>
      <c r="AA200" s="62"/>
      <c r="AB200" s="62"/>
      <c r="AC200" s="62"/>
      <c r="AD200" s="62"/>
      <c r="AE200" s="62"/>
      <c r="AF200" s="62"/>
      <c r="AG200" s="62"/>
      <c r="AH200" s="62"/>
      <c r="AI200" s="62"/>
    </row>
    <row r="201" ht="14.25" customHeight="1">
      <c r="A201" s="3"/>
      <c r="Z201" s="62"/>
      <c r="AA201" s="62"/>
      <c r="AB201" s="62"/>
      <c r="AC201" s="62"/>
      <c r="AD201" s="62"/>
      <c r="AE201" s="62"/>
      <c r="AF201" s="62"/>
      <c r="AG201" s="62"/>
      <c r="AH201" s="62"/>
      <c r="AI201" s="62"/>
    </row>
    <row r="202" ht="14.25" customHeight="1">
      <c r="A202" s="3"/>
      <c r="Z202" s="62"/>
      <c r="AA202" s="62"/>
      <c r="AB202" s="62"/>
      <c r="AC202" s="62"/>
      <c r="AD202" s="62"/>
      <c r="AE202" s="62"/>
      <c r="AF202" s="62"/>
      <c r="AG202" s="62"/>
      <c r="AH202" s="62"/>
      <c r="AI202" s="62"/>
    </row>
    <row r="203" ht="14.25" customHeight="1">
      <c r="A203" s="3"/>
      <c r="Z203" s="62"/>
      <c r="AA203" s="62"/>
      <c r="AB203" s="62"/>
      <c r="AC203" s="62"/>
      <c r="AD203" s="62"/>
      <c r="AE203" s="62"/>
      <c r="AF203" s="62"/>
      <c r="AG203" s="62"/>
      <c r="AH203" s="62"/>
      <c r="AI203" s="62"/>
    </row>
    <row r="204" ht="14.25" customHeight="1">
      <c r="A204" s="3"/>
      <c r="Z204" s="62"/>
      <c r="AA204" s="62"/>
      <c r="AB204" s="62"/>
      <c r="AC204" s="62"/>
      <c r="AD204" s="62"/>
      <c r="AE204" s="62"/>
      <c r="AF204" s="62"/>
      <c r="AG204" s="62"/>
      <c r="AH204" s="62"/>
      <c r="AI204" s="62"/>
    </row>
    <row r="205" ht="14.25" customHeight="1">
      <c r="A205" s="3"/>
      <c r="Z205" s="62"/>
      <c r="AA205" s="62"/>
      <c r="AB205" s="62"/>
      <c r="AC205" s="62"/>
      <c r="AD205" s="62"/>
      <c r="AE205" s="62"/>
      <c r="AF205" s="62"/>
      <c r="AG205" s="62"/>
      <c r="AH205" s="62"/>
      <c r="AI205" s="62"/>
    </row>
    <row r="206" ht="14.25" customHeight="1">
      <c r="A206" s="3"/>
      <c r="Z206" s="62"/>
      <c r="AA206" s="62"/>
      <c r="AB206" s="62"/>
      <c r="AC206" s="62"/>
      <c r="AD206" s="62"/>
      <c r="AE206" s="62"/>
      <c r="AF206" s="62"/>
      <c r="AG206" s="62"/>
      <c r="AH206" s="62"/>
      <c r="AI206" s="62"/>
    </row>
    <row r="207" ht="14.25" customHeight="1">
      <c r="A207" s="3"/>
      <c r="Z207" s="62"/>
      <c r="AA207" s="62"/>
      <c r="AB207" s="62"/>
      <c r="AC207" s="62"/>
      <c r="AD207" s="62"/>
      <c r="AE207" s="62"/>
      <c r="AF207" s="62"/>
      <c r="AG207" s="62"/>
      <c r="AH207" s="62"/>
      <c r="AI207" s="62"/>
    </row>
    <row r="208" ht="14.25" customHeight="1">
      <c r="A208" s="3"/>
      <c r="Z208" s="62"/>
      <c r="AA208" s="62"/>
      <c r="AB208" s="62"/>
      <c r="AC208" s="62"/>
      <c r="AD208" s="62"/>
      <c r="AE208" s="62"/>
      <c r="AF208" s="62"/>
      <c r="AG208" s="62"/>
      <c r="AH208" s="62"/>
      <c r="AI208" s="62"/>
    </row>
    <row r="209" ht="14.25" customHeight="1">
      <c r="A209" s="3"/>
      <c r="Z209" s="62"/>
      <c r="AA209" s="62"/>
      <c r="AB209" s="62"/>
      <c r="AC209" s="62"/>
      <c r="AD209" s="62"/>
      <c r="AE209" s="62"/>
      <c r="AF209" s="62"/>
      <c r="AG209" s="62"/>
      <c r="AH209" s="62"/>
      <c r="AI209" s="62"/>
    </row>
    <row r="210" ht="14.25" customHeight="1">
      <c r="A210" s="3"/>
      <c r="Z210" s="62"/>
      <c r="AA210" s="62"/>
      <c r="AB210" s="62"/>
      <c r="AC210" s="62"/>
      <c r="AD210" s="62"/>
      <c r="AE210" s="62"/>
      <c r="AF210" s="62"/>
      <c r="AG210" s="62"/>
      <c r="AH210" s="62"/>
      <c r="AI210" s="62"/>
    </row>
    <row r="211" ht="14.25" customHeight="1">
      <c r="A211" s="3"/>
      <c r="Z211" s="62"/>
      <c r="AA211" s="62"/>
      <c r="AB211" s="62"/>
      <c r="AC211" s="62"/>
      <c r="AD211" s="62"/>
      <c r="AE211" s="62"/>
      <c r="AF211" s="62"/>
      <c r="AG211" s="62"/>
      <c r="AH211" s="62"/>
      <c r="AI211" s="62"/>
    </row>
    <row r="212" ht="14.25" customHeight="1">
      <c r="A212" s="3"/>
      <c r="Z212" s="62"/>
      <c r="AA212" s="62"/>
      <c r="AB212" s="62"/>
      <c r="AC212" s="62"/>
      <c r="AD212" s="62"/>
      <c r="AE212" s="62"/>
      <c r="AF212" s="62"/>
      <c r="AG212" s="62"/>
      <c r="AH212" s="62"/>
      <c r="AI212" s="62"/>
    </row>
    <row r="213" ht="14.25" customHeight="1">
      <c r="A213" s="3"/>
      <c r="Z213" s="62"/>
      <c r="AA213" s="62"/>
      <c r="AB213" s="62"/>
      <c r="AC213" s="62"/>
      <c r="AD213" s="62"/>
      <c r="AE213" s="62"/>
      <c r="AF213" s="62"/>
      <c r="AG213" s="62"/>
      <c r="AH213" s="62"/>
      <c r="AI213" s="62"/>
    </row>
    <row r="214" ht="14.25" customHeight="1">
      <c r="A214" s="3"/>
      <c r="Z214" s="62"/>
      <c r="AA214" s="62"/>
      <c r="AB214" s="62"/>
      <c r="AC214" s="62"/>
      <c r="AD214" s="62"/>
      <c r="AE214" s="62"/>
      <c r="AF214" s="62"/>
      <c r="AG214" s="62"/>
      <c r="AH214" s="62"/>
      <c r="AI214" s="62"/>
    </row>
    <row r="215" ht="14.25" customHeight="1">
      <c r="A215" s="3"/>
      <c r="Z215" s="62"/>
      <c r="AA215" s="62"/>
      <c r="AB215" s="62"/>
      <c r="AC215" s="62"/>
      <c r="AD215" s="62"/>
      <c r="AE215" s="62"/>
      <c r="AF215" s="62"/>
      <c r="AG215" s="62"/>
      <c r="AH215" s="62"/>
      <c r="AI215" s="62"/>
    </row>
    <row r="216" ht="14.25" customHeight="1">
      <c r="A216" s="3"/>
      <c r="Z216" s="62"/>
      <c r="AA216" s="62"/>
      <c r="AB216" s="62"/>
      <c r="AC216" s="62"/>
      <c r="AD216" s="62"/>
      <c r="AE216" s="62"/>
      <c r="AF216" s="62"/>
      <c r="AG216" s="62"/>
      <c r="AH216" s="62"/>
      <c r="AI216" s="62"/>
    </row>
    <row r="217" ht="14.25" customHeight="1">
      <c r="A217" s="3"/>
      <c r="Z217" s="62"/>
      <c r="AA217" s="62"/>
      <c r="AB217" s="62"/>
      <c r="AC217" s="62"/>
      <c r="AD217" s="62"/>
      <c r="AE217" s="62"/>
      <c r="AF217" s="62"/>
      <c r="AG217" s="62"/>
      <c r="AH217" s="62"/>
      <c r="AI217" s="62"/>
    </row>
    <row r="218" ht="14.25" customHeight="1">
      <c r="A218" s="3"/>
      <c r="Z218" s="62"/>
      <c r="AA218" s="62"/>
      <c r="AB218" s="62"/>
      <c r="AC218" s="62"/>
      <c r="AD218" s="62"/>
      <c r="AE218" s="62"/>
      <c r="AF218" s="62"/>
      <c r="AG218" s="62"/>
      <c r="AH218" s="62"/>
      <c r="AI218" s="62"/>
    </row>
    <row r="219" ht="14.25" customHeight="1">
      <c r="A219" s="3"/>
      <c r="Z219" s="62"/>
      <c r="AA219" s="62"/>
      <c r="AB219" s="62"/>
      <c r="AC219" s="62"/>
      <c r="AD219" s="62"/>
      <c r="AE219" s="62"/>
      <c r="AF219" s="62"/>
      <c r="AG219" s="62"/>
      <c r="AH219" s="62"/>
      <c r="AI219" s="62"/>
    </row>
    <row r="220" ht="14.25" customHeight="1">
      <c r="A220" s="3"/>
      <c r="Z220" s="62"/>
      <c r="AA220" s="62"/>
      <c r="AB220" s="62"/>
      <c r="AC220" s="62"/>
      <c r="AD220" s="62"/>
      <c r="AE220" s="62"/>
      <c r="AF220" s="62"/>
      <c r="AG220" s="62"/>
      <c r="AH220" s="62"/>
      <c r="AI220" s="62"/>
    </row>
    <row r="221" ht="14.25" customHeight="1">
      <c r="A221" s="3"/>
      <c r="Z221" s="62"/>
      <c r="AA221" s="62"/>
      <c r="AB221" s="62"/>
      <c r="AC221" s="62"/>
      <c r="AD221" s="62"/>
      <c r="AE221" s="62"/>
      <c r="AF221" s="62"/>
      <c r="AG221" s="62"/>
      <c r="AH221" s="62"/>
      <c r="AI221" s="62"/>
    </row>
    <row r="222" ht="14.25" customHeight="1">
      <c r="A222" s="3"/>
      <c r="Z222" s="62"/>
      <c r="AA222" s="62"/>
      <c r="AB222" s="62"/>
      <c r="AC222" s="62"/>
      <c r="AD222" s="62"/>
      <c r="AE222" s="62"/>
      <c r="AF222" s="62"/>
      <c r="AG222" s="62"/>
      <c r="AH222" s="62"/>
      <c r="AI222" s="62"/>
    </row>
    <row r="223" ht="14.25" customHeight="1">
      <c r="A223" s="3"/>
      <c r="Z223" s="62"/>
      <c r="AA223" s="62"/>
      <c r="AB223" s="62"/>
      <c r="AC223" s="62"/>
      <c r="AD223" s="62"/>
      <c r="AE223" s="62"/>
      <c r="AF223" s="62"/>
      <c r="AG223" s="62"/>
      <c r="AH223" s="62"/>
      <c r="AI223" s="62"/>
    </row>
    <row r="224" ht="14.25" customHeight="1">
      <c r="A224" s="3"/>
      <c r="Z224" s="62"/>
      <c r="AA224" s="62"/>
      <c r="AB224" s="62"/>
      <c r="AC224" s="62"/>
      <c r="AD224" s="62"/>
      <c r="AE224" s="62"/>
      <c r="AF224" s="62"/>
      <c r="AG224" s="62"/>
      <c r="AH224" s="62"/>
      <c r="AI224" s="62"/>
    </row>
    <row r="225" ht="14.25" customHeight="1">
      <c r="A225" s="3"/>
      <c r="Z225" s="62"/>
      <c r="AA225" s="62"/>
      <c r="AB225" s="62"/>
      <c r="AC225" s="62"/>
      <c r="AD225" s="62"/>
      <c r="AE225" s="62"/>
      <c r="AF225" s="62"/>
      <c r="AG225" s="62"/>
      <c r="AH225" s="62"/>
      <c r="AI225" s="62"/>
    </row>
    <row r="226" ht="14.25" customHeight="1">
      <c r="A226" s="3"/>
      <c r="Z226" s="62"/>
      <c r="AA226" s="62"/>
      <c r="AB226" s="62"/>
      <c r="AC226" s="62"/>
      <c r="AD226" s="62"/>
      <c r="AE226" s="62"/>
      <c r="AF226" s="62"/>
      <c r="AG226" s="62"/>
      <c r="AH226" s="62"/>
      <c r="AI226" s="62"/>
    </row>
    <row r="227" ht="14.25" customHeight="1">
      <c r="A227" s="3"/>
      <c r="Z227" s="62"/>
      <c r="AA227" s="62"/>
      <c r="AB227" s="62"/>
      <c r="AC227" s="62"/>
      <c r="AD227" s="62"/>
      <c r="AE227" s="62"/>
      <c r="AF227" s="62"/>
      <c r="AG227" s="62"/>
      <c r="AH227" s="62"/>
      <c r="AI227" s="62"/>
    </row>
    <row r="228" ht="14.25" customHeight="1">
      <c r="A228" s="3"/>
      <c r="Z228" s="62"/>
      <c r="AA228" s="62"/>
      <c r="AB228" s="62"/>
      <c r="AC228" s="62"/>
      <c r="AD228" s="62"/>
      <c r="AE228" s="62"/>
      <c r="AF228" s="62"/>
      <c r="AG228" s="62"/>
      <c r="AH228" s="62"/>
      <c r="AI228" s="62"/>
    </row>
    <row r="229" ht="14.25" customHeight="1">
      <c r="A229" s="3"/>
      <c r="Z229" s="62"/>
      <c r="AA229" s="62"/>
      <c r="AB229" s="62"/>
      <c r="AC229" s="62"/>
      <c r="AD229" s="62"/>
      <c r="AE229" s="62"/>
      <c r="AF229" s="62"/>
      <c r="AG229" s="62"/>
      <c r="AH229" s="62"/>
      <c r="AI229" s="62"/>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H28">
      <formula1>"Ada,Belum Ada,Proses,Belum mengurus"</formula1>
    </dataValidation>
    <dataValidation type="list" allowBlank="1" showErrorMessage="1" sqref="G5 G7 G9 G11 G13 G15 G17 G19 G21">
      <formula1>"Sudah Operasional,Belum operasional,Tahap persiapan"</formula1>
    </dataValidation>
  </dataValidations>
  <printOptions/>
  <pageMargins bottom="0.75" footer="0.0" header="0.0" left="0.7" right="0.7" top="0.75"/>
  <pageSetup paperSize="9" orientation="landscape"/>
  <drawing r:id="rId1"/>
  <tableParts count="2">
    <tablePart r:id="rId4"/>
    <tablePart r:id="rId5"/>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11.57"/>
    <col customWidth="1" min="3" max="3" width="25.57"/>
    <col customWidth="1" min="4" max="4" width="11.86"/>
    <col customWidth="1" min="5" max="5" width="19.29"/>
    <col customWidth="1" min="6" max="6" width="15.86"/>
    <col customWidth="1" min="7" max="7" width="17.14"/>
    <col customWidth="1" min="8" max="11" width="21.14"/>
    <col customWidth="1" min="12" max="14" width="27.0"/>
    <col customWidth="1" min="15" max="15" width="29.0"/>
    <col customWidth="1" min="16" max="16" width="35.29"/>
    <col customWidth="1" min="17" max="17" width="35.57"/>
    <col customWidth="1" min="18" max="18" width="27.0"/>
    <col customWidth="1" min="19" max="24" width="26.43"/>
    <col customWidth="1" min="25" max="25" width="18.43"/>
    <col customWidth="1" min="26" max="35" width="8.71"/>
  </cols>
  <sheetData>
    <row r="1" ht="14.25" customHeight="1">
      <c r="L1" s="63" t="s">
        <v>1</v>
      </c>
      <c r="Z1" s="62"/>
      <c r="AA1" s="62"/>
      <c r="AB1" s="62"/>
      <c r="AC1" s="62"/>
      <c r="AD1" s="62"/>
      <c r="AE1" s="62"/>
      <c r="AF1" s="62"/>
      <c r="AG1" s="62"/>
      <c r="AH1" s="62"/>
      <c r="AI1" s="62"/>
    </row>
    <row r="2" ht="14.25" customHeight="1">
      <c r="L2" s="64" t="s">
        <v>2</v>
      </c>
      <c r="Z2" s="62"/>
      <c r="AA2" s="62"/>
      <c r="AB2" s="62"/>
      <c r="AC2" s="62"/>
      <c r="AD2" s="62"/>
      <c r="AE2" s="62"/>
      <c r="AF2" s="62"/>
      <c r="AG2" s="62"/>
      <c r="AH2" s="62"/>
      <c r="AI2" s="62"/>
    </row>
    <row r="3" ht="14.25" customHeight="1">
      <c r="Z3" s="62"/>
      <c r="AA3" s="62"/>
      <c r="AB3" s="62"/>
      <c r="AC3" s="62"/>
      <c r="AD3" s="62"/>
      <c r="AE3" s="62"/>
      <c r="AF3" s="62"/>
      <c r="AG3" s="62"/>
      <c r="AH3" s="62"/>
      <c r="AI3" s="62"/>
    </row>
    <row r="4" ht="40.5" customHeight="1">
      <c r="A4" s="65" t="s">
        <v>3</v>
      </c>
      <c r="B4" s="65" t="s">
        <v>4</v>
      </c>
      <c r="C4" s="65" t="s">
        <v>5</v>
      </c>
      <c r="D4" s="65" t="s">
        <v>6</v>
      </c>
      <c r="E4" s="65" t="s">
        <v>7</v>
      </c>
      <c r="F4" s="65" t="s">
        <v>8</v>
      </c>
      <c r="G4" s="65" t="s">
        <v>9</v>
      </c>
      <c r="H4" s="65" t="s">
        <v>1084</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14.25" customHeight="1">
      <c r="A5" s="67">
        <v>1.0</v>
      </c>
      <c r="B5" s="67" t="s">
        <v>2743</v>
      </c>
      <c r="C5" s="67" t="s">
        <v>2744</v>
      </c>
      <c r="D5" s="67" t="s">
        <v>2745</v>
      </c>
      <c r="E5" s="67" t="s">
        <v>2746</v>
      </c>
      <c r="F5" s="260" t="s">
        <v>2747</v>
      </c>
      <c r="G5" s="67" t="s">
        <v>43</v>
      </c>
      <c r="H5" s="67">
        <v>2025.0</v>
      </c>
      <c r="I5" s="67" t="s">
        <v>44</v>
      </c>
      <c r="J5" s="67" t="s">
        <v>2748</v>
      </c>
      <c r="K5" s="261" t="s">
        <v>2749</v>
      </c>
      <c r="L5" s="67">
        <v>3570.0</v>
      </c>
      <c r="M5" s="67" t="s">
        <v>2750</v>
      </c>
      <c r="N5" s="67" t="s">
        <v>2751</v>
      </c>
      <c r="O5" s="67" t="s">
        <v>2752</v>
      </c>
      <c r="P5" s="67" t="s">
        <v>2753</v>
      </c>
      <c r="Q5" s="67" t="s">
        <v>2754</v>
      </c>
      <c r="R5" s="67" t="s">
        <v>2755</v>
      </c>
      <c r="S5" s="102" t="s">
        <v>2756</v>
      </c>
      <c r="T5" s="68">
        <v>0.0</v>
      </c>
      <c r="U5" s="68">
        <v>0.0</v>
      </c>
      <c r="V5" s="68">
        <v>0.0</v>
      </c>
      <c r="W5" s="68">
        <v>0.0</v>
      </c>
      <c r="X5" s="68">
        <v>0.0</v>
      </c>
      <c r="Y5" s="68"/>
      <c r="Z5" s="54" t="s">
        <v>54</v>
      </c>
      <c r="AA5" s="130"/>
      <c r="AB5" s="130"/>
      <c r="AC5" s="130"/>
      <c r="AD5" s="130"/>
      <c r="AE5" s="130"/>
      <c r="AF5" s="130"/>
      <c r="AG5" s="130"/>
      <c r="AH5" s="130"/>
      <c r="AI5" s="130"/>
    </row>
    <row r="6" ht="14.25" customHeight="1">
      <c r="A6" s="67">
        <v>2.0</v>
      </c>
      <c r="B6" s="67" t="s">
        <v>2757</v>
      </c>
      <c r="C6" s="67" t="s">
        <v>2758</v>
      </c>
      <c r="D6" s="67" t="s">
        <v>2759</v>
      </c>
      <c r="E6" s="71" t="s">
        <v>2760</v>
      </c>
      <c r="F6" s="67" t="s">
        <v>2761</v>
      </c>
      <c r="G6" s="67" t="s">
        <v>43</v>
      </c>
      <c r="H6" s="67">
        <v>2025.0</v>
      </c>
      <c r="I6" s="67" t="s">
        <v>44</v>
      </c>
      <c r="J6" s="67" t="s">
        <v>2762</v>
      </c>
      <c r="K6" s="72" t="s">
        <v>2763</v>
      </c>
      <c r="L6" s="68">
        <v>3366.0</v>
      </c>
      <c r="M6" s="68">
        <v>0.0</v>
      </c>
      <c r="N6" s="68">
        <v>0.0</v>
      </c>
      <c r="O6" s="262" t="s">
        <v>2764</v>
      </c>
      <c r="P6" s="67" t="s">
        <v>2765</v>
      </c>
      <c r="Q6" s="73" t="s">
        <v>2766</v>
      </c>
      <c r="R6" s="68" t="s">
        <v>2767</v>
      </c>
      <c r="S6" s="68" t="s">
        <v>2768</v>
      </c>
      <c r="T6" s="68">
        <v>0.0</v>
      </c>
      <c r="U6" s="68">
        <v>0.0</v>
      </c>
      <c r="V6" s="68">
        <v>0.0</v>
      </c>
      <c r="W6" s="68">
        <v>0.0</v>
      </c>
      <c r="X6" s="68">
        <v>0.0</v>
      </c>
      <c r="Y6" s="67"/>
      <c r="Z6" s="131"/>
      <c r="AA6" s="131"/>
      <c r="AB6" s="131"/>
      <c r="AC6" s="131"/>
      <c r="AD6" s="131"/>
      <c r="AE6" s="131"/>
      <c r="AF6" s="131"/>
      <c r="AG6" s="131"/>
      <c r="AH6" s="131"/>
      <c r="AI6" s="131"/>
    </row>
    <row r="7" ht="14.25" customHeight="1">
      <c r="A7" s="68">
        <v>3.0</v>
      </c>
      <c r="B7" s="68" t="s">
        <v>2769</v>
      </c>
      <c r="C7" s="73" t="s">
        <v>2770</v>
      </c>
      <c r="D7" s="68" t="s">
        <v>2771</v>
      </c>
      <c r="E7" s="68" t="s">
        <v>382</v>
      </c>
      <c r="F7" s="68" t="s">
        <v>2772</v>
      </c>
      <c r="G7" s="67" t="s">
        <v>43</v>
      </c>
      <c r="H7" s="67">
        <v>2025.0</v>
      </c>
      <c r="I7" s="67" t="s">
        <v>44</v>
      </c>
      <c r="J7" s="67" t="s">
        <v>2773</v>
      </c>
      <c r="K7" s="261" t="s">
        <v>2774</v>
      </c>
      <c r="L7" s="67">
        <v>3287.0</v>
      </c>
      <c r="M7" s="67" t="s">
        <v>2775</v>
      </c>
      <c r="N7" s="67" t="s">
        <v>2776</v>
      </c>
      <c r="O7" s="68">
        <v>0.0</v>
      </c>
      <c r="P7" s="68">
        <v>0.0</v>
      </c>
      <c r="Q7" s="73"/>
      <c r="R7" s="67" t="s">
        <v>2777</v>
      </c>
      <c r="S7" s="102" t="s">
        <v>2778</v>
      </c>
      <c r="T7" s="68">
        <v>0.0</v>
      </c>
      <c r="U7" s="68">
        <v>0.0</v>
      </c>
      <c r="V7" s="68">
        <v>0.0</v>
      </c>
      <c r="W7" s="68">
        <v>0.0</v>
      </c>
      <c r="X7" s="68">
        <v>0.0</v>
      </c>
      <c r="Y7" s="68"/>
      <c r="Z7" s="130"/>
      <c r="AA7" s="130"/>
      <c r="AB7" s="130"/>
      <c r="AC7" s="130"/>
      <c r="AD7" s="130"/>
      <c r="AE7" s="130"/>
      <c r="AF7" s="130"/>
      <c r="AG7" s="130"/>
      <c r="AH7" s="130"/>
      <c r="AI7" s="130"/>
    </row>
    <row r="8" ht="14.25" customHeight="1">
      <c r="A8" s="68">
        <v>4.0</v>
      </c>
      <c r="B8" s="68" t="s">
        <v>2779</v>
      </c>
      <c r="C8" s="81" t="s">
        <v>2780</v>
      </c>
      <c r="D8" s="68" t="s">
        <v>2781</v>
      </c>
      <c r="E8" s="68" t="s">
        <v>2782</v>
      </c>
      <c r="F8" s="68" t="s">
        <v>2783</v>
      </c>
      <c r="G8" s="67" t="s">
        <v>43</v>
      </c>
      <c r="H8" s="68"/>
      <c r="I8" s="68" t="s">
        <v>416</v>
      </c>
      <c r="J8" s="68" t="s">
        <v>2784</v>
      </c>
      <c r="K8" s="68">
        <v>8.3879593511E10</v>
      </c>
      <c r="L8" s="68">
        <v>1563.0</v>
      </c>
      <c r="M8" s="68">
        <v>0.0</v>
      </c>
      <c r="N8" s="68" t="s">
        <v>2785</v>
      </c>
      <c r="O8" s="67" t="s">
        <v>2786</v>
      </c>
      <c r="P8" s="67" t="s">
        <v>2787</v>
      </c>
      <c r="Q8" s="73" t="s">
        <v>2788</v>
      </c>
      <c r="R8" s="67" t="s">
        <v>2789</v>
      </c>
      <c r="S8" s="67" t="s">
        <v>2790</v>
      </c>
      <c r="T8" s="68">
        <v>0.0</v>
      </c>
      <c r="U8" s="68">
        <v>0.0</v>
      </c>
      <c r="V8" s="68">
        <v>0.0</v>
      </c>
      <c r="W8" s="68">
        <v>0.0</v>
      </c>
      <c r="X8" s="68">
        <v>0.0</v>
      </c>
      <c r="Y8" s="68"/>
      <c r="Z8" s="131"/>
      <c r="AA8" s="131"/>
      <c r="AB8" s="131"/>
      <c r="AC8" s="131"/>
      <c r="AD8" s="131"/>
      <c r="AE8" s="131"/>
      <c r="AF8" s="131"/>
      <c r="AG8" s="131"/>
      <c r="AH8" s="131"/>
      <c r="AI8" s="131"/>
    </row>
    <row r="9" ht="14.25" customHeight="1">
      <c r="A9" s="68">
        <v>5.0</v>
      </c>
      <c r="B9" s="68" t="s">
        <v>2769</v>
      </c>
      <c r="C9" s="68" t="s">
        <v>2791</v>
      </c>
      <c r="D9" s="68" t="s">
        <v>2792</v>
      </c>
      <c r="E9" s="68" t="s">
        <v>2793</v>
      </c>
      <c r="F9" s="68" t="s">
        <v>2794</v>
      </c>
      <c r="G9" s="67" t="s">
        <v>43</v>
      </c>
      <c r="H9" s="111">
        <v>46268.0</v>
      </c>
      <c r="I9" s="68" t="s">
        <v>44</v>
      </c>
      <c r="J9" s="68" t="s">
        <v>2795</v>
      </c>
      <c r="K9" s="68">
        <v>8.95329258575E11</v>
      </c>
      <c r="L9" s="68">
        <v>1762.0</v>
      </c>
      <c r="M9" s="67" t="s">
        <v>2796</v>
      </c>
      <c r="N9" s="67" t="s">
        <v>2797</v>
      </c>
      <c r="O9" s="68">
        <v>0.0</v>
      </c>
      <c r="P9" s="68">
        <v>0.0</v>
      </c>
      <c r="Q9" s="73" t="s">
        <v>2798</v>
      </c>
      <c r="R9" s="68" t="s">
        <v>2799</v>
      </c>
      <c r="S9" s="68">
        <v>0.0</v>
      </c>
      <c r="T9" s="67" t="s">
        <v>2800</v>
      </c>
      <c r="U9" s="67" t="s">
        <v>2801</v>
      </c>
      <c r="V9" s="67" t="s">
        <v>2802</v>
      </c>
      <c r="W9" s="68">
        <v>0.0</v>
      </c>
      <c r="X9" s="68">
        <v>0.0</v>
      </c>
      <c r="Y9" s="68"/>
      <c r="Z9" s="130"/>
      <c r="AA9" s="130"/>
      <c r="AB9" s="130"/>
      <c r="AC9" s="130"/>
      <c r="AD9" s="130"/>
      <c r="AE9" s="130"/>
      <c r="AF9" s="130"/>
      <c r="AG9" s="130"/>
      <c r="AH9" s="130"/>
      <c r="AI9" s="130"/>
    </row>
    <row r="10" ht="14.25" customHeight="1">
      <c r="A10" s="68">
        <v>6.0</v>
      </c>
      <c r="B10" s="68"/>
      <c r="C10" s="68"/>
      <c r="D10" s="68"/>
      <c r="E10" s="68"/>
      <c r="F10" s="68"/>
      <c r="G10" s="67" t="s">
        <v>142</v>
      </c>
      <c r="H10" s="68"/>
      <c r="I10" s="68"/>
      <c r="J10" s="68" t="s">
        <v>2803</v>
      </c>
      <c r="K10" s="68"/>
      <c r="L10" s="68">
        <f>SUM(L5:L9)</f>
        <v>13548</v>
      </c>
      <c r="M10" s="68"/>
      <c r="N10" s="68"/>
      <c r="O10" s="68"/>
      <c r="P10" s="68"/>
      <c r="Q10" s="73" t="s">
        <v>2804</v>
      </c>
      <c r="R10" s="68"/>
      <c r="S10" s="68"/>
      <c r="T10" s="68"/>
      <c r="U10" s="68"/>
      <c r="V10" s="68"/>
      <c r="W10" s="68"/>
      <c r="X10" s="68"/>
      <c r="Y10" s="68"/>
      <c r="Z10" s="131"/>
      <c r="AA10" s="131"/>
      <c r="AB10" s="131"/>
      <c r="AC10" s="131"/>
      <c r="AD10" s="131"/>
      <c r="AE10" s="131"/>
      <c r="AF10" s="131"/>
      <c r="AG10" s="131"/>
      <c r="AH10" s="131"/>
      <c r="AI10" s="131"/>
    </row>
    <row r="11" ht="14.25" customHeight="1">
      <c r="A11" s="68">
        <v>7.0</v>
      </c>
      <c r="B11" s="68"/>
      <c r="C11" s="68"/>
      <c r="D11" s="68"/>
      <c r="E11" s="68"/>
      <c r="F11" s="68"/>
      <c r="G11" s="67" t="s">
        <v>43</v>
      </c>
      <c r="H11" s="68"/>
      <c r="I11" s="68"/>
      <c r="J11" s="68"/>
      <c r="K11" s="68"/>
      <c r="L11" s="68"/>
      <c r="M11" s="68"/>
      <c r="N11" s="68"/>
      <c r="O11" s="68"/>
      <c r="P11" s="68"/>
      <c r="Q11" s="73"/>
      <c r="R11" s="68"/>
      <c r="S11" s="68"/>
      <c r="T11" s="68"/>
      <c r="U11" s="68"/>
      <c r="V11" s="68"/>
      <c r="W11" s="68"/>
      <c r="X11" s="68"/>
      <c r="Y11" s="68"/>
      <c r="Z11" s="130"/>
      <c r="AA11" s="130"/>
      <c r="AB11" s="130"/>
      <c r="AC11" s="130"/>
      <c r="AD11" s="130"/>
      <c r="AE11" s="130"/>
      <c r="AF11" s="130"/>
      <c r="AG11" s="130"/>
      <c r="AH11" s="130"/>
      <c r="AI11" s="130"/>
    </row>
    <row r="12" ht="14.25" customHeight="1">
      <c r="A12" s="68">
        <v>8.0</v>
      </c>
      <c r="B12" s="68"/>
      <c r="C12" s="68"/>
      <c r="D12" s="68"/>
      <c r="E12" s="68"/>
      <c r="F12" s="68"/>
      <c r="G12" s="68"/>
      <c r="H12" s="68"/>
      <c r="I12" s="68"/>
      <c r="J12" s="68"/>
      <c r="K12" s="68"/>
      <c r="L12" s="68"/>
      <c r="M12" s="68"/>
      <c r="N12" s="68"/>
      <c r="O12" s="68"/>
      <c r="P12" s="68"/>
      <c r="Q12" s="73" t="s">
        <v>2805</v>
      </c>
      <c r="R12" s="68"/>
      <c r="S12" s="68"/>
      <c r="T12" s="68"/>
      <c r="U12" s="68"/>
      <c r="V12" s="68"/>
      <c r="W12" s="68"/>
      <c r="X12" s="68"/>
      <c r="Y12" s="68"/>
      <c r="Z12" s="131"/>
      <c r="AA12" s="131"/>
      <c r="AB12" s="131"/>
      <c r="AC12" s="131"/>
      <c r="AD12" s="131"/>
      <c r="AE12" s="131"/>
      <c r="AF12" s="131"/>
      <c r="AG12" s="131"/>
      <c r="AH12" s="131"/>
      <c r="AI12" s="131"/>
    </row>
    <row r="13" ht="14.25" customHeight="1">
      <c r="A13" s="68">
        <v>9.0</v>
      </c>
      <c r="B13" s="68"/>
      <c r="C13" s="68"/>
      <c r="D13" s="68"/>
      <c r="E13" s="68"/>
      <c r="F13" s="68"/>
      <c r="G13" s="68"/>
      <c r="H13" s="68"/>
      <c r="I13" s="68"/>
      <c r="J13" s="68"/>
      <c r="K13" s="68"/>
      <c r="L13" s="68"/>
      <c r="M13" s="68"/>
      <c r="N13" s="68"/>
      <c r="O13" s="68"/>
      <c r="P13" s="68"/>
      <c r="Q13" s="73"/>
      <c r="R13" s="68"/>
      <c r="S13" s="68"/>
      <c r="T13" s="68"/>
      <c r="U13" s="68"/>
      <c r="V13" s="68"/>
      <c r="W13" s="68"/>
      <c r="X13" s="68"/>
      <c r="Y13" s="68"/>
      <c r="Z13" s="130"/>
      <c r="AA13" s="130"/>
      <c r="AB13" s="130"/>
      <c r="AC13" s="130"/>
      <c r="AD13" s="130"/>
      <c r="AE13" s="130"/>
      <c r="AF13" s="130"/>
      <c r="AG13" s="130"/>
      <c r="AH13" s="130"/>
      <c r="AI13" s="130"/>
    </row>
    <row r="14" ht="14.25" customHeight="1">
      <c r="A14" s="68">
        <v>10.0</v>
      </c>
      <c r="B14" s="68"/>
      <c r="C14" s="68"/>
      <c r="D14" s="68"/>
      <c r="E14" s="68"/>
      <c r="F14" s="68"/>
      <c r="G14" s="68"/>
      <c r="H14" s="68"/>
      <c r="I14" s="68"/>
      <c r="J14" s="68"/>
      <c r="K14" s="68"/>
      <c r="L14" s="68"/>
      <c r="M14" s="68"/>
      <c r="N14" s="68"/>
      <c r="O14" s="68"/>
      <c r="P14" s="68"/>
      <c r="Q14" s="73" t="s">
        <v>2806</v>
      </c>
      <c r="R14" s="68"/>
      <c r="S14" s="68"/>
      <c r="T14" s="68"/>
      <c r="U14" s="68"/>
      <c r="V14" s="68"/>
      <c r="W14" s="68"/>
      <c r="X14" s="68"/>
      <c r="Y14" s="68"/>
      <c r="Z14" s="131"/>
      <c r="AA14" s="131"/>
      <c r="AB14" s="131"/>
      <c r="AC14" s="131"/>
      <c r="AD14" s="131"/>
      <c r="AE14" s="131"/>
      <c r="AF14" s="131"/>
      <c r="AG14" s="131"/>
      <c r="AH14" s="131"/>
      <c r="AI14" s="131"/>
    </row>
    <row r="15" ht="14.25" customHeight="1">
      <c r="Z15" s="25"/>
      <c r="AA15" s="25"/>
      <c r="AB15" s="25"/>
      <c r="AC15" s="25"/>
      <c r="AD15" s="25"/>
      <c r="AE15" s="25"/>
      <c r="AF15" s="25"/>
      <c r="AG15" s="25"/>
      <c r="AH15" s="25"/>
      <c r="AI15" s="25"/>
    </row>
    <row r="16" ht="14.25" customHeight="1">
      <c r="C16" s="62" t="s">
        <v>216</v>
      </c>
      <c r="D16" s="62">
        <v>5.0</v>
      </c>
      <c r="Q16" s="62" t="s">
        <v>2807</v>
      </c>
      <c r="Z16" s="26"/>
      <c r="AA16" s="26"/>
      <c r="AB16" s="26"/>
      <c r="AC16" s="26"/>
      <c r="AD16" s="26"/>
      <c r="AE16" s="26"/>
      <c r="AF16" s="26"/>
      <c r="AG16" s="26"/>
      <c r="AH16" s="26"/>
      <c r="AI16" s="26"/>
    </row>
    <row r="17" ht="14.25" customHeight="1">
      <c r="C17" s="62" t="s">
        <v>217</v>
      </c>
      <c r="D17" s="62">
        <v>0.0</v>
      </c>
      <c r="Z17" s="25"/>
      <c r="AA17" s="25"/>
      <c r="AB17" s="25"/>
      <c r="AC17" s="25"/>
      <c r="AD17" s="25"/>
      <c r="AE17" s="25"/>
      <c r="AF17" s="25"/>
      <c r="AG17" s="25"/>
      <c r="AH17" s="25"/>
      <c r="AI17" s="25"/>
    </row>
    <row r="18" ht="14.25" customHeight="1">
      <c r="Q18" s="62" t="s">
        <v>2808</v>
      </c>
      <c r="Z18" s="26"/>
      <c r="AA18" s="26"/>
      <c r="AB18" s="26"/>
      <c r="AC18" s="26"/>
      <c r="AD18" s="26"/>
      <c r="AE18" s="26"/>
      <c r="AF18" s="26"/>
      <c r="AG18" s="26"/>
      <c r="AH18" s="26"/>
      <c r="AI18" s="26"/>
    </row>
    <row r="19" ht="14.25" customHeight="1">
      <c r="Z19" s="25"/>
      <c r="AA19" s="25"/>
      <c r="AB19" s="25"/>
      <c r="AC19" s="25"/>
      <c r="AD19" s="25"/>
      <c r="AE19" s="25"/>
      <c r="AF19" s="25"/>
      <c r="AG19" s="25"/>
      <c r="AH19" s="25"/>
      <c r="AI19" s="25"/>
    </row>
    <row r="20" ht="14.25" customHeight="1">
      <c r="Q20" s="62" t="s">
        <v>2809</v>
      </c>
      <c r="Z20" s="26"/>
      <c r="AA20" s="26"/>
      <c r="AB20" s="26"/>
      <c r="AC20" s="26"/>
      <c r="AD20" s="26"/>
      <c r="AE20" s="26"/>
      <c r="AF20" s="26"/>
      <c r="AG20" s="26"/>
      <c r="AH20" s="26"/>
      <c r="AI20" s="26"/>
    </row>
    <row r="21" ht="14.25" customHeight="1">
      <c r="Z21" s="25"/>
      <c r="AA21" s="25"/>
      <c r="AB21" s="25"/>
      <c r="AC21" s="25"/>
      <c r="AD21" s="25"/>
      <c r="AE21" s="25"/>
      <c r="AF21" s="25"/>
      <c r="AG21" s="25"/>
      <c r="AH21" s="25"/>
      <c r="AI21" s="25"/>
    </row>
    <row r="22" ht="14.25" customHeight="1">
      <c r="Q22" s="62" t="s">
        <v>2810</v>
      </c>
      <c r="Z22" s="26"/>
      <c r="AA22" s="26"/>
      <c r="AB22" s="26"/>
      <c r="AC22" s="26"/>
      <c r="AD22" s="26"/>
      <c r="AE22" s="26"/>
      <c r="AF22" s="26"/>
      <c r="AG22" s="26"/>
      <c r="AH22" s="26"/>
      <c r="AI22" s="26"/>
    </row>
    <row r="23" ht="14.25" customHeight="1">
      <c r="Z23" s="25"/>
      <c r="AA23" s="25"/>
      <c r="AB23" s="25"/>
      <c r="AC23" s="25"/>
      <c r="AD23" s="25"/>
      <c r="AE23" s="25"/>
      <c r="AF23" s="25"/>
      <c r="AG23" s="25"/>
      <c r="AH23" s="25"/>
      <c r="AI23" s="25"/>
    </row>
    <row r="24" ht="14.25" customHeight="1">
      <c r="Q24" s="263" t="s">
        <v>2811</v>
      </c>
      <c r="Z24" s="62"/>
      <c r="AA24" s="62"/>
      <c r="AB24" s="62"/>
      <c r="AC24" s="62"/>
      <c r="AD24" s="62"/>
      <c r="AE24" s="62"/>
      <c r="AF24" s="62"/>
      <c r="AG24" s="62"/>
      <c r="AH24" s="62"/>
      <c r="AI24" s="62"/>
    </row>
    <row r="25" ht="14.25" customHeight="1">
      <c r="Z25" s="62"/>
      <c r="AA25" s="62"/>
      <c r="AB25" s="62"/>
      <c r="AC25" s="62"/>
      <c r="AD25" s="62"/>
      <c r="AE25" s="62"/>
      <c r="AF25" s="62"/>
      <c r="AG25" s="62"/>
      <c r="AH25" s="62"/>
      <c r="AI25" s="62"/>
    </row>
    <row r="26" ht="14.25" customHeight="1">
      <c r="Z26" s="62"/>
      <c r="AA26" s="62"/>
      <c r="AB26" s="62"/>
      <c r="AC26" s="62"/>
      <c r="AD26" s="62"/>
      <c r="AE26" s="62"/>
      <c r="AF26" s="62"/>
      <c r="AG26" s="62"/>
      <c r="AH26" s="62"/>
      <c r="AI26" s="62"/>
    </row>
    <row r="27" ht="14.25" customHeight="1">
      <c r="Z27" s="62"/>
      <c r="AA27" s="62"/>
      <c r="AB27" s="62"/>
      <c r="AC27" s="62"/>
      <c r="AD27" s="62"/>
      <c r="AE27" s="62"/>
      <c r="AF27" s="62"/>
      <c r="AG27" s="62"/>
      <c r="AH27" s="62"/>
      <c r="AI27" s="62"/>
    </row>
    <row r="28" ht="14.25" customHeight="1">
      <c r="Z28" s="62"/>
      <c r="AA28" s="62"/>
      <c r="AB28" s="62"/>
      <c r="AC28" s="62"/>
      <c r="AD28" s="62"/>
      <c r="AE28" s="62"/>
      <c r="AF28" s="62"/>
      <c r="AG28" s="62"/>
      <c r="AH28" s="62"/>
      <c r="AI28" s="62"/>
    </row>
    <row r="29" ht="14.25" customHeight="1">
      <c r="Z29" s="62"/>
      <c r="AA29" s="62"/>
      <c r="AB29" s="62"/>
      <c r="AC29" s="62"/>
      <c r="AD29" s="62"/>
      <c r="AE29" s="62"/>
      <c r="AF29" s="62"/>
      <c r="AG29" s="62"/>
      <c r="AH29" s="62"/>
      <c r="AI29" s="62"/>
    </row>
    <row r="30" ht="14.25" customHeight="1">
      <c r="Z30" s="62"/>
      <c r="AA30" s="62"/>
      <c r="AB30" s="62"/>
      <c r="AC30" s="62"/>
      <c r="AD30" s="62"/>
      <c r="AE30" s="62"/>
      <c r="AF30" s="62"/>
      <c r="AG30" s="62"/>
      <c r="AH30" s="62"/>
      <c r="AI30" s="62"/>
    </row>
    <row r="31" ht="14.25" customHeight="1">
      <c r="Z31" s="62"/>
      <c r="AA31" s="62"/>
      <c r="AB31" s="62"/>
      <c r="AC31" s="62"/>
      <c r="AD31" s="62"/>
      <c r="AE31" s="62"/>
      <c r="AF31" s="62"/>
      <c r="AG31" s="62"/>
      <c r="AH31" s="62"/>
      <c r="AI31" s="62"/>
    </row>
    <row r="32" ht="14.25" customHeight="1">
      <c r="Z32" s="62"/>
      <c r="AA32" s="62"/>
      <c r="AB32" s="62"/>
      <c r="AC32" s="62"/>
      <c r="AD32" s="62"/>
      <c r="AE32" s="62"/>
      <c r="AF32" s="62"/>
      <c r="AG32" s="62"/>
      <c r="AH32" s="62"/>
      <c r="AI32" s="62"/>
    </row>
    <row r="33" ht="14.25" customHeight="1">
      <c r="Z33" s="62"/>
      <c r="AA33" s="62"/>
      <c r="AB33" s="62"/>
      <c r="AC33" s="62"/>
      <c r="AD33" s="62"/>
      <c r="AE33" s="62"/>
      <c r="AF33" s="62"/>
      <c r="AG33" s="62"/>
      <c r="AH33" s="62"/>
      <c r="AI33" s="62"/>
    </row>
    <row r="34" ht="14.25" customHeight="1">
      <c r="Z34" s="62"/>
      <c r="AA34" s="62"/>
      <c r="AB34" s="62"/>
      <c r="AC34" s="62"/>
      <c r="AD34" s="62"/>
      <c r="AE34" s="62"/>
      <c r="AF34" s="62"/>
      <c r="AG34" s="62"/>
      <c r="AH34" s="62"/>
      <c r="AI34" s="62"/>
    </row>
    <row r="35" ht="14.25" customHeight="1">
      <c r="Z35" s="62"/>
      <c r="AA35" s="62"/>
      <c r="AB35" s="62"/>
      <c r="AC35" s="62"/>
      <c r="AD35" s="62"/>
      <c r="AE35" s="62"/>
      <c r="AF35" s="62"/>
      <c r="AG35" s="62"/>
      <c r="AH35" s="62"/>
      <c r="AI35" s="62"/>
    </row>
    <row r="36" ht="14.25" customHeight="1">
      <c r="Z36" s="62"/>
      <c r="AA36" s="62"/>
      <c r="AB36" s="62"/>
      <c r="AC36" s="62"/>
      <c r="AD36" s="62"/>
      <c r="AE36" s="62"/>
      <c r="AF36" s="62"/>
      <c r="AG36" s="62"/>
      <c r="AH36" s="62"/>
      <c r="AI36" s="62"/>
    </row>
    <row r="37" ht="14.25" customHeight="1">
      <c r="Z37" s="62"/>
      <c r="AA37" s="62"/>
      <c r="AB37" s="62"/>
      <c r="AC37" s="62"/>
      <c r="AD37" s="62"/>
      <c r="AE37" s="62"/>
      <c r="AF37" s="62"/>
      <c r="AG37" s="62"/>
      <c r="AH37" s="62"/>
      <c r="AI37" s="62"/>
    </row>
    <row r="38" ht="14.25" customHeight="1">
      <c r="Z38" s="62"/>
      <c r="AA38" s="62"/>
      <c r="AB38" s="62"/>
      <c r="AC38" s="62"/>
      <c r="AD38" s="62"/>
      <c r="AE38" s="62"/>
      <c r="AF38" s="62"/>
      <c r="AG38" s="62"/>
      <c r="AH38" s="62"/>
      <c r="AI38" s="62"/>
    </row>
    <row r="39" ht="14.25" customHeight="1">
      <c r="Z39" s="62"/>
      <c r="AA39" s="62"/>
      <c r="AB39" s="62"/>
      <c r="AC39" s="62"/>
      <c r="AD39" s="62"/>
      <c r="AE39" s="62"/>
      <c r="AF39" s="62"/>
      <c r="AG39" s="62"/>
      <c r="AH39" s="62"/>
      <c r="AI39" s="62"/>
    </row>
    <row r="40" ht="14.25" customHeight="1">
      <c r="Z40" s="62"/>
      <c r="AA40" s="62"/>
      <c r="AB40" s="62"/>
      <c r="AC40" s="62"/>
      <c r="AD40" s="62"/>
      <c r="AE40" s="62"/>
      <c r="AF40" s="62"/>
      <c r="AG40" s="62"/>
      <c r="AH40" s="62"/>
      <c r="AI40" s="62"/>
    </row>
    <row r="41" ht="14.25" customHeight="1">
      <c r="Z41" s="62"/>
      <c r="AA41" s="62"/>
      <c r="AB41" s="62"/>
      <c r="AC41" s="62"/>
      <c r="AD41" s="62"/>
      <c r="AE41" s="62"/>
      <c r="AF41" s="62"/>
      <c r="AG41" s="62"/>
      <c r="AH41" s="62"/>
      <c r="AI41" s="62"/>
    </row>
    <row r="42" ht="14.25" customHeight="1">
      <c r="Z42" s="62"/>
      <c r="AA42" s="62"/>
      <c r="AB42" s="62"/>
      <c r="AC42" s="62"/>
      <c r="AD42" s="62"/>
      <c r="AE42" s="62"/>
      <c r="AF42" s="62"/>
      <c r="AG42" s="62"/>
      <c r="AH42" s="62"/>
      <c r="AI42" s="62"/>
    </row>
    <row r="43" ht="14.25" customHeight="1">
      <c r="Z43" s="62"/>
      <c r="AA43" s="62"/>
      <c r="AB43" s="62"/>
      <c r="AC43" s="62"/>
      <c r="AD43" s="62"/>
      <c r="AE43" s="62"/>
      <c r="AF43" s="62"/>
      <c r="AG43" s="62"/>
      <c r="AH43" s="62"/>
      <c r="AI43" s="62"/>
    </row>
    <row r="44" ht="14.25" customHeight="1">
      <c r="Z44" s="62"/>
      <c r="AA44" s="62"/>
      <c r="AB44" s="62"/>
      <c r="AC44" s="62"/>
      <c r="AD44" s="62"/>
      <c r="AE44" s="62"/>
      <c r="AF44" s="62"/>
      <c r="AG44" s="62"/>
      <c r="AH44" s="62"/>
      <c r="AI44" s="62"/>
    </row>
    <row r="45" ht="14.25" customHeight="1">
      <c r="Z45" s="62"/>
      <c r="AA45" s="62"/>
      <c r="AB45" s="62"/>
      <c r="AC45" s="62"/>
      <c r="AD45" s="62"/>
      <c r="AE45" s="62"/>
      <c r="AF45" s="62"/>
      <c r="AG45" s="62"/>
      <c r="AH45" s="62"/>
      <c r="AI45" s="62"/>
    </row>
    <row r="46" ht="14.25" customHeight="1">
      <c r="Z46" s="62"/>
      <c r="AA46" s="62"/>
      <c r="AB46" s="62"/>
      <c r="AC46" s="62"/>
      <c r="AD46" s="62"/>
      <c r="AE46" s="62"/>
      <c r="AF46" s="62"/>
      <c r="AG46" s="62"/>
      <c r="AH46" s="62"/>
      <c r="AI46" s="62"/>
    </row>
    <row r="47" ht="14.25" customHeight="1">
      <c r="Z47" s="62"/>
      <c r="AA47" s="62"/>
      <c r="AB47" s="62"/>
      <c r="AC47" s="62"/>
      <c r="AD47" s="62"/>
      <c r="AE47" s="62"/>
      <c r="AF47" s="62"/>
      <c r="AG47" s="62"/>
      <c r="AH47" s="62"/>
      <c r="AI47" s="62"/>
    </row>
    <row r="48" ht="14.25" customHeight="1">
      <c r="Z48" s="62"/>
      <c r="AA48" s="62"/>
      <c r="AB48" s="62"/>
      <c r="AC48" s="62"/>
      <c r="AD48" s="62"/>
      <c r="AE48" s="62"/>
      <c r="AF48" s="62"/>
      <c r="AG48" s="62"/>
      <c r="AH48" s="62"/>
      <c r="AI48" s="62"/>
    </row>
    <row r="49" ht="14.25" customHeight="1">
      <c r="Z49" s="62"/>
      <c r="AA49" s="62"/>
      <c r="AB49" s="62"/>
      <c r="AC49" s="62"/>
      <c r="AD49" s="62"/>
      <c r="AE49" s="62"/>
      <c r="AF49" s="62"/>
      <c r="AG49" s="62"/>
      <c r="AH49" s="62"/>
      <c r="AI49" s="62"/>
    </row>
    <row r="50" ht="14.25" customHeight="1">
      <c r="Z50" s="62"/>
      <c r="AA50" s="62"/>
      <c r="AB50" s="62"/>
      <c r="AC50" s="62"/>
      <c r="AD50" s="62"/>
      <c r="AE50" s="62"/>
      <c r="AF50" s="62"/>
      <c r="AG50" s="62"/>
      <c r="AH50" s="62"/>
      <c r="AI50" s="62"/>
    </row>
    <row r="51" ht="14.25" customHeight="1">
      <c r="Z51" s="62"/>
      <c r="AA51" s="62"/>
      <c r="AB51" s="62"/>
      <c r="AC51" s="62"/>
      <c r="AD51" s="62"/>
      <c r="AE51" s="62"/>
      <c r="AF51" s="62"/>
      <c r="AG51" s="62"/>
      <c r="AH51" s="62"/>
      <c r="AI51" s="62"/>
    </row>
    <row r="52" ht="14.25" customHeight="1">
      <c r="Z52" s="62"/>
      <c r="AA52" s="62"/>
      <c r="AB52" s="62"/>
      <c r="AC52" s="62"/>
      <c r="AD52" s="62"/>
      <c r="AE52" s="62"/>
      <c r="AF52" s="62"/>
      <c r="AG52" s="62"/>
      <c r="AH52" s="62"/>
      <c r="AI52" s="62"/>
    </row>
    <row r="53" ht="14.25" customHeight="1">
      <c r="Z53" s="62"/>
      <c r="AA53" s="62"/>
      <c r="AB53" s="62"/>
      <c r="AC53" s="62"/>
      <c r="AD53" s="62"/>
      <c r="AE53" s="62"/>
      <c r="AF53" s="62"/>
      <c r="AG53" s="62"/>
      <c r="AH53" s="62"/>
      <c r="AI53" s="62"/>
    </row>
    <row r="54" ht="14.25" customHeight="1">
      <c r="Z54" s="62"/>
      <c r="AA54" s="62"/>
      <c r="AB54" s="62"/>
      <c r="AC54" s="62"/>
      <c r="AD54" s="62"/>
      <c r="AE54" s="62"/>
      <c r="AF54" s="62"/>
      <c r="AG54" s="62"/>
      <c r="AH54" s="62"/>
      <c r="AI54" s="62"/>
    </row>
    <row r="55" ht="14.25" customHeight="1">
      <c r="Z55" s="62"/>
      <c r="AA55" s="62"/>
      <c r="AB55" s="62"/>
      <c r="AC55" s="62"/>
      <c r="AD55" s="62"/>
      <c r="AE55" s="62"/>
      <c r="AF55" s="62"/>
      <c r="AG55" s="62"/>
      <c r="AH55" s="62"/>
      <c r="AI55" s="62"/>
    </row>
    <row r="56" ht="14.25" customHeight="1">
      <c r="Z56" s="62"/>
      <c r="AA56" s="62"/>
      <c r="AB56" s="62"/>
      <c r="AC56" s="62"/>
      <c r="AD56" s="62"/>
      <c r="AE56" s="62"/>
      <c r="AF56" s="62"/>
      <c r="AG56" s="62"/>
      <c r="AH56" s="62"/>
      <c r="AI56" s="62"/>
    </row>
    <row r="57" ht="14.25" customHeight="1">
      <c r="Z57" s="62"/>
      <c r="AA57" s="62"/>
      <c r="AB57" s="62"/>
      <c r="AC57" s="62"/>
      <c r="AD57" s="62"/>
      <c r="AE57" s="62"/>
      <c r="AF57" s="62"/>
      <c r="AG57" s="62"/>
      <c r="AH57" s="62"/>
      <c r="AI57" s="62"/>
    </row>
    <row r="58" ht="14.25" customHeight="1">
      <c r="Z58" s="62"/>
      <c r="AA58" s="62"/>
      <c r="AB58" s="62"/>
      <c r="AC58" s="62"/>
      <c r="AD58" s="62"/>
      <c r="AE58" s="62"/>
      <c r="AF58" s="62"/>
      <c r="AG58" s="62"/>
      <c r="AH58" s="62"/>
      <c r="AI58" s="62"/>
    </row>
    <row r="59" ht="14.25" customHeight="1">
      <c r="Z59" s="62"/>
      <c r="AA59" s="62"/>
      <c r="AB59" s="62"/>
      <c r="AC59" s="62"/>
      <c r="AD59" s="62"/>
      <c r="AE59" s="62"/>
      <c r="AF59" s="62"/>
      <c r="AG59" s="62"/>
      <c r="AH59" s="62"/>
      <c r="AI59" s="62"/>
    </row>
    <row r="60" ht="14.25" customHeight="1">
      <c r="Z60" s="62"/>
      <c r="AA60" s="62"/>
      <c r="AB60" s="62"/>
      <c r="AC60" s="62"/>
      <c r="AD60" s="62"/>
      <c r="AE60" s="62"/>
      <c r="AF60" s="62"/>
      <c r="AG60" s="62"/>
      <c r="AH60" s="62"/>
      <c r="AI60" s="62"/>
    </row>
    <row r="61" ht="14.25" customHeight="1">
      <c r="Z61" s="62"/>
      <c r="AA61" s="62"/>
      <c r="AB61" s="62"/>
      <c r="AC61" s="62"/>
      <c r="AD61" s="62"/>
      <c r="AE61" s="62"/>
      <c r="AF61" s="62"/>
      <c r="AG61" s="62"/>
      <c r="AH61" s="62"/>
      <c r="AI61" s="62"/>
    </row>
    <row r="62" ht="14.25" customHeight="1">
      <c r="Z62" s="62"/>
      <c r="AA62" s="62"/>
      <c r="AB62" s="62"/>
      <c r="AC62" s="62"/>
      <c r="AD62" s="62"/>
      <c r="AE62" s="62"/>
      <c r="AF62" s="62"/>
      <c r="AG62" s="62"/>
      <c r="AH62" s="62"/>
      <c r="AI62" s="62"/>
    </row>
    <row r="63" ht="14.25" customHeight="1">
      <c r="Z63" s="62"/>
      <c r="AA63" s="62"/>
      <c r="AB63" s="62"/>
      <c r="AC63" s="62"/>
      <c r="AD63" s="62"/>
      <c r="AE63" s="62"/>
      <c r="AF63" s="62"/>
      <c r="AG63" s="62"/>
      <c r="AH63" s="62"/>
      <c r="AI63" s="62"/>
    </row>
    <row r="64" ht="14.25" customHeight="1">
      <c r="Z64" s="62"/>
      <c r="AA64" s="62"/>
      <c r="AB64" s="62"/>
      <c r="AC64" s="62"/>
      <c r="AD64" s="62"/>
      <c r="AE64" s="62"/>
      <c r="AF64" s="62"/>
      <c r="AG64" s="62"/>
      <c r="AH64" s="62"/>
      <c r="AI64" s="62"/>
    </row>
    <row r="65" ht="14.25" customHeight="1">
      <c r="Z65" s="62"/>
      <c r="AA65" s="62"/>
      <c r="AB65" s="62"/>
      <c r="AC65" s="62"/>
      <c r="AD65" s="62"/>
      <c r="AE65" s="62"/>
      <c r="AF65" s="62"/>
      <c r="AG65" s="62"/>
      <c r="AH65" s="62"/>
      <c r="AI65" s="62"/>
    </row>
    <row r="66" ht="14.25" customHeight="1">
      <c r="Z66" s="62"/>
      <c r="AA66" s="62"/>
      <c r="AB66" s="62"/>
      <c r="AC66" s="62"/>
      <c r="AD66" s="62"/>
      <c r="AE66" s="62"/>
      <c r="AF66" s="62"/>
      <c r="AG66" s="62"/>
      <c r="AH66" s="62"/>
      <c r="AI66" s="62"/>
    </row>
    <row r="67" ht="14.25" customHeight="1">
      <c r="Z67" s="62"/>
      <c r="AA67" s="62"/>
      <c r="AB67" s="62"/>
      <c r="AC67" s="62"/>
      <c r="AD67" s="62"/>
      <c r="AE67" s="62"/>
      <c r="AF67" s="62"/>
      <c r="AG67" s="62"/>
      <c r="AH67" s="62"/>
      <c r="AI67" s="62"/>
    </row>
    <row r="68" ht="14.25" customHeight="1">
      <c r="Z68" s="62"/>
      <c r="AA68" s="62"/>
      <c r="AB68" s="62"/>
      <c r="AC68" s="62"/>
      <c r="AD68" s="62"/>
      <c r="AE68" s="62"/>
      <c r="AF68" s="62"/>
      <c r="AG68" s="62"/>
      <c r="AH68" s="62"/>
      <c r="AI68" s="62"/>
    </row>
    <row r="69" ht="14.25" customHeight="1">
      <c r="Z69" s="62"/>
      <c r="AA69" s="62"/>
      <c r="AB69" s="62"/>
      <c r="AC69" s="62"/>
      <c r="AD69" s="62"/>
      <c r="AE69" s="62"/>
      <c r="AF69" s="62"/>
      <c r="AG69" s="62"/>
      <c r="AH69" s="62"/>
      <c r="AI69" s="62"/>
    </row>
    <row r="70" ht="14.25" customHeight="1">
      <c r="Z70" s="62"/>
      <c r="AA70" s="62"/>
      <c r="AB70" s="62"/>
      <c r="AC70" s="62"/>
      <c r="AD70" s="62"/>
      <c r="AE70" s="62"/>
      <c r="AF70" s="62"/>
      <c r="AG70" s="62"/>
      <c r="AH70" s="62"/>
      <c r="AI70" s="62"/>
    </row>
    <row r="71" ht="14.25" customHeight="1">
      <c r="Z71" s="62"/>
      <c r="AA71" s="62"/>
      <c r="AB71" s="62"/>
      <c r="AC71" s="62"/>
      <c r="AD71" s="62"/>
      <c r="AE71" s="62"/>
      <c r="AF71" s="62"/>
      <c r="AG71" s="62"/>
      <c r="AH71" s="62"/>
      <c r="AI71" s="62"/>
    </row>
    <row r="72" ht="14.25" customHeight="1">
      <c r="Z72" s="62"/>
      <c r="AA72" s="62"/>
      <c r="AB72" s="62"/>
      <c r="AC72" s="62"/>
      <c r="AD72" s="62"/>
      <c r="AE72" s="62"/>
      <c r="AF72" s="62"/>
      <c r="AG72" s="62"/>
      <c r="AH72" s="62"/>
      <c r="AI72" s="62"/>
    </row>
    <row r="73" ht="14.25" customHeight="1">
      <c r="Z73" s="62"/>
      <c r="AA73" s="62"/>
      <c r="AB73" s="62"/>
      <c r="AC73" s="62"/>
      <c r="AD73" s="62"/>
      <c r="AE73" s="62"/>
      <c r="AF73" s="62"/>
      <c r="AG73" s="62"/>
      <c r="AH73" s="62"/>
      <c r="AI73" s="62"/>
    </row>
    <row r="74" ht="14.25" customHeight="1">
      <c r="Z74" s="62"/>
      <c r="AA74" s="62"/>
      <c r="AB74" s="62"/>
      <c r="AC74" s="62"/>
      <c r="AD74" s="62"/>
      <c r="AE74" s="62"/>
      <c r="AF74" s="62"/>
      <c r="AG74" s="62"/>
      <c r="AH74" s="62"/>
      <c r="AI74" s="62"/>
    </row>
    <row r="75" ht="14.25" customHeight="1">
      <c r="Z75" s="62"/>
      <c r="AA75" s="62"/>
      <c r="AB75" s="62"/>
      <c r="AC75" s="62"/>
      <c r="AD75" s="62"/>
      <c r="AE75" s="62"/>
      <c r="AF75" s="62"/>
      <c r="AG75" s="62"/>
      <c r="AH75" s="62"/>
      <c r="AI75" s="62"/>
    </row>
    <row r="76" ht="14.25" customHeight="1">
      <c r="Z76" s="62"/>
      <c r="AA76" s="62"/>
      <c r="AB76" s="62"/>
      <c r="AC76" s="62"/>
      <c r="AD76" s="62"/>
      <c r="AE76" s="62"/>
      <c r="AF76" s="62"/>
      <c r="AG76" s="62"/>
      <c r="AH76" s="62"/>
      <c r="AI76" s="62"/>
    </row>
    <row r="77" ht="14.25" customHeight="1">
      <c r="Z77" s="62"/>
      <c r="AA77" s="62"/>
      <c r="AB77" s="62"/>
      <c r="AC77" s="62"/>
      <c r="AD77" s="62"/>
      <c r="AE77" s="62"/>
      <c r="AF77" s="62"/>
      <c r="AG77" s="62"/>
      <c r="AH77" s="62"/>
      <c r="AI77" s="62"/>
    </row>
    <row r="78" ht="14.25" customHeight="1">
      <c r="Z78" s="62"/>
      <c r="AA78" s="62"/>
      <c r="AB78" s="62"/>
      <c r="AC78" s="62"/>
      <c r="AD78" s="62"/>
      <c r="AE78" s="62"/>
      <c r="AF78" s="62"/>
      <c r="AG78" s="62"/>
      <c r="AH78" s="62"/>
      <c r="AI78" s="62"/>
    </row>
    <row r="79" ht="14.25" customHeight="1">
      <c r="Z79" s="62"/>
      <c r="AA79" s="62"/>
      <c r="AB79" s="62"/>
      <c r="AC79" s="62"/>
      <c r="AD79" s="62"/>
      <c r="AE79" s="62"/>
      <c r="AF79" s="62"/>
      <c r="AG79" s="62"/>
      <c r="AH79" s="62"/>
      <c r="AI79" s="62"/>
    </row>
    <row r="80" ht="14.25" customHeight="1">
      <c r="Z80" s="62"/>
      <c r="AA80" s="62"/>
      <c r="AB80" s="62"/>
      <c r="AC80" s="62"/>
      <c r="AD80" s="62"/>
      <c r="AE80" s="62"/>
      <c r="AF80" s="62"/>
      <c r="AG80" s="62"/>
      <c r="AH80" s="62"/>
      <c r="AI80" s="62"/>
    </row>
    <row r="81" ht="14.25" customHeight="1">
      <c r="Z81" s="62"/>
      <c r="AA81" s="62"/>
      <c r="AB81" s="62"/>
      <c r="AC81" s="62"/>
      <c r="AD81" s="62"/>
      <c r="AE81" s="62"/>
      <c r="AF81" s="62"/>
      <c r="AG81" s="62"/>
      <c r="AH81" s="62"/>
      <c r="AI81" s="62"/>
    </row>
    <row r="82" ht="14.25" customHeight="1">
      <c r="Z82" s="62"/>
      <c r="AA82" s="62"/>
      <c r="AB82" s="62"/>
      <c r="AC82" s="62"/>
      <c r="AD82" s="62"/>
      <c r="AE82" s="62"/>
      <c r="AF82" s="62"/>
      <c r="AG82" s="62"/>
      <c r="AH82" s="62"/>
      <c r="AI82" s="62"/>
    </row>
    <row r="83" ht="14.25" customHeight="1">
      <c r="Z83" s="62"/>
      <c r="AA83" s="62"/>
      <c r="AB83" s="62"/>
      <c r="AC83" s="62"/>
      <c r="AD83" s="62"/>
      <c r="AE83" s="62"/>
      <c r="AF83" s="62"/>
      <c r="AG83" s="62"/>
      <c r="AH83" s="62"/>
      <c r="AI83" s="62"/>
    </row>
    <row r="84" ht="14.25" customHeight="1">
      <c r="Z84" s="62"/>
      <c r="AA84" s="62"/>
      <c r="AB84" s="62"/>
      <c r="AC84" s="62"/>
      <c r="AD84" s="62"/>
      <c r="AE84" s="62"/>
      <c r="AF84" s="62"/>
      <c r="AG84" s="62"/>
      <c r="AH84" s="62"/>
      <c r="AI84" s="62"/>
    </row>
    <row r="85" ht="14.25" customHeight="1">
      <c r="Z85" s="62"/>
      <c r="AA85" s="62"/>
      <c r="AB85" s="62"/>
      <c r="AC85" s="62"/>
      <c r="AD85" s="62"/>
      <c r="AE85" s="62"/>
      <c r="AF85" s="62"/>
      <c r="AG85" s="62"/>
      <c r="AH85" s="62"/>
      <c r="AI85" s="62"/>
    </row>
    <row r="86" ht="14.25" customHeight="1">
      <c r="Z86" s="62"/>
      <c r="AA86" s="62"/>
      <c r="AB86" s="62"/>
      <c r="AC86" s="62"/>
      <c r="AD86" s="62"/>
      <c r="AE86" s="62"/>
      <c r="AF86" s="62"/>
      <c r="AG86" s="62"/>
      <c r="AH86" s="62"/>
      <c r="AI86" s="62"/>
    </row>
    <row r="87" ht="14.25" customHeight="1">
      <c r="Z87" s="62"/>
      <c r="AA87" s="62"/>
      <c r="AB87" s="62"/>
      <c r="AC87" s="62"/>
      <c r="AD87" s="62"/>
      <c r="AE87" s="62"/>
      <c r="AF87" s="62"/>
      <c r="AG87" s="62"/>
      <c r="AH87" s="62"/>
      <c r="AI87" s="62"/>
    </row>
    <row r="88" ht="14.25" customHeight="1">
      <c r="Z88" s="62"/>
      <c r="AA88" s="62"/>
      <c r="AB88" s="62"/>
      <c r="AC88" s="62"/>
      <c r="AD88" s="62"/>
      <c r="AE88" s="62"/>
      <c r="AF88" s="62"/>
      <c r="AG88" s="62"/>
      <c r="AH88" s="62"/>
      <c r="AI88" s="62"/>
    </row>
    <row r="89" ht="14.25" customHeight="1">
      <c r="Z89" s="62"/>
      <c r="AA89" s="62"/>
      <c r="AB89" s="62"/>
      <c r="AC89" s="62"/>
      <c r="AD89" s="62"/>
      <c r="AE89" s="62"/>
      <c r="AF89" s="62"/>
      <c r="AG89" s="62"/>
      <c r="AH89" s="62"/>
      <c r="AI89" s="62"/>
    </row>
    <row r="90" ht="14.25" customHeight="1">
      <c r="Z90" s="62"/>
      <c r="AA90" s="62"/>
      <c r="AB90" s="62"/>
      <c r="AC90" s="62"/>
      <c r="AD90" s="62"/>
      <c r="AE90" s="62"/>
      <c r="AF90" s="62"/>
      <c r="AG90" s="62"/>
      <c r="AH90" s="62"/>
      <c r="AI90" s="62"/>
    </row>
    <row r="91" ht="14.25" customHeight="1">
      <c r="Z91" s="62"/>
      <c r="AA91" s="62"/>
      <c r="AB91" s="62"/>
      <c r="AC91" s="62"/>
      <c r="AD91" s="62"/>
      <c r="AE91" s="62"/>
      <c r="AF91" s="62"/>
      <c r="AG91" s="62"/>
      <c r="AH91" s="62"/>
      <c r="AI91" s="62"/>
    </row>
    <row r="92" ht="14.25" customHeight="1">
      <c r="Z92" s="62"/>
      <c r="AA92" s="62"/>
      <c r="AB92" s="62"/>
      <c r="AC92" s="62"/>
      <c r="AD92" s="62"/>
      <c r="AE92" s="62"/>
      <c r="AF92" s="62"/>
      <c r="AG92" s="62"/>
      <c r="AH92" s="62"/>
      <c r="AI92" s="62"/>
    </row>
    <row r="93" ht="14.25" customHeight="1">
      <c r="Z93" s="62"/>
      <c r="AA93" s="62"/>
      <c r="AB93" s="62"/>
      <c r="AC93" s="62"/>
      <c r="AD93" s="62"/>
      <c r="AE93" s="62"/>
      <c r="AF93" s="62"/>
      <c r="AG93" s="62"/>
      <c r="AH93" s="62"/>
      <c r="AI93" s="62"/>
    </row>
    <row r="94" ht="14.25" customHeight="1">
      <c r="Z94" s="62"/>
      <c r="AA94" s="62"/>
      <c r="AB94" s="62"/>
      <c r="AC94" s="62"/>
      <c r="AD94" s="62"/>
      <c r="AE94" s="62"/>
      <c r="AF94" s="62"/>
      <c r="AG94" s="62"/>
      <c r="AH94" s="62"/>
      <c r="AI94" s="62"/>
    </row>
    <row r="95" ht="14.25" customHeight="1">
      <c r="Z95" s="62"/>
      <c r="AA95" s="62"/>
      <c r="AB95" s="62"/>
      <c r="AC95" s="62"/>
      <c r="AD95" s="62"/>
      <c r="AE95" s="62"/>
      <c r="AF95" s="62"/>
      <c r="AG95" s="62"/>
      <c r="AH95" s="62"/>
      <c r="AI95" s="62"/>
    </row>
    <row r="96" ht="14.25" customHeight="1">
      <c r="Z96" s="62"/>
      <c r="AA96" s="62"/>
      <c r="AB96" s="62"/>
      <c r="AC96" s="62"/>
      <c r="AD96" s="62"/>
      <c r="AE96" s="62"/>
      <c r="AF96" s="62"/>
      <c r="AG96" s="62"/>
      <c r="AH96" s="62"/>
      <c r="AI96" s="62"/>
    </row>
    <row r="97" ht="14.25" customHeight="1">
      <c r="Z97" s="62"/>
      <c r="AA97" s="62"/>
      <c r="AB97" s="62"/>
      <c r="AC97" s="62"/>
      <c r="AD97" s="62"/>
      <c r="AE97" s="62"/>
      <c r="AF97" s="62"/>
      <c r="AG97" s="62"/>
      <c r="AH97" s="62"/>
      <c r="AI97" s="62"/>
    </row>
    <row r="98" ht="14.25" customHeight="1">
      <c r="Z98" s="62"/>
      <c r="AA98" s="62"/>
      <c r="AB98" s="62"/>
      <c r="AC98" s="62"/>
      <c r="AD98" s="62"/>
      <c r="AE98" s="62"/>
      <c r="AF98" s="62"/>
      <c r="AG98" s="62"/>
      <c r="AH98" s="62"/>
      <c r="AI98" s="62"/>
    </row>
    <row r="99" ht="14.25" customHeight="1">
      <c r="Z99" s="62"/>
      <c r="AA99" s="62"/>
      <c r="AB99" s="62"/>
      <c r="AC99" s="62"/>
      <c r="AD99" s="62"/>
      <c r="AE99" s="62"/>
      <c r="AF99" s="62"/>
      <c r="AG99" s="62"/>
      <c r="AH99" s="62"/>
      <c r="AI99" s="62"/>
    </row>
    <row r="100" ht="14.25" customHeight="1">
      <c r="Z100" s="62"/>
      <c r="AA100" s="62"/>
      <c r="AB100" s="62"/>
      <c r="AC100" s="62"/>
      <c r="AD100" s="62"/>
      <c r="AE100" s="62"/>
      <c r="AF100" s="62"/>
      <c r="AG100" s="62"/>
      <c r="AH100" s="62"/>
      <c r="AI100" s="62"/>
    </row>
    <row r="101" ht="14.25" customHeight="1">
      <c r="Z101" s="62"/>
      <c r="AA101" s="62"/>
      <c r="AB101" s="62"/>
      <c r="AC101" s="62"/>
      <c r="AD101" s="62"/>
      <c r="AE101" s="62"/>
      <c r="AF101" s="62"/>
      <c r="AG101" s="62"/>
      <c r="AH101" s="62"/>
      <c r="AI101" s="62"/>
    </row>
    <row r="102" ht="14.25" customHeight="1">
      <c r="Z102" s="62"/>
      <c r="AA102" s="62"/>
      <c r="AB102" s="62"/>
      <c r="AC102" s="62"/>
      <c r="AD102" s="62"/>
      <c r="AE102" s="62"/>
      <c r="AF102" s="62"/>
      <c r="AG102" s="62"/>
      <c r="AH102" s="62"/>
      <c r="AI102" s="62"/>
    </row>
    <row r="103" ht="14.25" customHeight="1">
      <c r="Z103" s="62"/>
      <c r="AA103" s="62"/>
      <c r="AB103" s="62"/>
      <c r="AC103" s="62"/>
      <c r="AD103" s="62"/>
      <c r="AE103" s="62"/>
      <c r="AF103" s="62"/>
      <c r="AG103" s="62"/>
      <c r="AH103" s="62"/>
      <c r="AI103" s="62"/>
    </row>
    <row r="104" ht="14.25" customHeight="1">
      <c r="Z104" s="62"/>
      <c r="AA104" s="62"/>
      <c r="AB104" s="62"/>
      <c r="AC104" s="62"/>
      <c r="AD104" s="62"/>
      <c r="AE104" s="62"/>
      <c r="AF104" s="62"/>
      <c r="AG104" s="62"/>
      <c r="AH104" s="62"/>
      <c r="AI104" s="62"/>
    </row>
    <row r="105" ht="14.25" customHeight="1">
      <c r="Z105" s="62"/>
      <c r="AA105" s="62"/>
      <c r="AB105" s="62"/>
      <c r="AC105" s="62"/>
      <c r="AD105" s="62"/>
      <c r="AE105" s="62"/>
      <c r="AF105" s="62"/>
      <c r="AG105" s="62"/>
      <c r="AH105" s="62"/>
      <c r="AI105" s="62"/>
    </row>
    <row r="106" ht="14.25" customHeight="1">
      <c r="Z106" s="62"/>
      <c r="AA106" s="62"/>
      <c r="AB106" s="62"/>
      <c r="AC106" s="62"/>
      <c r="AD106" s="62"/>
      <c r="AE106" s="62"/>
      <c r="AF106" s="62"/>
      <c r="AG106" s="62"/>
      <c r="AH106" s="62"/>
      <c r="AI106" s="62"/>
    </row>
    <row r="107" ht="14.25" customHeight="1">
      <c r="Z107" s="62"/>
      <c r="AA107" s="62"/>
      <c r="AB107" s="62"/>
      <c r="AC107" s="62"/>
      <c r="AD107" s="62"/>
      <c r="AE107" s="62"/>
      <c r="AF107" s="62"/>
      <c r="AG107" s="62"/>
      <c r="AH107" s="62"/>
      <c r="AI107" s="62"/>
    </row>
    <row r="108" ht="14.25" customHeight="1">
      <c r="Z108" s="62"/>
      <c r="AA108" s="62"/>
      <c r="AB108" s="62"/>
      <c r="AC108" s="62"/>
      <c r="AD108" s="62"/>
      <c r="AE108" s="62"/>
      <c r="AF108" s="62"/>
      <c r="AG108" s="62"/>
      <c r="AH108" s="62"/>
      <c r="AI108" s="62"/>
    </row>
    <row r="109" ht="14.25" customHeight="1">
      <c r="Z109" s="62"/>
      <c r="AA109" s="62"/>
      <c r="AB109" s="62"/>
      <c r="AC109" s="62"/>
      <c r="AD109" s="62"/>
      <c r="AE109" s="62"/>
      <c r="AF109" s="62"/>
      <c r="AG109" s="62"/>
      <c r="AH109" s="62"/>
      <c r="AI109" s="62"/>
    </row>
    <row r="110" ht="14.25" customHeight="1">
      <c r="Z110" s="62"/>
      <c r="AA110" s="62"/>
      <c r="AB110" s="62"/>
      <c r="AC110" s="62"/>
      <c r="AD110" s="62"/>
      <c r="AE110" s="62"/>
      <c r="AF110" s="62"/>
      <c r="AG110" s="62"/>
      <c r="AH110" s="62"/>
      <c r="AI110" s="62"/>
    </row>
    <row r="111" ht="14.25" customHeight="1">
      <c r="Z111" s="62"/>
      <c r="AA111" s="62"/>
      <c r="AB111" s="62"/>
      <c r="AC111" s="62"/>
      <c r="AD111" s="62"/>
      <c r="AE111" s="62"/>
      <c r="AF111" s="62"/>
      <c r="AG111" s="62"/>
      <c r="AH111" s="62"/>
      <c r="AI111" s="62"/>
    </row>
    <row r="112" ht="14.25" customHeight="1">
      <c r="Z112" s="62"/>
      <c r="AA112" s="62"/>
      <c r="AB112" s="62"/>
      <c r="AC112" s="62"/>
      <c r="AD112" s="62"/>
      <c r="AE112" s="62"/>
      <c r="AF112" s="62"/>
      <c r="AG112" s="62"/>
      <c r="AH112" s="62"/>
      <c r="AI112" s="62"/>
    </row>
    <row r="113" ht="14.25" customHeight="1">
      <c r="Z113" s="62"/>
      <c r="AA113" s="62"/>
      <c r="AB113" s="62"/>
      <c r="AC113" s="62"/>
      <c r="AD113" s="62"/>
      <c r="AE113" s="62"/>
      <c r="AF113" s="62"/>
      <c r="AG113" s="62"/>
      <c r="AH113" s="62"/>
      <c r="AI113" s="62"/>
    </row>
    <row r="114" ht="14.25" customHeight="1">
      <c r="Z114" s="62"/>
      <c r="AA114" s="62"/>
      <c r="AB114" s="62"/>
      <c r="AC114" s="62"/>
      <c r="AD114" s="62"/>
      <c r="AE114" s="62"/>
      <c r="AF114" s="62"/>
      <c r="AG114" s="62"/>
      <c r="AH114" s="62"/>
      <c r="AI114" s="62"/>
    </row>
    <row r="115" ht="14.25" customHeight="1">
      <c r="Z115" s="62"/>
      <c r="AA115" s="62"/>
      <c r="AB115" s="62"/>
      <c r="AC115" s="62"/>
      <c r="AD115" s="62"/>
      <c r="AE115" s="62"/>
      <c r="AF115" s="62"/>
      <c r="AG115" s="62"/>
      <c r="AH115" s="62"/>
      <c r="AI115" s="62"/>
    </row>
    <row r="116" ht="14.25" customHeight="1">
      <c r="Z116" s="62"/>
      <c r="AA116" s="62"/>
      <c r="AB116" s="62"/>
      <c r="AC116" s="62"/>
      <c r="AD116" s="62"/>
      <c r="AE116" s="62"/>
      <c r="AF116" s="62"/>
      <c r="AG116" s="62"/>
      <c r="AH116" s="62"/>
      <c r="AI116" s="62"/>
    </row>
    <row r="117" ht="14.25" customHeight="1">
      <c r="Z117" s="62"/>
      <c r="AA117" s="62"/>
      <c r="AB117" s="62"/>
      <c r="AC117" s="62"/>
      <c r="AD117" s="62"/>
      <c r="AE117" s="62"/>
      <c r="AF117" s="62"/>
      <c r="AG117" s="62"/>
      <c r="AH117" s="62"/>
      <c r="AI117" s="62"/>
    </row>
    <row r="118" ht="14.25" customHeight="1">
      <c r="Z118" s="62"/>
      <c r="AA118" s="62"/>
      <c r="AB118" s="62"/>
      <c r="AC118" s="62"/>
      <c r="AD118" s="62"/>
      <c r="AE118" s="62"/>
      <c r="AF118" s="62"/>
      <c r="AG118" s="62"/>
      <c r="AH118" s="62"/>
      <c r="AI118" s="62"/>
    </row>
    <row r="119" ht="14.25" customHeight="1">
      <c r="Z119" s="62"/>
      <c r="AA119" s="62"/>
      <c r="AB119" s="62"/>
      <c r="AC119" s="62"/>
      <c r="AD119" s="62"/>
      <c r="AE119" s="62"/>
      <c r="AF119" s="62"/>
      <c r="AG119" s="62"/>
      <c r="AH119" s="62"/>
      <c r="AI119" s="62"/>
    </row>
    <row r="120" ht="14.25" customHeight="1">
      <c r="Z120" s="62"/>
      <c r="AA120" s="62"/>
      <c r="AB120" s="62"/>
      <c r="AC120" s="62"/>
      <c r="AD120" s="62"/>
      <c r="AE120" s="62"/>
      <c r="AF120" s="62"/>
      <c r="AG120" s="62"/>
      <c r="AH120" s="62"/>
      <c r="AI120" s="62"/>
    </row>
    <row r="121" ht="14.25" customHeight="1">
      <c r="Z121" s="62"/>
      <c r="AA121" s="62"/>
      <c r="AB121" s="62"/>
      <c r="AC121" s="62"/>
      <c r="AD121" s="62"/>
      <c r="AE121" s="62"/>
      <c r="AF121" s="62"/>
      <c r="AG121" s="62"/>
      <c r="AH121" s="62"/>
      <c r="AI121" s="62"/>
    </row>
    <row r="122" ht="14.25" customHeight="1">
      <c r="Z122" s="62"/>
      <c r="AA122" s="62"/>
      <c r="AB122" s="62"/>
      <c r="AC122" s="62"/>
      <c r="AD122" s="62"/>
      <c r="AE122" s="62"/>
      <c r="AF122" s="62"/>
      <c r="AG122" s="62"/>
      <c r="AH122" s="62"/>
      <c r="AI122" s="62"/>
    </row>
    <row r="123" ht="14.25" customHeight="1">
      <c r="Z123" s="62"/>
      <c r="AA123" s="62"/>
      <c r="AB123" s="62"/>
      <c r="AC123" s="62"/>
      <c r="AD123" s="62"/>
      <c r="AE123" s="62"/>
      <c r="AF123" s="62"/>
      <c r="AG123" s="62"/>
      <c r="AH123" s="62"/>
      <c r="AI123" s="62"/>
    </row>
    <row r="124" ht="14.25" customHeight="1">
      <c r="Z124" s="62"/>
      <c r="AA124" s="62"/>
      <c r="AB124" s="62"/>
      <c r="AC124" s="62"/>
      <c r="AD124" s="62"/>
      <c r="AE124" s="62"/>
      <c r="AF124" s="62"/>
      <c r="AG124" s="62"/>
      <c r="AH124" s="62"/>
      <c r="AI124" s="62"/>
    </row>
    <row r="125" ht="14.25" customHeight="1">
      <c r="Z125" s="62"/>
      <c r="AA125" s="62"/>
      <c r="AB125" s="62"/>
      <c r="AC125" s="62"/>
      <c r="AD125" s="62"/>
      <c r="AE125" s="62"/>
      <c r="AF125" s="62"/>
      <c r="AG125" s="62"/>
      <c r="AH125" s="62"/>
      <c r="AI125" s="62"/>
    </row>
    <row r="126" ht="14.25" customHeight="1">
      <c r="Z126" s="62"/>
      <c r="AA126" s="62"/>
      <c r="AB126" s="62"/>
      <c r="AC126" s="62"/>
      <c r="AD126" s="62"/>
      <c r="AE126" s="62"/>
      <c r="AF126" s="62"/>
      <c r="AG126" s="62"/>
      <c r="AH126" s="62"/>
      <c r="AI126" s="62"/>
    </row>
    <row r="127" ht="14.25" customHeight="1">
      <c r="Z127" s="62"/>
      <c r="AA127" s="62"/>
      <c r="AB127" s="62"/>
      <c r="AC127" s="62"/>
      <c r="AD127" s="62"/>
      <c r="AE127" s="62"/>
      <c r="AF127" s="62"/>
      <c r="AG127" s="62"/>
      <c r="AH127" s="62"/>
      <c r="AI127" s="62"/>
    </row>
    <row r="128" ht="14.25" customHeight="1">
      <c r="Z128" s="62"/>
      <c r="AA128" s="62"/>
      <c r="AB128" s="62"/>
      <c r="AC128" s="62"/>
      <c r="AD128" s="62"/>
      <c r="AE128" s="62"/>
      <c r="AF128" s="62"/>
      <c r="AG128" s="62"/>
      <c r="AH128" s="62"/>
      <c r="AI128" s="62"/>
    </row>
    <row r="129" ht="14.25" customHeight="1">
      <c r="Z129" s="62"/>
      <c r="AA129" s="62"/>
      <c r="AB129" s="62"/>
      <c r="AC129" s="62"/>
      <c r="AD129" s="62"/>
      <c r="AE129" s="62"/>
      <c r="AF129" s="62"/>
      <c r="AG129" s="62"/>
      <c r="AH129" s="62"/>
      <c r="AI129" s="62"/>
    </row>
    <row r="130" ht="14.25" customHeight="1">
      <c r="Z130" s="62"/>
      <c r="AA130" s="62"/>
      <c r="AB130" s="62"/>
      <c r="AC130" s="62"/>
      <c r="AD130" s="62"/>
      <c r="AE130" s="62"/>
      <c r="AF130" s="62"/>
      <c r="AG130" s="62"/>
      <c r="AH130" s="62"/>
      <c r="AI130" s="62"/>
    </row>
    <row r="131" ht="14.25" customHeight="1">
      <c r="Z131" s="62"/>
      <c r="AA131" s="62"/>
      <c r="AB131" s="62"/>
      <c r="AC131" s="62"/>
      <c r="AD131" s="62"/>
      <c r="AE131" s="62"/>
      <c r="AF131" s="62"/>
      <c r="AG131" s="62"/>
      <c r="AH131" s="62"/>
      <c r="AI131" s="62"/>
    </row>
    <row r="132" ht="14.25" customHeight="1">
      <c r="Z132" s="62"/>
      <c r="AA132" s="62"/>
      <c r="AB132" s="62"/>
      <c r="AC132" s="62"/>
      <c r="AD132" s="62"/>
      <c r="AE132" s="62"/>
      <c r="AF132" s="62"/>
      <c r="AG132" s="62"/>
      <c r="AH132" s="62"/>
      <c r="AI132" s="62"/>
    </row>
    <row r="133" ht="14.25" customHeight="1">
      <c r="Z133" s="62"/>
      <c r="AA133" s="62"/>
      <c r="AB133" s="62"/>
      <c r="AC133" s="62"/>
      <c r="AD133" s="62"/>
      <c r="AE133" s="62"/>
      <c r="AF133" s="62"/>
      <c r="AG133" s="62"/>
      <c r="AH133" s="62"/>
      <c r="AI133" s="62"/>
    </row>
    <row r="134" ht="14.25" customHeight="1">
      <c r="Z134" s="62"/>
      <c r="AA134" s="62"/>
      <c r="AB134" s="62"/>
      <c r="AC134" s="62"/>
      <c r="AD134" s="62"/>
      <c r="AE134" s="62"/>
      <c r="AF134" s="62"/>
      <c r="AG134" s="62"/>
      <c r="AH134" s="62"/>
      <c r="AI134" s="62"/>
    </row>
    <row r="135" ht="14.25" customHeight="1">
      <c r="Z135" s="62"/>
      <c r="AA135" s="62"/>
      <c r="AB135" s="62"/>
      <c r="AC135" s="62"/>
      <c r="AD135" s="62"/>
      <c r="AE135" s="62"/>
      <c r="AF135" s="62"/>
      <c r="AG135" s="62"/>
      <c r="AH135" s="62"/>
      <c r="AI135" s="62"/>
    </row>
    <row r="136" ht="14.25" customHeight="1">
      <c r="Z136" s="62"/>
      <c r="AA136" s="62"/>
      <c r="AB136" s="62"/>
      <c r="AC136" s="62"/>
      <c r="AD136" s="62"/>
      <c r="AE136" s="62"/>
      <c r="AF136" s="62"/>
      <c r="AG136" s="62"/>
      <c r="AH136" s="62"/>
      <c r="AI136" s="62"/>
    </row>
    <row r="137" ht="14.25" customHeight="1">
      <c r="Z137" s="62"/>
      <c r="AA137" s="62"/>
      <c r="AB137" s="62"/>
      <c r="AC137" s="62"/>
      <c r="AD137" s="62"/>
      <c r="AE137" s="62"/>
      <c r="AF137" s="62"/>
      <c r="AG137" s="62"/>
      <c r="AH137" s="62"/>
      <c r="AI137" s="62"/>
    </row>
    <row r="138" ht="14.25" customHeight="1">
      <c r="Z138" s="62"/>
      <c r="AA138" s="62"/>
      <c r="AB138" s="62"/>
      <c r="AC138" s="62"/>
      <c r="AD138" s="62"/>
      <c r="AE138" s="62"/>
      <c r="AF138" s="62"/>
      <c r="AG138" s="62"/>
      <c r="AH138" s="62"/>
      <c r="AI138" s="62"/>
    </row>
    <row r="139" ht="14.25" customHeight="1">
      <c r="Z139" s="62"/>
      <c r="AA139" s="62"/>
      <c r="AB139" s="62"/>
      <c r="AC139" s="62"/>
      <c r="AD139" s="62"/>
      <c r="AE139" s="62"/>
      <c r="AF139" s="62"/>
      <c r="AG139" s="62"/>
      <c r="AH139" s="62"/>
      <c r="AI139" s="62"/>
    </row>
    <row r="140" ht="14.25" customHeight="1">
      <c r="Z140" s="62"/>
      <c r="AA140" s="62"/>
      <c r="AB140" s="62"/>
      <c r="AC140" s="62"/>
      <c r="AD140" s="62"/>
      <c r="AE140" s="62"/>
      <c r="AF140" s="62"/>
      <c r="AG140" s="62"/>
      <c r="AH140" s="62"/>
      <c r="AI140" s="62"/>
    </row>
    <row r="141" ht="14.25" customHeight="1">
      <c r="Z141" s="62"/>
      <c r="AA141" s="62"/>
      <c r="AB141" s="62"/>
      <c r="AC141" s="62"/>
      <c r="AD141" s="62"/>
      <c r="AE141" s="62"/>
      <c r="AF141" s="62"/>
      <c r="AG141" s="62"/>
      <c r="AH141" s="62"/>
      <c r="AI141" s="62"/>
    </row>
    <row r="142" ht="14.25" customHeight="1">
      <c r="Z142" s="62"/>
      <c r="AA142" s="62"/>
      <c r="AB142" s="62"/>
      <c r="AC142" s="62"/>
      <c r="AD142" s="62"/>
      <c r="AE142" s="62"/>
      <c r="AF142" s="62"/>
      <c r="AG142" s="62"/>
      <c r="AH142" s="62"/>
      <c r="AI142" s="62"/>
    </row>
    <row r="143" ht="14.25" customHeight="1">
      <c r="Z143" s="62"/>
      <c r="AA143" s="62"/>
      <c r="AB143" s="62"/>
      <c r="AC143" s="62"/>
      <c r="AD143" s="62"/>
      <c r="AE143" s="62"/>
      <c r="AF143" s="62"/>
      <c r="AG143" s="62"/>
      <c r="AH143" s="62"/>
      <c r="AI143" s="62"/>
    </row>
    <row r="144" ht="14.25" customHeight="1">
      <c r="Z144" s="62"/>
      <c r="AA144" s="62"/>
      <c r="AB144" s="62"/>
      <c r="AC144" s="62"/>
      <c r="AD144" s="62"/>
      <c r="AE144" s="62"/>
      <c r="AF144" s="62"/>
      <c r="AG144" s="62"/>
      <c r="AH144" s="62"/>
      <c r="AI144" s="62"/>
    </row>
    <row r="145" ht="14.25" customHeight="1">
      <c r="Z145" s="62"/>
      <c r="AA145" s="62"/>
      <c r="AB145" s="62"/>
      <c r="AC145" s="62"/>
      <c r="AD145" s="62"/>
      <c r="AE145" s="62"/>
      <c r="AF145" s="62"/>
      <c r="AG145" s="62"/>
      <c r="AH145" s="62"/>
      <c r="AI145" s="62"/>
    </row>
    <row r="146" ht="14.25" customHeight="1">
      <c r="Z146" s="62"/>
      <c r="AA146" s="62"/>
      <c r="AB146" s="62"/>
      <c r="AC146" s="62"/>
      <c r="AD146" s="62"/>
      <c r="AE146" s="62"/>
      <c r="AF146" s="62"/>
      <c r="AG146" s="62"/>
      <c r="AH146" s="62"/>
      <c r="AI146" s="62"/>
    </row>
    <row r="147" ht="14.25" customHeight="1">
      <c r="Z147" s="62"/>
      <c r="AA147" s="62"/>
      <c r="AB147" s="62"/>
      <c r="AC147" s="62"/>
      <c r="AD147" s="62"/>
      <c r="AE147" s="62"/>
      <c r="AF147" s="62"/>
      <c r="AG147" s="62"/>
      <c r="AH147" s="62"/>
      <c r="AI147" s="62"/>
    </row>
    <row r="148" ht="14.25" customHeight="1">
      <c r="Z148" s="62"/>
      <c r="AA148" s="62"/>
      <c r="AB148" s="62"/>
      <c r="AC148" s="62"/>
      <c r="AD148" s="62"/>
      <c r="AE148" s="62"/>
      <c r="AF148" s="62"/>
      <c r="AG148" s="62"/>
      <c r="AH148" s="62"/>
      <c r="AI148" s="62"/>
    </row>
    <row r="149" ht="14.25" customHeight="1">
      <c r="Z149" s="62"/>
      <c r="AA149" s="62"/>
      <c r="AB149" s="62"/>
      <c r="AC149" s="62"/>
      <c r="AD149" s="62"/>
      <c r="AE149" s="62"/>
      <c r="AF149" s="62"/>
      <c r="AG149" s="62"/>
      <c r="AH149" s="62"/>
      <c r="AI149" s="62"/>
    </row>
    <row r="150" ht="14.25" customHeight="1">
      <c r="Z150" s="62"/>
      <c r="AA150" s="62"/>
      <c r="AB150" s="62"/>
      <c r="AC150" s="62"/>
      <c r="AD150" s="62"/>
      <c r="AE150" s="62"/>
      <c r="AF150" s="62"/>
      <c r="AG150" s="62"/>
      <c r="AH150" s="62"/>
      <c r="AI150" s="62"/>
    </row>
    <row r="151" ht="14.25" customHeight="1">
      <c r="Z151" s="62"/>
      <c r="AA151" s="62"/>
      <c r="AB151" s="62"/>
      <c r="AC151" s="62"/>
      <c r="AD151" s="62"/>
      <c r="AE151" s="62"/>
      <c r="AF151" s="62"/>
      <c r="AG151" s="62"/>
      <c r="AH151" s="62"/>
      <c r="AI151" s="62"/>
    </row>
    <row r="152" ht="14.25" customHeight="1">
      <c r="Z152" s="62"/>
      <c r="AA152" s="62"/>
      <c r="AB152" s="62"/>
      <c r="AC152" s="62"/>
      <c r="AD152" s="62"/>
      <c r="AE152" s="62"/>
      <c r="AF152" s="62"/>
      <c r="AG152" s="62"/>
      <c r="AH152" s="62"/>
      <c r="AI152" s="62"/>
    </row>
    <row r="153" ht="14.25" customHeight="1">
      <c r="Z153" s="62"/>
      <c r="AA153" s="62"/>
      <c r="AB153" s="62"/>
      <c r="AC153" s="62"/>
      <c r="AD153" s="62"/>
      <c r="AE153" s="62"/>
      <c r="AF153" s="62"/>
      <c r="AG153" s="62"/>
      <c r="AH153" s="62"/>
      <c r="AI153" s="62"/>
    </row>
    <row r="154" ht="14.25" customHeight="1">
      <c r="Z154" s="62"/>
      <c r="AA154" s="62"/>
      <c r="AB154" s="62"/>
      <c r="AC154" s="62"/>
      <c r="AD154" s="62"/>
      <c r="AE154" s="62"/>
      <c r="AF154" s="62"/>
      <c r="AG154" s="62"/>
      <c r="AH154" s="62"/>
      <c r="AI154" s="62"/>
    </row>
    <row r="155" ht="14.25" customHeight="1">
      <c r="Z155" s="62"/>
      <c r="AA155" s="62"/>
      <c r="AB155" s="62"/>
      <c r="AC155" s="62"/>
      <c r="AD155" s="62"/>
      <c r="AE155" s="62"/>
      <c r="AF155" s="62"/>
      <c r="AG155" s="62"/>
      <c r="AH155" s="62"/>
      <c r="AI155" s="62"/>
    </row>
    <row r="156" ht="14.25" customHeight="1">
      <c r="Z156" s="62"/>
      <c r="AA156" s="62"/>
      <c r="AB156" s="62"/>
      <c r="AC156" s="62"/>
      <c r="AD156" s="62"/>
      <c r="AE156" s="62"/>
      <c r="AF156" s="62"/>
      <c r="AG156" s="62"/>
      <c r="AH156" s="62"/>
      <c r="AI156" s="62"/>
    </row>
    <row r="157" ht="14.25" customHeight="1">
      <c r="Z157" s="62"/>
      <c r="AA157" s="62"/>
      <c r="AB157" s="62"/>
      <c r="AC157" s="62"/>
      <c r="AD157" s="62"/>
      <c r="AE157" s="62"/>
      <c r="AF157" s="62"/>
      <c r="AG157" s="62"/>
      <c r="AH157" s="62"/>
      <c r="AI157" s="62"/>
    </row>
    <row r="158" ht="14.25" customHeight="1">
      <c r="Z158" s="62"/>
      <c r="AA158" s="62"/>
      <c r="AB158" s="62"/>
      <c r="AC158" s="62"/>
      <c r="AD158" s="62"/>
      <c r="AE158" s="62"/>
      <c r="AF158" s="62"/>
      <c r="AG158" s="62"/>
      <c r="AH158" s="62"/>
      <c r="AI158" s="62"/>
    </row>
    <row r="159" ht="14.25" customHeight="1">
      <c r="Z159" s="62"/>
      <c r="AA159" s="62"/>
      <c r="AB159" s="62"/>
      <c r="AC159" s="62"/>
      <c r="AD159" s="62"/>
      <c r="AE159" s="62"/>
      <c r="AF159" s="62"/>
      <c r="AG159" s="62"/>
      <c r="AH159" s="62"/>
      <c r="AI159" s="62"/>
    </row>
    <row r="160" ht="14.25" customHeight="1">
      <c r="Z160" s="62"/>
      <c r="AA160" s="62"/>
      <c r="AB160" s="62"/>
      <c r="AC160" s="62"/>
      <c r="AD160" s="62"/>
      <c r="AE160" s="62"/>
      <c r="AF160" s="62"/>
      <c r="AG160" s="62"/>
      <c r="AH160" s="62"/>
      <c r="AI160" s="62"/>
    </row>
    <row r="161" ht="14.25" customHeight="1">
      <c r="Z161" s="62"/>
      <c r="AA161" s="62"/>
      <c r="AB161" s="62"/>
      <c r="AC161" s="62"/>
      <c r="AD161" s="62"/>
      <c r="AE161" s="62"/>
      <c r="AF161" s="62"/>
      <c r="AG161" s="62"/>
      <c r="AH161" s="62"/>
      <c r="AI161" s="62"/>
    </row>
    <row r="162" ht="14.25" customHeight="1">
      <c r="Z162" s="62"/>
      <c r="AA162" s="62"/>
      <c r="AB162" s="62"/>
      <c r="AC162" s="62"/>
      <c r="AD162" s="62"/>
      <c r="AE162" s="62"/>
      <c r="AF162" s="62"/>
      <c r="AG162" s="62"/>
      <c r="AH162" s="62"/>
      <c r="AI162" s="62"/>
    </row>
    <row r="163" ht="14.25" customHeight="1">
      <c r="Z163" s="62"/>
      <c r="AA163" s="62"/>
      <c r="AB163" s="62"/>
      <c r="AC163" s="62"/>
      <c r="AD163" s="62"/>
      <c r="AE163" s="62"/>
      <c r="AF163" s="62"/>
      <c r="AG163" s="62"/>
      <c r="AH163" s="62"/>
      <c r="AI163" s="62"/>
    </row>
    <row r="164" ht="14.25" customHeight="1">
      <c r="Z164" s="62"/>
      <c r="AA164" s="62"/>
      <c r="AB164" s="62"/>
      <c r="AC164" s="62"/>
      <c r="AD164" s="62"/>
      <c r="AE164" s="62"/>
      <c r="AF164" s="62"/>
      <c r="AG164" s="62"/>
      <c r="AH164" s="62"/>
      <c r="AI164" s="62"/>
    </row>
    <row r="165" ht="14.25" customHeight="1">
      <c r="Z165" s="62"/>
      <c r="AA165" s="62"/>
      <c r="AB165" s="62"/>
      <c r="AC165" s="62"/>
      <c r="AD165" s="62"/>
      <c r="AE165" s="62"/>
      <c r="AF165" s="62"/>
      <c r="AG165" s="62"/>
      <c r="AH165" s="62"/>
      <c r="AI165" s="62"/>
    </row>
    <row r="166" ht="14.25" customHeight="1">
      <c r="Z166" s="62"/>
      <c r="AA166" s="62"/>
      <c r="AB166" s="62"/>
      <c r="AC166" s="62"/>
      <c r="AD166" s="62"/>
      <c r="AE166" s="62"/>
      <c r="AF166" s="62"/>
      <c r="AG166" s="62"/>
      <c r="AH166" s="62"/>
      <c r="AI166" s="62"/>
    </row>
    <row r="167" ht="14.25" customHeight="1">
      <c r="Z167" s="62"/>
      <c r="AA167" s="62"/>
      <c r="AB167" s="62"/>
      <c r="AC167" s="62"/>
      <c r="AD167" s="62"/>
      <c r="AE167" s="62"/>
      <c r="AF167" s="62"/>
      <c r="AG167" s="62"/>
      <c r="AH167" s="62"/>
      <c r="AI167" s="62"/>
    </row>
    <row r="168" ht="14.25" customHeight="1">
      <c r="Z168" s="62"/>
      <c r="AA168" s="62"/>
      <c r="AB168" s="62"/>
      <c r="AC168" s="62"/>
      <c r="AD168" s="62"/>
      <c r="AE168" s="62"/>
      <c r="AF168" s="62"/>
      <c r="AG168" s="62"/>
      <c r="AH168" s="62"/>
      <c r="AI168" s="62"/>
    </row>
    <row r="169" ht="14.25" customHeight="1">
      <c r="Z169" s="62"/>
      <c r="AA169" s="62"/>
      <c r="AB169" s="62"/>
      <c r="AC169" s="62"/>
      <c r="AD169" s="62"/>
      <c r="AE169" s="62"/>
      <c r="AF169" s="62"/>
      <c r="AG169" s="62"/>
      <c r="AH169" s="62"/>
      <c r="AI169" s="62"/>
    </row>
    <row r="170" ht="14.25" customHeight="1">
      <c r="Z170" s="62"/>
      <c r="AA170" s="62"/>
      <c r="AB170" s="62"/>
      <c r="AC170" s="62"/>
      <c r="AD170" s="62"/>
      <c r="AE170" s="62"/>
      <c r="AF170" s="62"/>
      <c r="AG170" s="62"/>
      <c r="AH170" s="62"/>
      <c r="AI170" s="62"/>
    </row>
    <row r="171" ht="14.25" customHeight="1">
      <c r="Z171" s="62"/>
      <c r="AA171" s="62"/>
      <c r="AB171" s="62"/>
      <c r="AC171" s="62"/>
      <c r="AD171" s="62"/>
      <c r="AE171" s="62"/>
      <c r="AF171" s="62"/>
      <c r="AG171" s="62"/>
      <c r="AH171" s="62"/>
      <c r="AI171" s="62"/>
    </row>
    <row r="172" ht="14.25" customHeight="1">
      <c r="Z172" s="62"/>
      <c r="AA172" s="62"/>
      <c r="AB172" s="62"/>
      <c r="AC172" s="62"/>
      <c r="AD172" s="62"/>
      <c r="AE172" s="62"/>
      <c r="AF172" s="62"/>
      <c r="AG172" s="62"/>
      <c r="AH172" s="62"/>
      <c r="AI172" s="62"/>
    </row>
    <row r="173" ht="14.25" customHeight="1">
      <c r="Z173" s="62"/>
      <c r="AA173" s="62"/>
      <c r="AB173" s="62"/>
      <c r="AC173" s="62"/>
      <c r="AD173" s="62"/>
      <c r="AE173" s="62"/>
      <c r="AF173" s="62"/>
      <c r="AG173" s="62"/>
      <c r="AH173" s="62"/>
      <c r="AI173" s="62"/>
    </row>
    <row r="174" ht="14.25" customHeight="1">
      <c r="Z174" s="62"/>
      <c r="AA174" s="62"/>
      <c r="AB174" s="62"/>
      <c r="AC174" s="62"/>
      <c r="AD174" s="62"/>
      <c r="AE174" s="62"/>
      <c r="AF174" s="62"/>
      <c r="AG174" s="62"/>
      <c r="AH174" s="62"/>
      <c r="AI174" s="62"/>
    </row>
    <row r="175" ht="14.25" customHeight="1">
      <c r="Z175" s="62"/>
      <c r="AA175" s="62"/>
      <c r="AB175" s="62"/>
      <c r="AC175" s="62"/>
      <c r="AD175" s="62"/>
      <c r="AE175" s="62"/>
      <c r="AF175" s="62"/>
      <c r="AG175" s="62"/>
      <c r="AH175" s="62"/>
      <c r="AI175" s="62"/>
    </row>
    <row r="176" ht="14.25" customHeight="1">
      <c r="Z176" s="62"/>
      <c r="AA176" s="62"/>
      <c r="AB176" s="62"/>
      <c r="AC176" s="62"/>
      <c r="AD176" s="62"/>
      <c r="AE176" s="62"/>
      <c r="AF176" s="62"/>
      <c r="AG176" s="62"/>
      <c r="AH176" s="62"/>
      <c r="AI176" s="62"/>
    </row>
    <row r="177" ht="14.25" customHeight="1">
      <c r="Z177" s="62"/>
      <c r="AA177" s="62"/>
      <c r="AB177" s="62"/>
      <c r="AC177" s="62"/>
      <c r="AD177" s="62"/>
      <c r="AE177" s="62"/>
      <c r="AF177" s="62"/>
      <c r="AG177" s="62"/>
      <c r="AH177" s="62"/>
      <c r="AI177" s="62"/>
    </row>
    <row r="178" ht="14.25" customHeight="1">
      <c r="Z178" s="62"/>
      <c r="AA178" s="62"/>
      <c r="AB178" s="62"/>
      <c r="AC178" s="62"/>
      <c r="AD178" s="62"/>
      <c r="AE178" s="62"/>
      <c r="AF178" s="62"/>
      <c r="AG178" s="62"/>
      <c r="AH178" s="62"/>
      <c r="AI178" s="62"/>
    </row>
    <row r="179" ht="14.25" customHeight="1">
      <c r="Z179" s="62"/>
      <c r="AA179" s="62"/>
      <c r="AB179" s="62"/>
      <c r="AC179" s="62"/>
      <c r="AD179" s="62"/>
      <c r="AE179" s="62"/>
      <c r="AF179" s="62"/>
      <c r="AG179" s="62"/>
      <c r="AH179" s="62"/>
      <c r="AI179" s="62"/>
    </row>
    <row r="180" ht="14.25" customHeight="1">
      <c r="Z180" s="62"/>
      <c r="AA180" s="62"/>
      <c r="AB180" s="62"/>
      <c r="AC180" s="62"/>
      <c r="AD180" s="62"/>
      <c r="AE180" s="62"/>
      <c r="AF180" s="62"/>
      <c r="AG180" s="62"/>
      <c r="AH180" s="62"/>
      <c r="AI180" s="62"/>
    </row>
    <row r="181" ht="14.25" customHeight="1">
      <c r="Z181" s="62"/>
      <c r="AA181" s="62"/>
      <c r="AB181" s="62"/>
      <c r="AC181" s="62"/>
      <c r="AD181" s="62"/>
      <c r="AE181" s="62"/>
      <c r="AF181" s="62"/>
      <c r="AG181" s="62"/>
      <c r="AH181" s="62"/>
      <c r="AI181" s="62"/>
    </row>
    <row r="182" ht="14.25" customHeight="1">
      <c r="Z182" s="62"/>
      <c r="AA182" s="62"/>
      <c r="AB182" s="62"/>
      <c r="AC182" s="62"/>
      <c r="AD182" s="62"/>
      <c r="AE182" s="62"/>
      <c r="AF182" s="62"/>
      <c r="AG182" s="62"/>
      <c r="AH182" s="62"/>
      <c r="AI182" s="62"/>
    </row>
    <row r="183" ht="14.25" customHeight="1">
      <c r="Z183" s="62"/>
      <c r="AA183" s="62"/>
      <c r="AB183" s="62"/>
      <c r="AC183" s="62"/>
      <c r="AD183" s="62"/>
      <c r="AE183" s="62"/>
      <c r="AF183" s="62"/>
      <c r="AG183" s="62"/>
      <c r="AH183" s="62"/>
      <c r="AI183" s="62"/>
    </row>
    <row r="184" ht="14.25" customHeight="1">
      <c r="Z184" s="62"/>
      <c r="AA184" s="62"/>
      <c r="AB184" s="62"/>
      <c r="AC184" s="62"/>
      <c r="AD184" s="62"/>
      <c r="AE184" s="62"/>
      <c r="AF184" s="62"/>
      <c r="AG184" s="62"/>
      <c r="AH184" s="62"/>
      <c r="AI184" s="62"/>
    </row>
    <row r="185" ht="14.25" customHeight="1">
      <c r="Z185" s="62"/>
      <c r="AA185" s="62"/>
      <c r="AB185" s="62"/>
      <c r="AC185" s="62"/>
      <c r="AD185" s="62"/>
      <c r="AE185" s="62"/>
      <c r="AF185" s="62"/>
      <c r="AG185" s="62"/>
      <c r="AH185" s="62"/>
      <c r="AI185" s="62"/>
    </row>
    <row r="186" ht="14.25" customHeight="1">
      <c r="Z186" s="62"/>
      <c r="AA186" s="62"/>
      <c r="AB186" s="62"/>
      <c r="AC186" s="62"/>
      <c r="AD186" s="62"/>
      <c r="AE186" s="62"/>
      <c r="AF186" s="62"/>
      <c r="AG186" s="62"/>
      <c r="AH186" s="62"/>
      <c r="AI186" s="62"/>
    </row>
    <row r="187" ht="14.25" customHeight="1">
      <c r="Z187" s="62"/>
      <c r="AA187" s="62"/>
      <c r="AB187" s="62"/>
      <c r="AC187" s="62"/>
      <c r="AD187" s="62"/>
      <c r="AE187" s="62"/>
      <c r="AF187" s="62"/>
      <c r="AG187" s="62"/>
      <c r="AH187" s="62"/>
      <c r="AI187" s="62"/>
    </row>
    <row r="188" ht="14.25" customHeight="1">
      <c r="Z188" s="62"/>
      <c r="AA188" s="62"/>
      <c r="AB188" s="62"/>
      <c r="AC188" s="62"/>
      <c r="AD188" s="62"/>
      <c r="AE188" s="62"/>
      <c r="AF188" s="62"/>
      <c r="AG188" s="62"/>
      <c r="AH188" s="62"/>
      <c r="AI188" s="62"/>
    </row>
    <row r="189" ht="14.25" customHeight="1">
      <c r="Z189" s="62"/>
      <c r="AA189" s="62"/>
      <c r="AB189" s="62"/>
      <c r="AC189" s="62"/>
      <c r="AD189" s="62"/>
      <c r="AE189" s="62"/>
      <c r="AF189" s="62"/>
      <c r="AG189" s="62"/>
      <c r="AH189" s="62"/>
      <c r="AI189" s="62"/>
    </row>
    <row r="190" ht="14.25" customHeight="1">
      <c r="Z190" s="62"/>
      <c r="AA190" s="62"/>
      <c r="AB190" s="62"/>
      <c r="AC190" s="62"/>
      <c r="AD190" s="62"/>
      <c r="AE190" s="62"/>
      <c r="AF190" s="62"/>
      <c r="AG190" s="62"/>
      <c r="AH190" s="62"/>
      <c r="AI190" s="62"/>
    </row>
    <row r="191" ht="14.25" customHeight="1">
      <c r="Z191" s="62"/>
      <c r="AA191" s="62"/>
      <c r="AB191" s="62"/>
      <c r="AC191" s="62"/>
      <c r="AD191" s="62"/>
      <c r="AE191" s="62"/>
      <c r="AF191" s="62"/>
      <c r="AG191" s="62"/>
      <c r="AH191" s="62"/>
      <c r="AI191" s="62"/>
    </row>
    <row r="192" ht="14.25" customHeight="1">
      <c r="Z192" s="62"/>
      <c r="AA192" s="62"/>
      <c r="AB192" s="62"/>
      <c r="AC192" s="62"/>
      <c r="AD192" s="62"/>
      <c r="AE192" s="62"/>
      <c r="AF192" s="62"/>
      <c r="AG192" s="62"/>
      <c r="AH192" s="62"/>
      <c r="AI192" s="62"/>
    </row>
    <row r="193" ht="14.25" customHeight="1">
      <c r="Z193" s="62"/>
      <c r="AA193" s="62"/>
      <c r="AB193" s="62"/>
      <c r="AC193" s="62"/>
      <c r="AD193" s="62"/>
      <c r="AE193" s="62"/>
      <c r="AF193" s="62"/>
      <c r="AG193" s="62"/>
      <c r="AH193" s="62"/>
      <c r="AI193" s="62"/>
    </row>
    <row r="194" ht="14.25" customHeight="1">
      <c r="Z194" s="62"/>
      <c r="AA194" s="62"/>
      <c r="AB194" s="62"/>
      <c r="AC194" s="62"/>
      <c r="AD194" s="62"/>
      <c r="AE194" s="62"/>
      <c r="AF194" s="62"/>
      <c r="AG194" s="62"/>
      <c r="AH194" s="62"/>
      <c r="AI194" s="62"/>
    </row>
    <row r="195" ht="14.25" customHeight="1">
      <c r="Z195" s="62"/>
      <c r="AA195" s="62"/>
      <c r="AB195" s="62"/>
      <c r="AC195" s="62"/>
      <c r="AD195" s="62"/>
      <c r="AE195" s="62"/>
      <c r="AF195" s="62"/>
      <c r="AG195" s="62"/>
      <c r="AH195" s="62"/>
      <c r="AI195" s="62"/>
    </row>
    <row r="196" ht="14.25" customHeight="1">
      <c r="Z196" s="62"/>
      <c r="AA196" s="62"/>
      <c r="AB196" s="62"/>
      <c r="AC196" s="62"/>
      <c r="AD196" s="62"/>
      <c r="AE196" s="62"/>
      <c r="AF196" s="62"/>
      <c r="AG196" s="62"/>
      <c r="AH196" s="62"/>
      <c r="AI196" s="62"/>
    </row>
    <row r="197" ht="14.25" customHeight="1">
      <c r="Z197" s="62"/>
      <c r="AA197" s="62"/>
      <c r="AB197" s="62"/>
      <c r="AC197" s="62"/>
      <c r="AD197" s="62"/>
      <c r="AE197" s="62"/>
      <c r="AF197" s="62"/>
      <c r="AG197" s="62"/>
      <c r="AH197" s="62"/>
      <c r="AI197" s="62"/>
    </row>
    <row r="198" ht="14.25" customHeight="1">
      <c r="Z198" s="62"/>
      <c r="AA198" s="62"/>
      <c r="AB198" s="62"/>
      <c r="AC198" s="62"/>
      <c r="AD198" s="62"/>
      <c r="AE198" s="62"/>
      <c r="AF198" s="62"/>
      <c r="AG198" s="62"/>
      <c r="AH198" s="62"/>
      <c r="AI198" s="62"/>
    </row>
    <row r="199" ht="14.25" customHeight="1">
      <c r="Z199" s="62"/>
      <c r="AA199" s="62"/>
      <c r="AB199" s="62"/>
      <c r="AC199" s="62"/>
      <c r="AD199" s="62"/>
      <c r="AE199" s="62"/>
      <c r="AF199" s="62"/>
      <c r="AG199" s="62"/>
      <c r="AH199" s="62"/>
      <c r="AI199" s="62"/>
    </row>
    <row r="200" ht="14.25" customHeight="1">
      <c r="Z200" s="62"/>
      <c r="AA200" s="62"/>
      <c r="AB200" s="62"/>
      <c r="AC200" s="62"/>
      <c r="AD200" s="62"/>
      <c r="AE200" s="62"/>
      <c r="AF200" s="62"/>
      <c r="AG200" s="62"/>
      <c r="AH200" s="62"/>
      <c r="AI200" s="62"/>
    </row>
    <row r="201" ht="14.25" customHeight="1">
      <c r="Z201" s="62"/>
      <c r="AA201" s="62"/>
      <c r="AB201" s="62"/>
      <c r="AC201" s="62"/>
      <c r="AD201" s="62"/>
      <c r="AE201" s="62"/>
      <c r="AF201" s="62"/>
      <c r="AG201" s="62"/>
      <c r="AH201" s="62"/>
      <c r="AI201" s="62"/>
    </row>
    <row r="202" ht="14.25" customHeight="1">
      <c r="Z202" s="62"/>
      <c r="AA202" s="62"/>
      <c r="AB202" s="62"/>
      <c r="AC202" s="62"/>
      <c r="AD202" s="62"/>
      <c r="AE202" s="62"/>
      <c r="AF202" s="62"/>
      <c r="AG202" s="62"/>
      <c r="AH202" s="62"/>
      <c r="AI202" s="62"/>
    </row>
    <row r="203" ht="14.25" customHeight="1">
      <c r="Z203" s="62"/>
      <c r="AA203" s="62"/>
      <c r="AB203" s="62"/>
      <c r="AC203" s="62"/>
      <c r="AD203" s="62"/>
      <c r="AE203" s="62"/>
      <c r="AF203" s="62"/>
      <c r="AG203" s="62"/>
      <c r="AH203" s="62"/>
      <c r="AI203" s="62"/>
    </row>
    <row r="204" ht="14.25" customHeight="1">
      <c r="Z204" s="62"/>
      <c r="AA204" s="62"/>
      <c r="AB204" s="62"/>
      <c r="AC204" s="62"/>
      <c r="AD204" s="62"/>
      <c r="AE204" s="62"/>
      <c r="AF204" s="62"/>
      <c r="AG204" s="62"/>
      <c r="AH204" s="62"/>
      <c r="AI204" s="62"/>
    </row>
    <row r="205" ht="14.25" customHeight="1">
      <c r="Z205" s="62"/>
      <c r="AA205" s="62"/>
      <c r="AB205" s="62"/>
      <c r="AC205" s="62"/>
      <c r="AD205" s="62"/>
      <c r="AE205" s="62"/>
      <c r="AF205" s="62"/>
      <c r="AG205" s="62"/>
      <c r="AH205" s="62"/>
      <c r="AI205" s="62"/>
    </row>
    <row r="206" ht="14.25" customHeight="1">
      <c r="Z206" s="62"/>
      <c r="AA206" s="62"/>
      <c r="AB206" s="62"/>
      <c r="AC206" s="62"/>
      <c r="AD206" s="62"/>
      <c r="AE206" s="62"/>
      <c r="AF206" s="62"/>
      <c r="AG206" s="62"/>
      <c r="AH206" s="62"/>
      <c r="AI206" s="62"/>
    </row>
    <row r="207" ht="14.25" customHeight="1">
      <c r="Z207" s="62"/>
      <c r="AA207" s="62"/>
      <c r="AB207" s="62"/>
      <c r="AC207" s="62"/>
      <c r="AD207" s="62"/>
      <c r="AE207" s="62"/>
      <c r="AF207" s="62"/>
      <c r="AG207" s="62"/>
      <c r="AH207" s="62"/>
      <c r="AI207" s="62"/>
    </row>
    <row r="208" ht="14.25" customHeight="1">
      <c r="Z208" s="62"/>
      <c r="AA208" s="62"/>
      <c r="AB208" s="62"/>
      <c r="AC208" s="62"/>
      <c r="AD208" s="62"/>
      <c r="AE208" s="62"/>
      <c r="AF208" s="62"/>
      <c r="AG208" s="62"/>
      <c r="AH208" s="62"/>
      <c r="AI208" s="62"/>
    </row>
    <row r="209" ht="14.25" customHeight="1">
      <c r="Z209" s="62"/>
      <c r="AA209" s="62"/>
      <c r="AB209" s="62"/>
      <c r="AC209" s="62"/>
      <c r="AD209" s="62"/>
      <c r="AE209" s="62"/>
      <c r="AF209" s="62"/>
      <c r="AG209" s="62"/>
      <c r="AH209" s="62"/>
      <c r="AI209" s="62"/>
    </row>
    <row r="210" ht="14.25" customHeight="1">
      <c r="Z210" s="62"/>
      <c r="AA210" s="62"/>
      <c r="AB210" s="62"/>
      <c r="AC210" s="62"/>
      <c r="AD210" s="62"/>
      <c r="AE210" s="62"/>
      <c r="AF210" s="62"/>
      <c r="AG210" s="62"/>
      <c r="AH210" s="62"/>
      <c r="AI210" s="62"/>
    </row>
    <row r="211" ht="14.25" customHeight="1">
      <c r="Z211" s="62"/>
      <c r="AA211" s="62"/>
      <c r="AB211" s="62"/>
      <c r="AC211" s="62"/>
      <c r="AD211" s="62"/>
      <c r="AE211" s="62"/>
      <c r="AF211" s="62"/>
      <c r="AG211" s="62"/>
      <c r="AH211" s="62"/>
      <c r="AI211" s="62"/>
    </row>
    <row r="212" ht="14.25" customHeight="1">
      <c r="Z212" s="62"/>
      <c r="AA212" s="62"/>
      <c r="AB212" s="62"/>
      <c r="AC212" s="62"/>
      <c r="AD212" s="62"/>
      <c r="AE212" s="62"/>
      <c r="AF212" s="62"/>
      <c r="AG212" s="62"/>
      <c r="AH212" s="62"/>
      <c r="AI212" s="62"/>
    </row>
    <row r="213" ht="14.25" customHeight="1">
      <c r="Z213" s="62"/>
      <c r="AA213" s="62"/>
      <c r="AB213" s="62"/>
      <c r="AC213" s="62"/>
      <c r="AD213" s="62"/>
      <c r="AE213" s="62"/>
      <c r="AF213" s="62"/>
      <c r="AG213" s="62"/>
      <c r="AH213" s="62"/>
      <c r="AI213" s="62"/>
    </row>
    <row r="214" ht="14.25" customHeight="1">
      <c r="Z214" s="62"/>
      <c r="AA214" s="62"/>
      <c r="AB214" s="62"/>
      <c r="AC214" s="62"/>
      <c r="AD214" s="62"/>
      <c r="AE214" s="62"/>
      <c r="AF214" s="62"/>
      <c r="AG214" s="62"/>
      <c r="AH214" s="62"/>
      <c r="AI214" s="62"/>
    </row>
    <row r="215" ht="14.25" customHeight="1">
      <c r="Z215" s="62"/>
      <c r="AA215" s="62"/>
      <c r="AB215" s="62"/>
      <c r="AC215" s="62"/>
      <c r="AD215" s="62"/>
      <c r="AE215" s="62"/>
      <c r="AF215" s="62"/>
      <c r="AG215" s="62"/>
      <c r="AH215" s="62"/>
      <c r="AI215" s="62"/>
    </row>
    <row r="216" ht="14.25" customHeight="1">
      <c r="Z216" s="62"/>
      <c r="AA216" s="62"/>
      <c r="AB216" s="62"/>
      <c r="AC216" s="62"/>
      <c r="AD216" s="62"/>
      <c r="AE216" s="62"/>
      <c r="AF216" s="62"/>
      <c r="AG216" s="62"/>
      <c r="AH216" s="62"/>
      <c r="AI216" s="62"/>
    </row>
    <row r="217" ht="14.25" customHeight="1">
      <c r="Z217" s="62"/>
      <c r="AA217" s="62"/>
      <c r="AB217" s="62"/>
      <c r="AC217" s="62"/>
      <c r="AD217" s="62"/>
      <c r="AE217" s="62"/>
      <c r="AF217" s="62"/>
      <c r="AG217" s="62"/>
      <c r="AH217" s="62"/>
      <c r="AI217" s="62"/>
    </row>
    <row r="218" ht="14.25" customHeight="1">
      <c r="Z218" s="62"/>
      <c r="AA218" s="62"/>
      <c r="AB218" s="62"/>
      <c r="AC218" s="62"/>
      <c r="AD218" s="62"/>
      <c r="AE218" s="62"/>
      <c r="AF218" s="62"/>
      <c r="AG218" s="62"/>
      <c r="AH218" s="62"/>
      <c r="AI218" s="62"/>
    </row>
    <row r="219" ht="14.25" customHeight="1">
      <c r="Z219" s="62"/>
      <c r="AA219" s="62"/>
      <c r="AB219" s="62"/>
      <c r="AC219" s="62"/>
      <c r="AD219" s="62"/>
      <c r="AE219" s="62"/>
      <c r="AF219" s="62"/>
      <c r="AG219" s="62"/>
      <c r="AH219" s="62"/>
      <c r="AI219" s="62"/>
    </row>
    <row r="220" ht="14.25" customHeight="1">
      <c r="Z220" s="62"/>
      <c r="AA220" s="62"/>
      <c r="AB220" s="62"/>
      <c r="AC220" s="62"/>
      <c r="AD220" s="62"/>
      <c r="AE220" s="62"/>
      <c r="AF220" s="62"/>
      <c r="AG220" s="62"/>
      <c r="AH220" s="62"/>
      <c r="AI220" s="62"/>
    </row>
    <row r="221" ht="14.25" customHeight="1">
      <c r="Z221" s="62"/>
      <c r="AA221" s="62"/>
      <c r="AB221" s="62"/>
      <c r="AC221" s="62"/>
      <c r="AD221" s="62"/>
      <c r="AE221" s="62"/>
      <c r="AF221" s="62"/>
      <c r="AG221" s="62"/>
      <c r="AH221" s="62"/>
      <c r="AI221" s="62"/>
    </row>
    <row r="222" ht="14.25" customHeight="1">
      <c r="Z222" s="62"/>
      <c r="AA222" s="62"/>
      <c r="AB222" s="62"/>
      <c r="AC222" s="62"/>
      <c r="AD222" s="62"/>
      <c r="AE222" s="62"/>
      <c r="AF222" s="62"/>
      <c r="AG222" s="62"/>
      <c r="AH222" s="62"/>
      <c r="AI222" s="62"/>
    </row>
    <row r="223" ht="14.25" customHeight="1">
      <c r="Z223" s="62"/>
      <c r="AA223" s="62"/>
      <c r="AB223" s="62"/>
      <c r="AC223" s="62"/>
      <c r="AD223" s="62"/>
      <c r="AE223" s="62"/>
      <c r="AF223" s="62"/>
      <c r="AG223" s="62"/>
      <c r="AH223" s="62"/>
      <c r="AI223" s="62"/>
    </row>
    <row r="224" ht="14.25" customHeight="1">
      <c r="Z224" s="62"/>
      <c r="AA224" s="62"/>
      <c r="AB224" s="62"/>
      <c r="AC224" s="62"/>
      <c r="AD224" s="62"/>
      <c r="AE224" s="62"/>
      <c r="AF224" s="62"/>
      <c r="AG224" s="62"/>
      <c r="AH224" s="62"/>
      <c r="AI224" s="6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1:Q1"/>
    <mergeCell ref="L2:Q2"/>
  </mergeCells>
  <dataValidations>
    <dataValidation type="list" allowBlank="1" showErrorMessage="1" sqref="Z5:AH28">
      <formula1>"Ada,Belum Ada,Proses,Belum mengurus"</formula1>
    </dataValidation>
    <dataValidation type="list" allowBlank="1" showErrorMessage="1" sqref="G5:G11">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6"/>
    <col customWidth="1" min="2" max="2" width="16.71"/>
    <col customWidth="1" min="3" max="3" width="25.57"/>
    <col customWidth="1" min="4" max="4" width="11.86"/>
    <col customWidth="1" min="5" max="5" width="19.29"/>
    <col customWidth="1" min="6" max="6" width="15.86"/>
    <col customWidth="1" min="7" max="7" width="17.14"/>
    <col customWidth="1" min="8" max="11" width="21.14"/>
    <col customWidth="1" min="12" max="12" width="18.0"/>
    <col customWidth="1" min="13" max="13" width="31.29"/>
    <col customWidth="1" min="14" max="14" width="24.71"/>
    <col customWidth="1" min="15" max="15" width="27.0"/>
    <col customWidth="1" min="16" max="16" width="48.29"/>
    <col customWidth="1" min="17" max="17" width="40.71"/>
    <col customWidth="1" min="18" max="18" width="39.29"/>
    <col customWidth="1" min="19" max="19" width="27.43"/>
    <col customWidth="1" min="20" max="20" width="39.86"/>
    <col customWidth="1" min="21" max="21" width="41.86"/>
    <col customWidth="1" min="22" max="22" width="40.57"/>
    <col customWidth="1" min="23" max="23" width="27.14"/>
    <col customWidth="1" min="24" max="24" width="26.43"/>
    <col customWidth="1" min="25" max="25" width="18.43"/>
    <col customWidth="1" min="26" max="35" width="8.71"/>
  </cols>
  <sheetData>
    <row r="1" ht="14.25" customHeight="1">
      <c r="L1" s="63" t="s">
        <v>1</v>
      </c>
      <c r="X1" s="57"/>
      <c r="Z1" s="62"/>
      <c r="AA1" s="62"/>
      <c r="AB1" s="62"/>
      <c r="AC1" s="62"/>
      <c r="AD1" s="62"/>
      <c r="AE1" s="62"/>
      <c r="AF1" s="62"/>
      <c r="AG1" s="62"/>
      <c r="AH1" s="62"/>
      <c r="AI1" s="62"/>
    </row>
    <row r="2" ht="14.25" customHeight="1">
      <c r="L2" s="64" t="s">
        <v>2</v>
      </c>
      <c r="X2" s="57"/>
      <c r="Z2" s="62"/>
      <c r="AA2" s="62"/>
      <c r="AB2" s="62"/>
      <c r="AC2" s="62"/>
      <c r="AD2" s="62"/>
      <c r="AE2" s="62"/>
      <c r="AF2" s="62"/>
      <c r="AG2" s="62"/>
      <c r="AH2" s="62"/>
      <c r="AI2" s="62"/>
    </row>
    <row r="3" ht="14.25" customHeight="1">
      <c r="X3" s="57"/>
      <c r="Z3" s="62"/>
      <c r="AA3" s="62"/>
      <c r="AB3" s="62"/>
      <c r="AC3" s="62"/>
      <c r="AD3" s="62"/>
      <c r="AE3" s="62"/>
      <c r="AF3" s="62"/>
      <c r="AG3" s="62"/>
      <c r="AH3" s="62"/>
      <c r="AI3" s="62"/>
    </row>
    <row r="4" ht="40.5" customHeight="1">
      <c r="A4" s="65" t="s">
        <v>3</v>
      </c>
      <c r="B4" s="65" t="s">
        <v>4</v>
      </c>
      <c r="C4" s="65" t="s">
        <v>5</v>
      </c>
      <c r="D4" s="65" t="s">
        <v>6</v>
      </c>
      <c r="E4" s="65" t="s">
        <v>7</v>
      </c>
      <c r="F4" s="65" t="s">
        <v>8</v>
      </c>
      <c r="G4" s="65" t="s">
        <v>9</v>
      </c>
      <c r="H4" s="65" t="s">
        <v>1084</v>
      </c>
      <c r="I4" s="65" t="s">
        <v>11</v>
      </c>
      <c r="J4" s="65" t="s">
        <v>12</v>
      </c>
      <c r="K4" s="65" t="s">
        <v>13</v>
      </c>
      <c r="L4" s="65" t="s">
        <v>14</v>
      </c>
      <c r="M4" s="65" t="s">
        <v>15</v>
      </c>
      <c r="N4" s="65" t="s">
        <v>16</v>
      </c>
      <c r="O4" s="65" t="s">
        <v>147</v>
      </c>
      <c r="P4" s="65" t="s">
        <v>18</v>
      </c>
      <c r="Q4" s="65" t="s">
        <v>19</v>
      </c>
      <c r="R4" s="65" t="s">
        <v>20</v>
      </c>
      <c r="S4" s="65" t="s">
        <v>21</v>
      </c>
      <c r="T4" s="65" t="s">
        <v>22</v>
      </c>
      <c r="U4" s="65" t="s">
        <v>23</v>
      </c>
      <c r="V4" s="65" t="s">
        <v>24</v>
      </c>
      <c r="W4" s="65" t="s">
        <v>25</v>
      </c>
      <c r="X4" s="65" t="s">
        <v>26</v>
      </c>
      <c r="Y4" s="65" t="s">
        <v>27</v>
      </c>
      <c r="Z4" s="66" t="s">
        <v>28</v>
      </c>
      <c r="AA4" s="66" t="s">
        <v>29</v>
      </c>
      <c r="AB4" s="66" t="s">
        <v>30</v>
      </c>
      <c r="AC4" s="66" t="s">
        <v>31</v>
      </c>
      <c r="AD4" s="66" t="s">
        <v>32</v>
      </c>
      <c r="AE4" s="66" t="s">
        <v>33</v>
      </c>
      <c r="AF4" s="66" t="s">
        <v>34</v>
      </c>
      <c r="AG4" s="66" t="s">
        <v>35</v>
      </c>
      <c r="AH4" s="66" t="s">
        <v>36</v>
      </c>
      <c r="AI4" s="66" t="s">
        <v>37</v>
      </c>
    </row>
    <row r="5" ht="14.25" customHeight="1">
      <c r="A5" s="67">
        <v>1.0</v>
      </c>
      <c r="B5" s="67" t="s">
        <v>2812</v>
      </c>
      <c r="C5" s="67" t="s">
        <v>2813</v>
      </c>
      <c r="D5" s="67" t="s">
        <v>2814</v>
      </c>
      <c r="E5" s="67" t="s">
        <v>2815</v>
      </c>
      <c r="F5" s="67" t="s">
        <v>2816</v>
      </c>
      <c r="G5" s="67" t="s">
        <v>43</v>
      </c>
      <c r="H5" s="264">
        <v>45890.0</v>
      </c>
      <c r="I5" s="68" t="s">
        <v>44</v>
      </c>
      <c r="J5" s="67" t="s">
        <v>2817</v>
      </c>
      <c r="K5" s="261" t="s">
        <v>2818</v>
      </c>
      <c r="L5" s="85"/>
      <c r="M5" s="67"/>
      <c r="N5" s="67"/>
      <c r="O5" s="68"/>
      <c r="P5" s="68"/>
      <c r="Q5" s="67"/>
      <c r="R5" s="67"/>
      <c r="S5" s="67"/>
      <c r="T5" s="68"/>
      <c r="U5" s="68"/>
      <c r="V5" s="68"/>
      <c r="W5" s="68">
        <v>0.0</v>
      </c>
      <c r="X5" s="68">
        <v>0.0</v>
      </c>
      <c r="Y5" s="68"/>
      <c r="Z5" s="55" t="s">
        <v>54</v>
      </c>
      <c r="AA5" s="265" t="s">
        <v>54</v>
      </c>
      <c r="AB5" s="265" t="s">
        <v>54</v>
      </c>
      <c r="AC5" s="265" t="s">
        <v>54</v>
      </c>
      <c r="AD5" s="265" t="s">
        <v>54</v>
      </c>
      <c r="AE5" s="265" t="s">
        <v>54</v>
      </c>
      <c r="AF5" s="265" t="s">
        <v>54</v>
      </c>
      <c r="AG5" s="265" t="s">
        <v>54</v>
      </c>
      <c r="AH5" s="266" t="s">
        <v>146</v>
      </c>
      <c r="AI5" s="130">
        <v>49.0</v>
      </c>
    </row>
    <row r="6" ht="14.25" customHeight="1">
      <c r="A6" s="67">
        <v>2.0</v>
      </c>
      <c r="B6" s="67" t="s">
        <v>2819</v>
      </c>
      <c r="C6" s="67" t="s">
        <v>2820</v>
      </c>
      <c r="D6" s="67" t="s">
        <v>2821</v>
      </c>
      <c r="E6" s="95" t="s">
        <v>2822</v>
      </c>
      <c r="F6" s="67" t="s">
        <v>2823</v>
      </c>
      <c r="G6" s="67" t="s">
        <v>43</v>
      </c>
      <c r="H6" s="267">
        <v>45879.0</v>
      </c>
      <c r="I6" s="68" t="s">
        <v>44</v>
      </c>
      <c r="J6" s="67" t="s">
        <v>2824</v>
      </c>
      <c r="K6" s="96" t="s">
        <v>2825</v>
      </c>
      <c r="L6" s="85">
        <v>2317.0</v>
      </c>
      <c r="M6" s="68"/>
      <c r="N6" s="68"/>
      <c r="O6" s="82"/>
      <c r="P6" s="102" t="s">
        <v>2826</v>
      </c>
      <c r="Q6" s="102" t="s">
        <v>2827</v>
      </c>
      <c r="R6" s="102" t="s">
        <v>2828</v>
      </c>
      <c r="S6" s="67"/>
      <c r="T6" s="102" t="s">
        <v>2829</v>
      </c>
      <c r="U6" s="102" t="s">
        <v>2830</v>
      </c>
      <c r="V6" s="102" t="s">
        <v>2831</v>
      </c>
      <c r="W6" s="68"/>
      <c r="X6" s="68"/>
      <c r="Y6" s="68"/>
      <c r="Z6" s="131" t="s">
        <v>54</v>
      </c>
      <c r="AA6" s="131" t="s">
        <v>54</v>
      </c>
      <c r="AB6" s="131" t="s">
        <v>54</v>
      </c>
      <c r="AC6" s="131" t="s">
        <v>54</v>
      </c>
      <c r="AD6" s="131" t="s">
        <v>54</v>
      </c>
      <c r="AE6" s="131" t="s">
        <v>146</v>
      </c>
      <c r="AF6" s="131" t="s">
        <v>145</v>
      </c>
      <c r="AG6" s="131" t="s">
        <v>54</v>
      </c>
      <c r="AH6" s="131" t="s">
        <v>146</v>
      </c>
      <c r="AI6" s="131">
        <v>49.0</v>
      </c>
    </row>
    <row r="7" ht="14.25" customHeight="1">
      <c r="A7" s="68">
        <v>3.0</v>
      </c>
      <c r="B7" s="68" t="s">
        <v>2832</v>
      </c>
      <c r="C7" s="68" t="s">
        <v>2833</v>
      </c>
      <c r="D7" s="68" t="s">
        <v>2834</v>
      </c>
      <c r="E7" s="68" t="s">
        <v>2835</v>
      </c>
      <c r="F7" s="68" t="s">
        <v>2836</v>
      </c>
      <c r="G7" s="67" t="s">
        <v>43</v>
      </c>
      <c r="H7" s="67">
        <v>2025.0</v>
      </c>
      <c r="I7" s="68" t="s">
        <v>44</v>
      </c>
      <c r="J7" s="68" t="s">
        <v>2837</v>
      </c>
      <c r="K7" s="68" t="s">
        <v>2838</v>
      </c>
      <c r="L7" s="68">
        <v>2407.0</v>
      </c>
      <c r="M7" s="68">
        <v>0.0</v>
      </c>
      <c r="N7" s="68" t="s">
        <v>2839</v>
      </c>
      <c r="O7" s="68">
        <v>0.0</v>
      </c>
      <c r="P7" s="68" t="s">
        <v>2840</v>
      </c>
      <c r="Q7" s="67" t="s">
        <v>2841</v>
      </c>
      <c r="R7" s="68" t="s">
        <v>2842</v>
      </c>
      <c r="S7" s="68" t="s">
        <v>2843</v>
      </c>
      <c r="T7" s="67" t="s">
        <v>2844</v>
      </c>
      <c r="U7" s="67" t="s">
        <v>2845</v>
      </c>
      <c r="V7" s="67" t="s">
        <v>2846</v>
      </c>
      <c r="W7" s="68">
        <v>0.0</v>
      </c>
      <c r="X7" s="68">
        <v>0.0</v>
      </c>
      <c r="Y7" s="68"/>
      <c r="Z7" s="130"/>
      <c r="AA7" s="130"/>
      <c r="AB7" s="130"/>
      <c r="AC7" s="130"/>
      <c r="AD7" s="130"/>
      <c r="AE7" s="130"/>
      <c r="AF7" s="130"/>
      <c r="AG7" s="130"/>
      <c r="AH7" s="130"/>
      <c r="AI7" s="130"/>
    </row>
    <row r="8" ht="14.25" customHeight="1">
      <c r="A8" s="68">
        <v>4.0</v>
      </c>
      <c r="B8" s="68" t="s">
        <v>2847</v>
      </c>
      <c r="C8" s="68" t="s">
        <v>2848</v>
      </c>
      <c r="D8" s="68" t="s">
        <v>2849</v>
      </c>
      <c r="E8" s="68" t="s">
        <v>1590</v>
      </c>
      <c r="F8" s="68" t="s">
        <v>2850</v>
      </c>
      <c r="G8" s="67" t="s">
        <v>43</v>
      </c>
      <c r="H8" s="113">
        <v>46052.0</v>
      </c>
      <c r="I8" s="68" t="s">
        <v>44</v>
      </c>
      <c r="J8" s="68" t="s">
        <v>2851</v>
      </c>
      <c r="K8" s="80" t="s">
        <v>2852</v>
      </c>
      <c r="L8" s="68">
        <v>1694.0</v>
      </c>
      <c r="M8" s="68"/>
      <c r="N8" s="68">
        <v>95.0</v>
      </c>
      <c r="O8" s="68">
        <v>23.0</v>
      </c>
      <c r="P8" s="68"/>
      <c r="Q8" s="68">
        <v>553.0</v>
      </c>
      <c r="R8" s="68">
        <v>209.0</v>
      </c>
      <c r="S8" s="68">
        <v>37.0</v>
      </c>
      <c r="T8" s="68">
        <v>68.0</v>
      </c>
      <c r="U8" s="68">
        <v>180.0</v>
      </c>
      <c r="V8" s="68">
        <v>529.0</v>
      </c>
      <c r="W8" s="68"/>
      <c r="X8" s="68"/>
      <c r="Y8" s="68"/>
      <c r="Z8" s="131" t="s">
        <v>54</v>
      </c>
      <c r="AA8" s="131" t="s">
        <v>54</v>
      </c>
      <c r="AB8" s="131" t="s">
        <v>54</v>
      </c>
      <c r="AC8" s="131" t="s">
        <v>145</v>
      </c>
      <c r="AD8" s="131" t="s">
        <v>145</v>
      </c>
      <c r="AE8" s="131" t="s">
        <v>146</v>
      </c>
      <c r="AF8" s="131" t="s">
        <v>145</v>
      </c>
      <c r="AG8" s="131" t="s">
        <v>54</v>
      </c>
      <c r="AH8" s="131" t="s">
        <v>146</v>
      </c>
      <c r="AI8" s="131">
        <v>47.0</v>
      </c>
    </row>
    <row r="9" ht="14.25" customHeight="1">
      <c r="A9" s="68">
        <v>5.0</v>
      </c>
      <c r="B9" s="68" t="s">
        <v>2853</v>
      </c>
      <c r="C9" s="68" t="s">
        <v>2854</v>
      </c>
      <c r="D9" s="68" t="s">
        <v>2855</v>
      </c>
      <c r="E9" s="68" t="s">
        <v>2856</v>
      </c>
      <c r="F9" s="68" t="s">
        <v>2857</v>
      </c>
      <c r="G9" s="67" t="s">
        <v>43</v>
      </c>
      <c r="H9" s="111">
        <v>46056.0</v>
      </c>
      <c r="I9" s="68" t="s">
        <v>44</v>
      </c>
      <c r="J9" s="68" t="s">
        <v>2858</v>
      </c>
      <c r="K9" s="68" t="s">
        <v>2859</v>
      </c>
      <c r="L9" s="68">
        <v>1545.0</v>
      </c>
      <c r="M9" s="68"/>
      <c r="N9" s="68"/>
      <c r="O9" s="68"/>
      <c r="P9" s="68"/>
      <c r="Q9" s="67" t="s">
        <v>2860</v>
      </c>
      <c r="R9" s="68"/>
      <c r="S9" s="68"/>
      <c r="T9" s="67" t="s">
        <v>2861</v>
      </c>
      <c r="U9" s="67" t="s">
        <v>2862</v>
      </c>
      <c r="V9" s="67" t="s">
        <v>2863</v>
      </c>
      <c r="W9" s="68"/>
      <c r="X9" s="68"/>
      <c r="Y9" s="68"/>
      <c r="Z9" s="130"/>
      <c r="AA9" s="130"/>
      <c r="AB9" s="130"/>
      <c r="AC9" s="130"/>
      <c r="AD9" s="130"/>
      <c r="AE9" s="130"/>
      <c r="AF9" s="130"/>
      <c r="AG9" s="130"/>
      <c r="AH9" s="130"/>
      <c r="AI9" s="130"/>
    </row>
    <row r="10" ht="14.25" customHeight="1">
      <c r="A10" s="68">
        <v>6.0</v>
      </c>
      <c r="B10" s="68" t="s">
        <v>2864</v>
      </c>
      <c r="C10" s="268" t="s">
        <v>2865</v>
      </c>
      <c r="D10" s="68" t="s">
        <v>2866</v>
      </c>
      <c r="E10" s="68" t="s">
        <v>2867</v>
      </c>
      <c r="F10" s="68" t="s">
        <v>2868</v>
      </c>
      <c r="G10" s="67" t="s">
        <v>43</v>
      </c>
      <c r="H10" s="68" t="s">
        <v>2869</v>
      </c>
      <c r="I10" s="68" t="s">
        <v>44</v>
      </c>
      <c r="J10" s="68" t="s">
        <v>2870</v>
      </c>
      <c r="K10" s="80" t="s">
        <v>2871</v>
      </c>
      <c r="L10" s="68">
        <v>3340.0</v>
      </c>
      <c r="M10" s="67" t="s">
        <v>2872</v>
      </c>
      <c r="N10" s="67" t="s">
        <v>2873</v>
      </c>
      <c r="O10" s="67" t="s">
        <v>2874</v>
      </c>
      <c r="P10" s="67" t="s">
        <v>2875</v>
      </c>
      <c r="Q10" s="67" t="s">
        <v>2876</v>
      </c>
      <c r="R10" s="269" t="s">
        <v>2877</v>
      </c>
      <c r="S10" s="68"/>
      <c r="T10" s="90" t="s">
        <v>2878</v>
      </c>
      <c r="U10" s="67" t="s">
        <v>2879</v>
      </c>
      <c r="V10" s="67" t="s">
        <v>2880</v>
      </c>
      <c r="W10" s="67" t="s">
        <v>2881</v>
      </c>
      <c r="X10" s="68" t="s">
        <v>2882</v>
      </c>
      <c r="Y10" s="68"/>
      <c r="Z10" s="131" t="s">
        <v>54</v>
      </c>
      <c r="AA10" s="131" t="s">
        <v>54</v>
      </c>
      <c r="AB10" s="131" t="s">
        <v>54</v>
      </c>
      <c r="AC10" s="131" t="s">
        <v>54</v>
      </c>
      <c r="AD10" s="131" t="s">
        <v>54</v>
      </c>
      <c r="AE10" s="131" t="s">
        <v>54</v>
      </c>
      <c r="AF10" s="131" t="s">
        <v>54</v>
      </c>
      <c r="AG10" s="131" t="s">
        <v>54</v>
      </c>
      <c r="AH10" s="131" t="s">
        <v>146</v>
      </c>
      <c r="AI10" s="131">
        <v>48.0</v>
      </c>
    </row>
    <row r="11" ht="14.25" customHeight="1">
      <c r="A11" s="68">
        <v>7.0</v>
      </c>
      <c r="B11" s="68" t="s">
        <v>2883</v>
      </c>
      <c r="C11" s="68" t="s">
        <v>2884</v>
      </c>
      <c r="D11" s="270" t="s">
        <v>2885</v>
      </c>
      <c r="E11" s="68" t="s">
        <v>2886</v>
      </c>
      <c r="F11" s="271" t="s">
        <v>2887</v>
      </c>
      <c r="G11" s="68" t="s">
        <v>43</v>
      </c>
      <c r="H11" s="68" t="s">
        <v>2888</v>
      </c>
      <c r="I11" s="68" t="s">
        <v>44</v>
      </c>
      <c r="J11" s="68" t="s">
        <v>2889</v>
      </c>
      <c r="K11" s="68">
        <v>8.8298519024E10</v>
      </c>
      <c r="L11" s="68">
        <v>2480.0</v>
      </c>
      <c r="M11" s="68">
        <v>0.0</v>
      </c>
      <c r="N11" s="90" t="s">
        <v>2890</v>
      </c>
      <c r="O11" s="90" t="s">
        <v>2891</v>
      </c>
      <c r="P11" s="90" t="s">
        <v>2892</v>
      </c>
      <c r="Q11" s="90" t="s">
        <v>2893</v>
      </c>
      <c r="R11" s="90" t="s">
        <v>2894</v>
      </c>
      <c r="S11" s="90" t="s">
        <v>2895</v>
      </c>
      <c r="T11" s="76" t="s">
        <v>2896</v>
      </c>
      <c r="U11" s="76" t="s">
        <v>2897</v>
      </c>
      <c r="V11" s="90" t="s">
        <v>2898</v>
      </c>
      <c r="W11" s="68"/>
      <c r="X11" s="68">
        <v>0.0</v>
      </c>
      <c r="Y11" s="68"/>
      <c r="Z11" s="139" t="s">
        <v>54</v>
      </c>
      <c r="AA11" s="139" t="s">
        <v>54</v>
      </c>
      <c r="AB11" s="139" t="s">
        <v>54</v>
      </c>
      <c r="AC11" s="139" t="s">
        <v>54</v>
      </c>
      <c r="AD11" s="139" t="s">
        <v>145</v>
      </c>
      <c r="AE11" s="139" t="s">
        <v>146</v>
      </c>
      <c r="AF11" s="139" t="s">
        <v>146</v>
      </c>
      <c r="AG11" s="139" t="s">
        <v>54</v>
      </c>
      <c r="AH11" s="139" t="s">
        <v>146</v>
      </c>
      <c r="AI11" s="139">
        <v>49.0</v>
      </c>
    </row>
    <row r="12" ht="14.25" customHeight="1">
      <c r="A12" s="68">
        <v>8.0</v>
      </c>
      <c r="B12" s="68" t="s">
        <v>2832</v>
      </c>
      <c r="C12" s="68" t="s">
        <v>2899</v>
      </c>
      <c r="D12" s="68" t="s">
        <v>2900</v>
      </c>
      <c r="E12" s="68" t="s">
        <v>604</v>
      </c>
      <c r="F12" s="68" t="s">
        <v>2901</v>
      </c>
      <c r="G12" s="67" t="s">
        <v>43</v>
      </c>
      <c r="H12" s="68" t="s">
        <v>2902</v>
      </c>
      <c r="I12" s="68" t="s">
        <v>44</v>
      </c>
      <c r="J12" s="68" t="s">
        <v>2903</v>
      </c>
      <c r="K12" s="68">
        <v>8.2297291584E10</v>
      </c>
      <c r="L12" s="68">
        <v>2275.0</v>
      </c>
      <c r="M12" s="68">
        <v>0.0</v>
      </c>
      <c r="N12" s="67" t="s">
        <v>2904</v>
      </c>
      <c r="O12" s="90" t="s">
        <v>2905</v>
      </c>
      <c r="P12" s="68">
        <v>0.0</v>
      </c>
      <c r="Q12" s="90" t="s">
        <v>2906</v>
      </c>
      <c r="R12" s="90" t="s">
        <v>2907</v>
      </c>
      <c r="S12" s="90" t="s">
        <v>2908</v>
      </c>
      <c r="T12" s="90" t="s">
        <v>2909</v>
      </c>
      <c r="U12" s="90" t="s">
        <v>2910</v>
      </c>
      <c r="V12" s="90" t="s">
        <v>2911</v>
      </c>
      <c r="W12" s="68">
        <v>0.0</v>
      </c>
      <c r="X12" s="68">
        <v>0.0</v>
      </c>
      <c r="Y12" s="68"/>
      <c r="Z12" s="138" t="s">
        <v>54</v>
      </c>
      <c r="AA12" s="138" t="s">
        <v>54</v>
      </c>
      <c r="AB12" s="138" t="s">
        <v>54</v>
      </c>
      <c r="AC12" s="131"/>
      <c r="AD12" s="138" t="s">
        <v>54</v>
      </c>
      <c r="AE12" s="131"/>
      <c r="AF12" s="138" t="s">
        <v>54</v>
      </c>
      <c r="AG12" s="138" t="s">
        <v>54</v>
      </c>
      <c r="AH12" s="138" t="s">
        <v>146</v>
      </c>
      <c r="AI12" s="138">
        <v>47.0</v>
      </c>
    </row>
    <row r="13" ht="14.25" customHeight="1">
      <c r="A13" s="68">
        <v>9.0</v>
      </c>
      <c r="B13" s="68" t="s">
        <v>2912</v>
      </c>
      <c r="C13" s="272" t="s">
        <v>2913</v>
      </c>
      <c r="D13" s="273" t="s">
        <v>2914</v>
      </c>
      <c r="E13" s="274" t="s">
        <v>130</v>
      </c>
      <c r="F13" s="274" t="s">
        <v>2915</v>
      </c>
      <c r="G13" s="68" t="s">
        <v>43</v>
      </c>
      <c r="H13" s="68"/>
      <c r="I13" s="68" t="s">
        <v>44</v>
      </c>
      <c r="J13" s="68" t="s">
        <v>2916</v>
      </c>
      <c r="K13" s="68">
        <v>8.9697648389E10</v>
      </c>
      <c r="L13" s="68">
        <v>1088.0</v>
      </c>
      <c r="M13" s="68"/>
      <c r="N13" s="68"/>
      <c r="O13" s="68"/>
      <c r="P13" s="67" t="s">
        <v>2917</v>
      </c>
      <c r="Q13" s="67" t="s">
        <v>2918</v>
      </c>
      <c r="R13" s="67" t="s">
        <v>2919</v>
      </c>
      <c r="S13" s="68" t="s">
        <v>2920</v>
      </c>
      <c r="T13" s="68"/>
      <c r="U13" s="68" t="s">
        <v>2921</v>
      </c>
      <c r="V13" s="68"/>
      <c r="W13" s="68"/>
      <c r="X13" s="68"/>
      <c r="Y13" s="68"/>
      <c r="Z13" s="130"/>
      <c r="AA13" s="130"/>
      <c r="AB13" s="130"/>
      <c r="AC13" s="130"/>
      <c r="AD13" s="130"/>
      <c r="AE13" s="130"/>
      <c r="AF13" s="130"/>
      <c r="AG13" s="130"/>
      <c r="AH13" s="130"/>
      <c r="AI13" s="130"/>
    </row>
    <row r="14" ht="14.25" customHeight="1">
      <c r="A14" s="68">
        <v>10.0</v>
      </c>
      <c r="B14" s="68" t="s">
        <v>2819</v>
      </c>
      <c r="C14" s="272" t="s">
        <v>2922</v>
      </c>
      <c r="D14" s="273" t="s">
        <v>2923</v>
      </c>
      <c r="E14" s="274" t="s">
        <v>2032</v>
      </c>
      <c r="F14" s="274" t="s">
        <v>2924</v>
      </c>
      <c r="G14" s="67" t="s">
        <v>43</v>
      </c>
      <c r="H14" s="78">
        <v>46119.0</v>
      </c>
      <c r="I14" s="68" t="s">
        <v>44</v>
      </c>
      <c r="J14" s="68" t="s">
        <v>2925</v>
      </c>
      <c r="K14" s="68">
        <v>8.7898381337E10</v>
      </c>
      <c r="L14" s="68">
        <v>2079.0</v>
      </c>
      <c r="M14" s="68" t="s">
        <v>2926</v>
      </c>
      <c r="N14" s="68">
        <v>0.0</v>
      </c>
      <c r="O14" s="68" t="s">
        <v>2927</v>
      </c>
      <c r="P14" s="67" t="s">
        <v>2928</v>
      </c>
      <c r="Q14" s="143" t="s">
        <v>2929</v>
      </c>
      <c r="R14" s="67" t="s">
        <v>2930</v>
      </c>
      <c r="S14" s="68" t="s">
        <v>2931</v>
      </c>
      <c r="T14" s="68" t="s">
        <v>2932</v>
      </c>
      <c r="U14" s="68" t="s">
        <v>2933</v>
      </c>
      <c r="V14" s="68" t="s">
        <v>2934</v>
      </c>
      <c r="W14" s="68">
        <v>0.0</v>
      </c>
      <c r="X14" s="68">
        <v>0.0</v>
      </c>
      <c r="Y14" s="68"/>
      <c r="Z14" s="131" t="s">
        <v>54</v>
      </c>
      <c r="AA14" s="131" t="s">
        <v>145</v>
      </c>
      <c r="AB14" s="131" t="s">
        <v>146</v>
      </c>
      <c r="AC14" s="131" t="s">
        <v>145</v>
      </c>
      <c r="AD14" s="131" t="s">
        <v>145</v>
      </c>
      <c r="AE14" s="131" t="s">
        <v>146</v>
      </c>
      <c r="AF14" s="131" t="s">
        <v>146</v>
      </c>
      <c r="AG14" s="131" t="s">
        <v>54</v>
      </c>
      <c r="AH14" s="131" t="s">
        <v>146</v>
      </c>
      <c r="AI14" s="131">
        <v>48.0</v>
      </c>
    </row>
    <row r="15" ht="14.25" customHeight="1">
      <c r="A15" s="68">
        <v>11.0</v>
      </c>
      <c r="B15" s="68" t="s">
        <v>2812</v>
      </c>
      <c r="C15" s="68" t="s">
        <v>2935</v>
      </c>
      <c r="D15" s="68" t="s">
        <v>2936</v>
      </c>
      <c r="E15" s="68" t="s">
        <v>234</v>
      </c>
      <c r="F15" s="90" t="s">
        <v>2937</v>
      </c>
      <c r="G15" s="68" t="s">
        <v>1732</v>
      </c>
      <c r="H15" s="68"/>
      <c r="I15" s="68" t="s">
        <v>72</v>
      </c>
      <c r="J15" s="68" t="s">
        <v>2938</v>
      </c>
      <c r="K15" s="80" t="s">
        <v>2939</v>
      </c>
      <c r="L15" s="68"/>
      <c r="M15" s="68"/>
      <c r="N15" s="68"/>
      <c r="O15" s="68"/>
      <c r="P15" s="68"/>
      <c r="Q15" s="68"/>
      <c r="R15" s="68"/>
      <c r="S15" s="68"/>
      <c r="T15" s="68"/>
      <c r="U15" s="68" t="s">
        <v>2940</v>
      </c>
      <c r="V15" s="68"/>
      <c r="W15" s="68"/>
      <c r="X15" s="68"/>
      <c r="Y15" s="68"/>
      <c r="Z15" s="130"/>
      <c r="AA15" s="130"/>
      <c r="AB15" s="130"/>
      <c r="AC15" s="130"/>
      <c r="AD15" s="130"/>
      <c r="AE15" s="130"/>
      <c r="AF15" s="130"/>
      <c r="AG15" s="130"/>
      <c r="AH15" s="130"/>
      <c r="AI15" s="130"/>
    </row>
    <row r="16" ht="14.25" customHeight="1">
      <c r="A16" s="68"/>
      <c r="B16" s="68"/>
      <c r="C16" s="68"/>
      <c r="D16" s="68"/>
      <c r="E16" s="68"/>
      <c r="F16" s="68"/>
      <c r="G16" s="68"/>
      <c r="H16" s="68"/>
      <c r="I16" s="68"/>
      <c r="J16" s="68"/>
      <c r="K16" s="68"/>
      <c r="L16" s="68"/>
      <c r="M16" s="68"/>
      <c r="N16" s="68"/>
      <c r="O16" s="68"/>
      <c r="P16" s="68"/>
      <c r="Q16" s="68"/>
      <c r="R16" s="68"/>
      <c r="S16" s="68"/>
      <c r="T16" s="68"/>
      <c r="U16" s="68" t="s">
        <v>2941</v>
      </c>
      <c r="V16" s="68"/>
      <c r="W16" s="68"/>
      <c r="X16" s="68"/>
      <c r="Y16" s="68"/>
      <c r="Z16" s="131"/>
      <c r="AA16" s="131"/>
      <c r="AB16" s="131"/>
      <c r="AC16" s="131"/>
      <c r="AD16" s="131"/>
      <c r="AE16" s="131"/>
      <c r="AF16" s="131"/>
      <c r="AG16" s="131"/>
      <c r="AH16" s="131"/>
      <c r="AI16" s="131"/>
    </row>
    <row r="17" ht="14.25" customHeight="1">
      <c r="A17" s="68"/>
      <c r="B17" s="68"/>
      <c r="C17" s="68"/>
      <c r="D17" s="68"/>
      <c r="E17" s="68"/>
      <c r="F17" s="68"/>
      <c r="G17" s="68"/>
      <c r="H17" s="68"/>
      <c r="I17" s="68"/>
      <c r="J17" s="68"/>
      <c r="K17" s="68"/>
      <c r="L17" s="68"/>
      <c r="M17" s="68"/>
      <c r="N17" s="68"/>
      <c r="O17" s="68"/>
      <c r="P17" s="68"/>
      <c r="Q17" s="68"/>
      <c r="R17" s="68"/>
      <c r="S17" s="68"/>
      <c r="T17" s="68"/>
      <c r="U17" s="68" t="s">
        <v>2942</v>
      </c>
      <c r="V17" s="68"/>
      <c r="W17" s="68"/>
      <c r="X17" s="68"/>
      <c r="Y17" s="68"/>
      <c r="Z17" s="130"/>
      <c r="AA17" s="130"/>
      <c r="AB17" s="130"/>
      <c r="AC17" s="130"/>
      <c r="AD17" s="130"/>
      <c r="AE17" s="130"/>
      <c r="AF17" s="130"/>
      <c r="AG17" s="130"/>
      <c r="AH17" s="130"/>
      <c r="AI17" s="130"/>
    </row>
    <row r="18" ht="14.25" customHeight="1">
      <c r="A18" s="68"/>
      <c r="B18" s="68"/>
      <c r="C18" s="68"/>
      <c r="D18" s="68"/>
      <c r="E18" s="68"/>
      <c r="F18" s="68"/>
      <c r="G18" s="68"/>
      <c r="H18" s="68"/>
      <c r="I18" s="68"/>
      <c r="J18" s="68"/>
      <c r="K18" s="68"/>
      <c r="L18" s="68"/>
      <c r="M18" s="68"/>
      <c r="N18" s="68"/>
      <c r="O18" s="68"/>
      <c r="P18" s="68"/>
      <c r="Q18" s="68"/>
      <c r="R18" s="68"/>
      <c r="S18" s="68"/>
      <c r="T18" s="68"/>
      <c r="U18" s="68" t="s">
        <v>2943</v>
      </c>
      <c r="V18" s="68"/>
      <c r="W18" s="68"/>
      <c r="X18" s="68"/>
      <c r="Y18" s="68"/>
      <c r="Z18" s="131"/>
      <c r="AA18" s="131"/>
      <c r="AB18" s="131"/>
      <c r="AC18" s="131"/>
      <c r="AD18" s="131"/>
      <c r="AE18" s="131"/>
      <c r="AF18" s="131"/>
      <c r="AG18" s="131"/>
      <c r="AH18" s="131"/>
      <c r="AI18" s="131"/>
    </row>
    <row r="19" ht="14.25" customHeight="1">
      <c r="A19" s="68"/>
      <c r="B19" s="68"/>
      <c r="C19" s="68"/>
      <c r="D19" s="68"/>
      <c r="E19" s="68"/>
      <c r="F19" s="68"/>
      <c r="G19" s="68"/>
      <c r="H19" s="68"/>
      <c r="I19" s="68"/>
      <c r="J19" s="68"/>
      <c r="K19" s="68"/>
      <c r="L19" s="68"/>
      <c r="M19" s="68"/>
      <c r="N19" s="68"/>
      <c r="O19" s="68"/>
      <c r="P19" s="68"/>
      <c r="Q19" s="68"/>
      <c r="R19" s="68"/>
      <c r="S19" s="68"/>
      <c r="T19" s="68"/>
      <c r="U19" s="68" t="s">
        <v>2944</v>
      </c>
      <c r="V19" s="68"/>
      <c r="W19" s="68"/>
      <c r="X19" s="68"/>
      <c r="Y19" s="68"/>
      <c r="Z19" s="130"/>
      <c r="AA19" s="130"/>
      <c r="AB19" s="130"/>
      <c r="AC19" s="130"/>
      <c r="AD19" s="130"/>
      <c r="AE19" s="130"/>
      <c r="AF19" s="130"/>
      <c r="AG19" s="130"/>
      <c r="AH19" s="130"/>
      <c r="AI19" s="130"/>
    </row>
    <row r="20" ht="14.25" customHeight="1">
      <c r="A20" s="68"/>
      <c r="B20" s="68"/>
      <c r="C20" s="68"/>
      <c r="D20" s="68"/>
      <c r="E20" s="68"/>
      <c r="F20" s="68"/>
      <c r="G20" s="68"/>
      <c r="H20" s="68"/>
      <c r="I20" s="68"/>
      <c r="J20" s="68"/>
      <c r="K20" s="68"/>
      <c r="L20" s="68"/>
      <c r="M20" s="68"/>
      <c r="N20" s="68"/>
      <c r="O20" s="68"/>
      <c r="P20" s="68"/>
      <c r="Q20" s="68"/>
      <c r="R20" s="68"/>
      <c r="S20" s="68"/>
      <c r="T20" s="68"/>
      <c r="U20" s="68" t="s">
        <v>2945</v>
      </c>
      <c r="V20" s="68"/>
      <c r="W20" s="68"/>
      <c r="X20" s="68"/>
      <c r="Y20" s="68"/>
      <c r="Z20" s="131"/>
      <c r="AA20" s="131"/>
      <c r="AB20" s="131"/>
      <c r="AC20" s="131"/>
      <c r="AD20" s="131"/>
      <c r="AE20" s="131"/>
      <c r="AF20" s="131"/>
      <c r="AG20" s="131"/>
      <c r="AH20" s="131"/>
      <c r="AI20" s="131"/>
    </row>
    <row r="21" ht="14.25" customHeight="1">
      <c r="A21" s="68"/>
      <c r="B21" s="68"/>
      <c r="C21" s="68"/>
      <c r="D21" s="68"/>
      <c r="E21" s="68"/>
      <c r="F21" s="68"/>
      <c r="G21" s="68"/>
      <c r="H21" s="68"/>
      <c r="I21" s="68"/>
      <c r="J21" s="68"/>
      <c r="K21" s="68"/>
      <c r="L21" s="68"/>
      <c r="M21" s="68"/>
      <c r="N21" s="68"/>
      <c r="O21" s="68"/>
      <c r="P21" s="68"/>
      <c r="Q21" s="68"/>
      <c r="R21" s="68"/>
      <c r="S21" s="68"/>
      <c r="T21" s="68"/>
      <c r="U21" s="68" t="s">
        <v>2946</v>
      </c>
      <c r="V21" s="68"/>
      <c r="W21" s="68"/>
      <c r="X21" s="68"/>
      <c r="Y21" s="68"/>
      <c r="Z21" s="130"/>
      <c r="AA21" s="130"/>
      <c r="AB21" s="130"/>
      <c r="AC21" s="130"/>
      <c r="AD21" s="130"/>
      <c r="AE21" s="130"/>
      <c r="AF21" s="130"/>
      <c r="AG21" s="130"/>
      <c r="AH21" s="130"/>
      <c r="AI21" s="130"/>
    </row>
    <row r="22" ht="14.25" customHeight="1">
      <c r="V22" s="89"/>
      <c r="X22" s="57"/>
      <c r="Z22" s="26"/>
      <c r="AA22" s="26"/>
      <c r="AB22" s="26"/>
      <c r="AC22" s="26"/>
      <c r="AD22" s="26"/>
      <c r="AE22" s="26"/>
      <c r="AF22" s="26"/>
      <c r="AG22" s="26"/>
      <c r="AH22" s="26"/>
      <c r="AI22" s="26"/>
    </row>
    <row r="23" ht="14.25" customHeight="1">
      <c r="C23" s="62" t="s">
        <v>216</v>
      </c>
      <c r="D23" s="62">
        <v>10.0</v>
      </c>
      <c r="X23" s="57"/>
      <c r="Z23" s="25"/>
      <c r="AA23" s="25"/>
      <c r="AB23" s="25"/>
      <c r="AC23" s="25"/>
      <c r="AD23" s="25"/>
      <c r="AE23" s="25"/>
      <c r="AF23" s="25"/>
      <c r="AG23" s="25"/>
      <c r="AH23" s="25"/>
      <c r="AI23" s="25"/>
    </row>
    <row r="24" ht="14.25" customHeight="1">
      <c r="C24" s="62" t="s">
        <v>217</v>
      </c>
      <c r="D24" s="62">
        <v>1.0</v>
      </c>
      <c r="X24" s="57"/>
      <c r="Z24" s="62"/>
      <c r="AA24" s="62"/>
      <c r="AB24" s="62"/>
      <c r="AC24" s="62"/>
      <c r="AD24" s="62"/>
      <c r="AE24" s="62"/>
      <c r="AF24" s="62"/>
      <c r="AG24" s="62"/>
      <c r="AH24" s="62"/>
      <c r="AI24" s="62"/>
    </row>
    <row r="25" ht="14.25" customHeight="1">
      <c r="X25" s="57"/>
      <c r="Z25" s="62"/>
      <c r="AA25" s="62"/>
      <c r="AB25" s="62"/>
      <c r="AC25" s="62"/>
      <c r="AD25" s="62"/>
      <c r="AE25" s="62"/>
      <c r="AF25" s="62"/>
      <c r="AG25" s="62"/>
      <c r="AH25" s="62"/>
      <c r="AI25" s="62"/>
    </row>
    <row r="26" ht="14.25" customHeight="1">
      <c r="X26" s="57"/>
      <c r="Z26" s="62"/>
      <c r="AA26" s="62"/>
      <c r="AB26" s="62"/>
      <c r="AC26" s="62"/>
      <c r="AD26" s="62"/>
      <c r="AE26" s="62"/>
      <c r="AF26" s="62"/>
      <c r="AG26" s="62"/>
      <c r="AH26" s="62"/>
      <c r="AI26" s="62"/>
    </row>
    <row r="27" ht="14.25" customHeight="1">
      <c r="X27" s="57"/>
      <c r="Z27" s="62"/>
      <c r="AA27" s="62"/>
      <c r="AB27" s="62"/>
      <c r="AC27" s="62"/>
      <c r="AD27" s="62"/>
      <c r="AE27" s="62"/>
      <c r="AF27" s="62"/>
      <c r="AG27" s="62"/>
      <c r="AH27" s="62"/>
      <c r="AI27" s="62"/>
    </row>
    <row r="28" ht="14.25" customHeight="1">
      <c r="X28" s="57"/>
      <c r="Z28" s="62"/>
      <c r="AA28" s="62"/>
      <c r="AB28" s="62"/>
      <c r="AC28" s="62"/>
      <c r="AD28" s="62"/>
      <c r="AE28" s="62"/>
      <c r="AF28" s="62"/>
      <c r="AG28" s="62"/>
      <c r="AH28" s="62"/>
      <c r="AI28" s="62"/>
    </row>
    <row r="29" ht="14.25" customHeight="1">
      <c r="X29" s="57"/>
      <c r="Z29" s="62"/>
      <c r="AA29" s="62"/>
      <c r="AB29" s="62"/>
      <c r="AC29" s="62"/>
      <c r="AD29" s="62"/>
      <c r="AE29" s="62"/>
      <c r="AF29" s="62"/>
      <c r="AG29" s="62"/>
      <c r="AH29" s="62"/>
      <c r="AI29" s="62"/>
    </row>
    <row r="30" ht="14.25" customHeight="1">
      <c r="X30" s="57"/>
      <c r="Z30" s="62"/>
      <c r="AA30" s="62"/>
      <c r="AB30" s="62"/>
      <c r="AC30" s="62"/>
      <c r="AD30" s="62"/>
      <c r="AE30" s="62"/>
      <c r="AF30" s="62"/>
      <c r="AG30" s="62"/>
      <c r="AH30" s="62"/>
      <c r="AI30" s="62"/>
    </row>
    <row r="31" ht="14.25" customHeight="1">
      <c r="X31" s="57"/>
      <c r="Z31" s="62"/>
      <c r="AA31" s="62"/>
      <c r="AB31" s="62"/>
      <c r="AC31" s="62"/>
      <c r="AD31" s="62"/>
      <c r="AE31" s="62"/>
      <c r="AF31" s="62"/>
      <c r="AG31" s="62"/>
      <c r="AH31" s="62"/>
      <c r="AI31" s="62"/>
    </row>
    <row r="32" ht="14.25" customHeight="1">
      <c r="X32" s="57"/>
      <c r="Z32" s="62"/>
      <c r="AA32" s="62"/>
      <c r="AB32" s="62"/>
      <c r="AC32" s="62"/>
      <c r="AD32" s="62"/>
      <c r="AE32" s="62"/>
      <c r="AF32" s="62"/>
      <c r="AG32" s="62"/>
      <c r="AH32" s="62"/>
      <c r="AI32" s="62"/>
    </row>
    <row r="33" ht="14.25" customHeight="1">
      <c r="X33" s="57"/>
      <c r="Z33" s="62"/>
      <c r="AA33" s="62"/>
      <c r="AB33" s="62"/>
      <c r="AC33" s="62"/>
      <c r="AD33" s="62"/>
      <c r="AE33" s="62"/>
      <c r="AF33" s="62"/>
      <c r="AG33" s="62"/>
      <c r="AH33" s="62"/>
      <c r="AI33" s="62"/>
    </row>
    <row r="34" ht="14.25" customHeight="1">
      <c r="X34" s="57">
        <v>184251.0</v>
      </c>
      <c r="Z34" s="62"/>
      <c r="AA34" s="62"/>
      <c r="AB34" s="62"/>
      <c r="AC34" s="62"/>
      <c r="AD34" s="62"/>
      <c r="AE34" s="62"/>
      <c r="AF34" s="62"/>
      <c r="AG34" s="62"/>
      <c r="AH34" s="62"/>
      <c r="AI34" s="62"/>
    </row>
    <row r="35" ht="14.25" customHeight="1">
      <c r="X35" s="57">
        <v>176051.0</v>
      </c>
      <c r="Z35" s="62"/>
      <c r="AA35" s="62"/>
      <c r="AB35" s="62"/>
      <c r="AC35" s="62"/>
      <c r="AD35" s="62"/>
      <c r="AE35" s="62"/>
      <c r="AF35" s="62"/>
      <c r="AG35" s="62"/>
      <c r="AH35" s="62"/>
      <c r="AI35" s="62"/>
    </row>
    <row r="36" ht="14.25" customHeight="1">
      <c r="X36" s="57"/>
      <c r="Z36" s="62"/>
      <c r="AA36" s="62"/>
      <c r="AB36" s="62"/>
      <c r="AC36" s="62"/>
      <c r="AD36" s="62"/>
      <c r="AE36" s="62"/>
      <c r="AF36" s="62"/>
      <c r="AG36" s="62"/>
      <c r="AH36" s="62"/>
      <c r="AI36" s="62"/>
    </row>
    <row r="37" ht="14.25" customHeight="1">
      <c r="X37" s="57"/>
      <c r="Z37" s="62"/>
      <c r="AA37" s="62"/>
      <c r="AB37" s="62"/>
      <c r="AC37" s="62"/>
      <c r="AD37" s="62"/>
      <c r="AE37" s="62"/>
      <c r="AF37" s="62"/>
      <c r="AG37" s="62"/>
      <c r="AH37" s="62"/>
      <c r="AI37" s="62"/>
    </row>
    <row r="38" ht="14.25" customHeight="1">
      <c r="X38" s="57">
        <f>X34-X35</f>
        <v>8200</v>
      </c>
      <c r="Z38" s="62"/>
      <c r="AA38" s="62"/>
      <c r="AB38" s="62"/>
      <c r="AC38" s="62"/>
      <c r="AD38" s="62"/>
      <c r="AE38" s="62"/>
      <c r="AF38" s="62"/>
      <c r="AG38" s="62"/>
      <c r="AH38" s="62"/>
      <c r="AI38" s="62"/>
    </row>
    <row r="39" ht="14.25" customHeight="1">
      <c r="X39" s="57"/>
      <c r="Z39" s="62"/>
      <c r="AA39" s="62"/>
      <c r="AB39" s="62"/>
      <c r="AC39" s="62"/>
      <c r="AD39" s="62"/>
      <c r="AE39" s="62"/>
      <c r="AF39" s="62"/>
      <c r="AG39" s="62"/>
      <c r="AH39" s="62"/>
      <c r="AI39" s="62"/>
    </row>
    <row r="40" ht="14.25" customHeight="1">
      <c r="X40" s="57"/>
      <c r="Z40" s="62"/>
      <c r="AA40" s="62"/>
      <c r="AB40" s="62"/>
      <c r="AC40" s="62"/>
      <c r="AD40" s="62"/>
      <c r="AE40" s="62"/>
      <c r="AF40" s="62"/>
      <c r="AG40" s="62"/>
      <c r="AH40" s="62"/>
      <c r="AI40" s="62"/>
    </row>
    <row r="41" ht="14.25" customHeight="1">
      <c r="X41" s="57"/>
      <c r="Z41" s="62"/>
      <c r="AA41" s="62"/>
      <c r="AB41" s="62"/>
      <c r="AC41" s="62"/>
      <c r="AD41" s="62"/>
      <c r="AE41" s="62"/>
      <c r="AF41" s="62"/>
      <c r="AG41" s="62"/>
      <c r="AH41" s="62"/>
      <c r="AI41" s="62"/>
    </row>
    <row r="42" ht="14.25" customHeight="1">
      <c r="X42" s="57"/>
      <c r="Z42" s="62"/>
      <c r="AA42" s="62"/>
      <c r="AB42" s="62"/>
      <c r="AC42" s="62"/>
      <c r="AD42" s="62"/>
      <c r="AE42" s="62"/>
      <c r="AF42" s="62"/>
      <c r="AG42" s="62"/>
      <c r="AH42" s="62"/>
      <c r="AI42" s="62"/>
    </row>
    <row r="43" ht="14.25" customHeight="1">
      <c r="X43" s="57"/>
      <c r="Z43" s="62"/>
      <c r="AA43" s="62"/>
      <c r="AB43" s="62"/>
      <c r="AC43" s="62"/>
      <c r="AD43" s="62"/>
      <c r="AE43" s="62"/>
      <c r="AF43" s="62"/>
      <c r="AG43" s="62"/>
      <c r="AH43" s="62"/>
      <c r="AI43" s="62"/>
    </row>
    <row r="44" ht="14.25" customHeight="1">
      <c r="X44" s="57"/>
      <c r="Z44" s="62"/>
      <c r="AA44" s="62"/>
      <c r="AB44" s="62"/>
      <c r="AC44" s="62"/>
      <c r="AD44" s="62"/>
      <c r="AE44" s="62"/>
      <c r="AF44" s="62"/>
      <c r="AG44" s="62"/>
      <c r="AH44" s="62"/>
      <c r="AI44" s="62"/>
    </row>
    <row r="45" ht="14.25" customHeight="1">
      <c r="X45" s="57"/>
      <c r="Z45" s="62"/>
      <c r="AA45" s="62"/>
      <c r="AB45" s="62"/>
      <c r="AC45" s="62"/>
      <c r="AD45" s="62"/>
      <c r="AE45" s="62"/>
      <c r="AF45" s="62"/>
      <c r="AG45" s="62"/>
      <c r="AH45" s="62"/>
      <c r="AI45" s="62"/>
    </row>
    <row r="46" ht="14.25" customHeight="1">
      <c r="X46" s="57"/>
      <c r="Z46" s="62"/>
      <c r="AA46" s="62"/>
      <c r="AB46" s="62"/>
      <c r="AC46" s="62"/>
      <c r="AD46" s="62"/>
      <c r="AE46" s="62"/>
      <c r="AF46" s="62"/>
      <c r="AG46" s="62"/>
      <c r="AH46" s="62"/>
      <c r="AI46" s="62"/>
    </row>
    <row r="47" ht="14.25" customHeight="1">
      <c r="X47" s="57"/>
      <c r="Z47" s="62"/>
      <c r="AA47" s="62"/>
      <c r="AB47" s="62"/>
      <c r="AC47" s="62"/>
      <c r="AD47" s="62"/>
      <c r="AE47" s="62"/>
      <c r="AF47" s="62"/>
      <c r="AG47" s="62"/>
      <c r="AH47" s="62"/>
      <c r="AI47" s="62"/>
    </row>
    <row r="48" ht="14.25" customHeight="1">
      <c r="X48" s="57"/>
      <c r="Z48" s="62"/>
      <c r="AA48" s="62"/>
      <c r="AB48" s="62"/>
      <c r="AC48" s="62"/>
      <c r="AD48" s="62"/>
      <c r="AE48" s="62"/>
      <c r="AF48" s="62"/>
      <c r="AG48" s="62"/>
      <c r="AH48" s="62"/>
      <c r="AI48" s="62"/>
    </row>
    <row r="49" ht="14.25" customHeight="1">
      <c r="X49" s="57"/>
      <c r="Z49" s="62"/>
      <c r="AA49" s="62"/>
      <c r="AB49" s="62"/>
      <c r="AC49" s="62"/>
      <c r="AD49" s="62"/>
      <c r="AE49" s="62"/>
      <c r="AF49" s="62"/>
      <c r="AG49" s="62"/>
      <c r="AH49" s="62"/>
      <c r="AI49" s="62"/>
    </row>
    <row r="50" ht="14.25" customHeight="1">
      <c r="X50" s="57"/>
      <c r="Z50" s="62"/>
      <c r="AA50" s="62"/>
      <c r="AB50" s="62"/>
      <c r="AC50" s="62"/>
      <c r="AD50" s="62"/>
      <c r="AE50" s="62"/>
      <c r="AF50" s="62"/>
      <c r="AG50" s="62"/>
      <c r="AH50" s="62"/>
      <c r="AI50" s="62"/>
    </row>
    <row r="51" ht="14.25" customHeight="1">
      <c r="X51" s="57"/>
      <c r="Z51" s="62"/>
      <c r="AA51" s="62"/>
      <c r="AB51" s="62"/>
      <c r="AC51" s="62"/>
      <c r="AD51" s="62"/>
      <c r="AE51" s="62"/>
      <c r="AF51" s="62"/>
      <c r="AG51" s="62"/>
      <c r="AH51" s="62"/>
      <c r="AI51" s="62"/>
    </row>
    <row r="52" ht="14.25" customHeight="1">
      <c r="X52" s="57"/>
      <c r="Z52" s="62"/>
      <c r="AA52" s="62"/>
      <c r="AB52" s="62"/>
      <c r="AC52" s="62"/>
      <c r="AD52" s="62"/>
      <c r="AE52" s="62"/>
      <c r="AF52" s="62"/>
      <c r="AG52" s="62"/>
      <c r="AH52" s="62"/>
      <c r="AI52" s="62"/>
    </row>
    <row r="53" ht="14.25" customHeight="1">
      <c r="X53" s="57"/>
      <c r="Z53" s="62"/>
      <c r="AA53" s="62"/>
      <c r="AB53" s="62"/>
      <c r="AC53" s="62"/>
      <c r="AD53" s="62"/>
      <c r="AE53" s="62"/>
      <c r="AF53" s="62"/>
      <c r="AG53" s="62"/>
      <c r="AH53" s="62"/>
      <c r="AI53" s="62"/>
    </row>
    <row r="54" ht="14.25" customHeight="1">
      <c r="X54" s="57"/>
      <c r="Z54" s="62"/>
      <c r="AA54" s="62"/>
      <c r="AB54" s="62"/>
      <c r="AC54" s="62"/>
      <c r="AD54" s="62"/>
      <c r="AE54" s="62"/>
      <c r="AF54" s="62"/>
      <c r="AG54" s="62"/>
      <c r="AH54" s="62"/>
      <c r="AI54" s="62"/>
    </row>
    <row r="55" ht="14.25" customHeight="1">
      <c r="X55" s="57"/>
      <c r="Z55" s="62"/>
      <c r="AA55" s="62"/>
      <c r="AB55" s="62"/>
      <c r="AC55" s="62"/>
      <c r="AD55" s="62"/>
      <c r="AE55" s="62"/>
      <c r="AF55" s="62"/>
      <c r="AG55" s="62"/>
      <c r="AH55" s="62"/>
      <c r="AI55" s="62"/>
    </row>
    <row r="56" ht="14.25" customHeight="1">
      <c r="X56" s="57"/>
      <c r="Z56" s="62"/>
      <c r="AA56" s="62"/>
      <c r="AB56" s="62"/>
      <c r="AC56" s="62"/>
      <c r="AD56" s="62"/>
      <c r="AE56" s="62"/>
      <c r="AF56" s="62"/>
      <c r="AG56" s="62"/>
      <c r="AH56" s="62"/>
      <c r="AI56" s="62"/>
    </row>
    <row r="57" ht="14.25" customHeight="1">
      <c r="X57" s="57"/>
      <c r="Z57" s="62"/>
      <c r="AA57" s="62"/>
      <c r="AB57" s="62"/>
      <c r="AC57" s="62"/>
      <c r="AD57" s="62"/>
      <c r="AE57" s="62"/>
      <c r="AF57" s="62"/>
      <c r="AG57" s="62"/>
      <c r="AH57" s="62"/>
      <c r="AI57" s="62"/>
    </row>
    <row r="58" ht="14.25" customHeight="1">
      <c r="X58" s="57"/>
      <c r="Z58" s="62"/>
      <c r="AA58" s="62"/>
      <c r="AB58" s="62"/>
      <c r="AC58" s="62"/>
      <c r="AD58" s="62"/>
      <c r="AE58" s="62"/>
      <c r="AF58" s="62"/>
      <c r="AG58" s="62"/>
      <c r="AH58" s="62"/>
      <c r="AI58" s="62"/>
    </row>
    <row r="59" ht="14.25" customHeight="1">
      <c r="X59" s="57"/>
      <c r="Z59" s="62"/>
      <c r="AA59" s="62"/>
      <c r="AB59" s="62"/>
      <c r="AC59" s="62"/>
      <c r="AD59" s="62"/>
      <c r="AE59" s="62"/>
      <c r="AF59" s="62"/>
      <c r="AG59" s="62"/>
      <c r="AH59" s="62"/>
      <c r="AI59" s="62"/>
    </row>
    <row r="60" ht="14.25" customHeight="1">
      <c r="X60" s="57"/>
      <c r="Z60" s="62"/>
      <c r="AA60" s="62"/>
      <c r="AB60" s="62"/>
      <c r="AC60" s="62"/>
      <c r="AD60" s="62"/>
      <c r="AE60" s="62"/>
      <c r="AF60" s="62"/>
      <c r="AG60" s="62"/>
      <c r="AH60" s="62"/>
      <c r="AI60" s="62"/>
    </row>
    <row r="61" ht="14.25" customHeight="1">
      <c r="X61" s="57"/>
      <c r="Z61" s="62"/>
      <c r="AA61" s="62"/>
      <c r="AB61" s="62"/>
      <c r="AC61" s="62"/>
      <c r="AD61" s="62"/>
      <c r="AE61" s="62"/>
      <c r="AF61" s="62"/>
      <c r="AG61" s="62"/>
      <c r="AH61" s="62"/>
      <c r="AI61" s="62"/>
    </row>
    <row r="62" ht="14.25" customHeight="1">
      <c r="X62" s="57"/>
      <c r="Z62" s="62"/>
      <c r="AA62" s="62"/>
      <c r="AB62" s="62"/>
      <c r="AC62" s="62"/>
      <c r="AD62" s="62"/>
      <c r="AE62" s="62"/>
      <c r="AF62" s="62"/>
      <c r="AG62" s="62"/>
      <c r="AH62" s="62"/>
      <c r="AI62" s="62"/>
    </row>
    <row r="63" ht="14.25" customHeight="1">
      <c r="X63" s="57"/>
      <c r="Z63" s="62"/>
      <c r="AA63" s="62"/>
      <c r="AB63" s="62"/>
      <c r="AC63" s="62"/>
      <c r="AD63" s="62"/>
      <c r="AE63" s="62"/>
      <c r="AF63" s="62"/>
      <c r="AG63" s="62"/>
      <c r="AH63" s="62"/>
      <c r="AI63" s="62"/>
    </row>
    <row r="64" ht="14.25" customHeight="1">
      <c r="X64" s="57"/>
      <c r="Z64" s="62"/>
      <c r="AA64" s="62"/>
      <c r="AB64" s="62"/>
      <c r="AC64" s="62"/>
      <c r="AD64" s="62"/>
      <c r="AE64" s="62"/>
      <c r="AF64" s="62"/>
      <c r="AG64" s="62"/>
      <c r="AH64" s="62"/>
      <c r="AI64" s="62"/>
    </row>
    <row r="65" ht="14.25" customHeight="1">
      <c r="X65" s="57"/>
      <c r="Z65" s="62"/>
      <c r="AA65" s="62"/>
      <c r="AB65" s="62"/>
      <c r="AC65" s="62"/>
      <c r="AD65" s="62"/>
      <c r="AE65" s="62"/>
      <c r="AF65" s="62"/>
      <c r="AG65" s="62"/>
      <c r="AH65" s="62"/>
      <c r="AI65" s="62"/>
    </row>
    <row r="66" ht="14.25" customHeight="1">
      <c r="X66" s="57"/>
      <c r="Z66" s="62"/>
      <c r="AA66" s="62"/>
      <c r="AB66" s="62"/>
      <c r="AC66" s="62"/>
      <c r="AD66" s="62"/>
      <c r="AE66" s="62"/>
      <c r="AF66" s="62"/>
      <c r="AG66" s="62"/>
      <c r="AH66" s="62"/>
      <c r="AI66" s="62"/>
    </row>
    <row r="67" ht="14.25" customHeight="1">
      <c r="X67" s="57"/>
      <c r="Z67" s="62"/>
      <c r="AA67" s="62"/>
      <c r="AB67" s="62"/>
      <c r="AC67" s="62"/>
      <c r="AD67" s="62"/>
      <c r="AE67" s="62"/>
      <c r="AF67" s="62"/>
      <c r="AG67" s="62"/>
      <c r="AH67" s="62"/>
      <c r="AI67" s="62"/>
    </row>
    <row r="68" ht="14.25" customHeight="1">
      <c r="X68" s="57"/>
      <c r="Z68" s="62"/>
      <c r="AA68" s="62"/>
      <c r="AB68" s="62"/>
      <c r="AC68" s="62"/>
      <c r="AD68" s="62"/>
      <c r="AE68" s="62"/>
      <c r="AF68" s="62"/>
      <c r="AG68" s="62"/>
      <c r="AH68" s="62"/>
      <c r="AI68" s="62"/>
    </row>
    <row r="69" ht="14.25" customHeight="1">
      <c r="X69" s="57"/>
      <c r="Z69" s="62"/>
      <c r="AA69" s="62"/>
      <c r="AB69" s="62"/>
      <c r="AC69" s="62"/>
      <c r="AD69" s="62"/>
      <c r="AE69" s="62"/>
      <c r="AF69" s="62"/>
      <c r="AG69" s="62"/>
      <c r="AH69" s="62"/>
      <c r="AI69" s="62"/>
    </row>
    <row r="70" ht="14.25" customHeight="1">
      <c r="X70" s="57"/>
      <c r="Z70" s="62"/>
      <c r="AA70" s="62"/>
      <c r="AB70" s="62"/>
      <c r="AC70" s="62"/>
      <c r="AD70" s="62"/>
      <c r="AE70" s="62"/>
      <c r="AF70" s="62"/>
      <c r="AG70" s="62"/>
      <c r="AH70" s="62"/>
      <c r="AI70" s="62"/>
    </row>
    <row r="71" ht="14.25" customHeight="1">
      <c r="X71" s="57"/>
      <c r="Z71" s="62"/>
      <c r="AA71" s="62"/>
      <c r="AB71" s="62"/>
      <c r="AC71" s="62"/>
      <c r="AD71" s="62"/>
      <c r="AE71" s="62"/>
      <c r="AF71" s="62"/>
      <c r="AG71" s="62"/>
      <c r="AH71" s="62"/>
      <c r="AI71" s="62"/>
    </row>
    <row r="72" ht="14.25" customHeight="1">
      <c r="X72" s="57"/>
      <c r="Z72" s="62"/>
      <c r="AA72" s="62"/>
      <c r="AB72" s="62"/>
      <c r="AC72" s="62"/>
      <c r="AD72" s="62"/>
      <c r="AE72" s="62"/>
      <c r="AF72" s="62"/>
      <c r="AG72" s="62"/>
      <c r="AH72" s="62"/>
      <c r="AI72" s="62"/>
    </row>
    <row r="73" ht="14.25" customHeight="1">
      <c r="X73" s="57"/>
      <c r="Z73" s="62"/>
      <c r="AA73" s="62"/>
      <c r="AB73" s="62"/>
      <c r="AC73" s="62"/>
      <c r="AD73" s="62"/>
      <c r="AE73" s="62"/>
      <c r="AF73" s="62"/>
      <c r="AG73" s="62"/>
      <c r="AH73" s="62"/>
      <c r="AI73" s="62"/>
    </row>
    <row r="74" ht="14.25" customHeight="1">
      <c r="X74" s="57"/>
      <c r="Z74" s="62"/>
      <c r="AA74" s="62"/>
      <c r="AB74" s="62"/>
      <c r="AC74" s="62"/>
      <c r="AD74" s="62"/>
      <c r="AE74" s="62"/>
      <c r="AF74" s="62"/>
      <c r="AG74" s="62"/>
      <c r="AH74" s="62"/>
      <c r="AI74" s="62"/>
    </row>
    <row r="75" ht="14.25" customHeight="1">
      <c r="X75" s="57"/>
      <c r="Z75" s="62"/>
      <c r="AA75" s="62"/>
      <c r="AB75" s="62"/>
      <c r="AC75" s="62"/>
      <c r="AD75" s="62"/>
      <c r="AE75" s="62"/>
      <c r="AF75" s="62"/>
      <c r="AG75" s="62"/>
      <c r="AH75" s="62"/>
      <c r="AI75" s="62"/>
    </row>
    <row r="76" ht="14.25" customHeight="1">
      <c r="X76" s="57"/>
      <c r="Z76" s="62"/>
      <c r="AA76" s="62"/>
      <c r="AB76" s="62"/>
      <c r="AC76" s="62"/>
      <c r="AD76" s="62"/>
      <c r="AE76" s="62"/>
      <c r="AF76" s="62"/>
      <c r="AG76" s="62"/>
      <c r="AH76" s="62"/>
      <c r="AI76" s="62"/>
    </row>
    <row r="77" ht="14.25" customHeight="1">
      <c r="X77" s="57"/>
      <c r="Z77" s="62"/>
      <c r="AA77" s="62"/>
      <c r="AB77" s="62"/>
      <c r="AC77" s="62"/>
      <c r="AD77" s="62"/>
      <c r="AE77" s="62"/>
      <c r="AF77" s="62"/>
      <c r="AG77" s="62"/>
      <c r="AH77" s="62"/>
      <c r="AI77" s="62"/>
    </row>
    <row r="78" ht="14.25" customHeight="1">
      <c r="X78" s="57"/>
      <c r="Z78" s="62"/>
      <c r="AA78" s="62"/>
      <c r="AB78" s="62"/>
      <c r="AC78" s="62"/>
      <c r="AD78" s="62"/>
      <c r="AE78" s="62"/>
      <c r="AF78" s="62"/>
      <c r="AG78" s="62"/>
      <c r="AH78" s="62"/>
      <c r="AI78" s="62"/>
    </row>
    <row r="79" ht="14.25" customHeight="1">
      <c r="X79" s="57"/>
      <c r="Z79" s="62"/>
      <c r="AA79" s="62"/>
      <c r="AB79" s="62"/>
      <c r="AC79" s="62"/>
      <c r="AD79" s="62"/>
      <c r="AE79" s="62"/>
      <c r="AF79" s="62"/>
      <c r="AG79" s="62"/>
      <c r="AH79" s="62"/>
      <c r="AI79" s="62"/>
    </row>
    <row r="80" ht="14.25" customHeight="1">
      <c r="X80" s="57"/>
      <c r="Z80" s="62"/>
      <c r="AA80" s="62"/>
      <c r="AB80" s="62"/>
      <c r="AC80" s="62"/>
      <c r="AD80" s="62"/>
      <c r="AE80" s="62"/>
      <c r="AF80" s="62"/>
      <c r="AG80" s="62"/>
      <c r="AH80" s="62"/>
      <c r="AI80" s="62"/>
    </row>
    <row r="81" ht="14.25" customHeight="1">
      <c r="X81" s="57"/>
      <c r="Z81" s="62"/>
      <c r="AA81" s="62"/>
      <c r="AB81" s="62"/>
      <c r="AC81" s="62"/>
      <c r="AD81" s="62"/>
      <c r="AE81" s="62"/>
      <c r="AF81" s="62"/>
      <c r="AG81" s="62"/>
      <c r="AH81" s="62"/>
      <c r="AI81" s="62"/>
    </row>
    <row r="82" ht="14.25" customHeight="1">
      <c r="X82" s="57"/>
      <c r="Z82" s="62"/>
      <c r="AA82" s="62"/>
      <c r="AB82" s="62"/>
      <c r="AC82" s="62"/>
      <c r="AD82" s="62"/>
      <c r="AE82" s="62"/>
      <c r="AF82" s="62"/>
      <c r="AG82" s="62"/>
      <c r="AH82" s="62"/>
      <c r="AI82" s="62"/>
    </row>
    <row r="83" ht="14.25" customHeight="1">
      <c r="X83" s="57"/>
      <c r="Z83" s="62"/>
      <c r="AA83" s="62"/>
      <c r="AB83" s="62"/>
      <c r="AC83" s="62"/>
      <c r="AD83" s="62"/>
      <c r="AE83" s="62"/>
      <c r="AF83" s="62"/>
      <c r="AG83" s="62"/>
      <c r="AH83" s="62"/>
      <c r="AI83" s="62"/>
    </row>
    <row r="84" ht="14.25" customHeight="1">
      <c r="X84" s="57"/>
      <c r="Z84" s="62"/>
      <c r="AA84" s="62"/>
      <c r="AB84" s="62"/>
      <c r="AC84" s="62"/>
      <c r="AD84" s="62"/>
      <c r="AE84" s="62"/>
      <c r="AF84" s="62"/>
      <c r="AG84" s="62"/>
      <c r="AH84" s="62"/>
      <c r="AI84" s="62"/>
    </row>
    <row r="85" ht="14.25" customHeight="1">
      <c r="X85" s="57"/>
      <c r="Z85" s="62"/>
      <c r="AA85" s="62"/>
      <c r="AB85" s="62"/>
      <c r="AC85" s="62"/>
      <c r="AD85" s="62"/>
      <c r="AE85" s="62"/>
      <c r="AF85" s="62"/>
      <c r="AG85" s="62"/>
      <c r="AH85" s="62"/>
      <c r="AI85" s="62"/>
    </row>
    <row r="86" ht="14.25" customHeight="1">
      <c r="X86" s="57"/>
      <c r="Z86" s="62"/>
      <c r="AA86" s="62"/>
      <c r="AB86" s="62"/>
      <c r="AC86" s="62"/>
      <c r="AD86" s="62"/>
      <c r="AE86" s="62"/>
      <c r="AF86" s="62"/>
      <c r="AG86" s="62"/>
      <c r="AH86" s="62"/>
      <c r="AI86" s="62"/>
    </row>
    <row r="87" ht="14.25" customHeight="1">
      <c r="X87" s="57"/>
      <c r="Z87" s="62"/>
      <c r="AA87" s="62"/>
      <c r="AB87" s="62"/>
      <c r="AC87" s="62"/>
      <c r="AD87" s="62"/>
      <c r="AE87" s="62"/>
      <c r="AF87" s="62"/>
      <c r="AG87" s="62"/>
      <c r="AH87" s="62"/>
      <c r="AI87" s="62"/>
    </row>
    <row r="88" ht="14.25" customHeight="1">
      <c r="X88" s="57"/>
      <c r="Z88" s="62"/>
      <c r="AA88" s="62"/>
      <c r="AB88" s="62"/>
      <c r="AC88" s="62"/>
      <c r="AD88" s="62"/>
      <c r="AE88" s="62"/>
      <c r="AF88" s="62"/>
      <c r="AG88" s="62"/>
      <c r="AH88" s="62"/>
      <c r="AI88" s="62"/>
    </row>
    <row r="89" ht="14.25" customHeight="1">
      <c r="X89" s="57"/>
      <c r="Z89" s="62"/>
      <c r="AA89" s="62"/>
      <c r="AB89" s="62"/>
      <c r="AC89" s="62"/>
      <c r="AD89" s="62"/>
      <c r="AE89" s="62"/>
      <c r="AF89" s="62"/>
      <c r="AG89" s="62"/>
      <c r="AH89" s="62"/>
      <c r="AI89" s="62"/>
    </row>
    <row r="90" ht="14.25" customHeight="1">
      <c r="X90" s="57"/>
      <c r="Z90" s="62"/>
      <c r="AA90" s="62"/>
      <c r="AB90" s="62"/>
      <c r="AC90" s="62"/>
      <c r="AD90" s="62"/>
      <c r="AE90" s="62"/>
      <c r="AF90" s="62"/>
      <c r="AG90" s="62"/>
      <c r="AH90" s="62"/>
      <c r="AI90" s="62"/>
    </row>
    <row r="91" ht="14.25" customHeight="1">
      <c r="X91" s="57"/>
      <c r="Z91" s="62"/>
      <c r="AA91" s="62"/>
      <c r="AB91" s="62"/>
      <c r="AC91" s="62"/>
      <c r="AD91" s="62"/>
      <c r="AE91" s="62"/>
      <c r="AF91" s="62"/>
      <c r="AG91" s="62"/>
      <c r="AH91" s="62"/>
      <c r="AI91" s="62"/>
    </row>
    <row r="92" ht="14.25" customHeight="1">
      <c r="X92" s="57"/>
      <c r="Z92" s="62"/>
      <c r="AA92" s="62"/>
      <c r="AB92" s="62"/>
      <c r="AC92" s="62"/>
      <c r="AD92" s="62"/>
      <c r="AE92" s="62"/>
      <c r="AF92" s="62"/>
      <c r="AG92" s="62"/>
      <c r="AH92" s="62"/>
      <c r="AI92" s="62"/>
    </row>
    <row r="93" ht="14.25" customHeight="1">
      <c r="X93" s="57"/>
      <c r="Z93" s="62"/>
      <c r="AA93" s="62"/>
      <c r="AB93" s="62"/>
      <c r="AC93" s="62"/>
      <c r="AD93" s="62"/>
      <c r="AE93" s="62"/>
      <c r="AF93" s="62"/>
      <c r="AG93" s="62"/>
      <c r="AH93" s="62"/>
      <c r="AI93" s="62"/>
    </row>
    <row r="94" ht="14.25" customHeight="1">
      <c r="X94" s="57"/>
      <c r="Z94" s="62"/>
      <c r="AA94" s="62"/>
      <c r="AB94" s="62"/>
      <c r="AC94" s="62"/>
      <c r="AD94" s="62"/>
      <c r="AE94" s="62"/>
      <c r="AF94" s="62"/>
      <c r="AG94" s="62"/>
      <c r="AH94" s="62"/>
      <c r="AI94" s="62"/>
    </row>
    <row r="95" ht="14.25" customHeight="1">
      <c r="X95" s="57"/>
      <c r="Z95" s="62"/>
      <c r="AA95" s="62"/>
      <c r="AB95" s="62"/>
      <c r="AC95" s="62"/>
      <c r="AD95" s="62"/>
      <c r="AE95" s="62"/>
      <c r="AF95" s="62"/>
      <c r="AG95" s="62"/>
      <c r="AH95" s="62"/>
      <c r="AI95" s="62"/>
    </row>
    <row r="96" ht="14.25" customHeight="1">
      <c r="X96" s="57"/>
      <c r="Z96" s="62"/>
      <c r="AA96" s="62"/>
      <c r="AB96" s="62"/>
      <c r="AC96" s="62"/>
      <c r="AD96" s="62"/>
      <c r="AE96" s="62"/>
      <c r="AF96" s="62"/>
      <c r="AG96" s="62"/>
      <c r="AH96" s="62"/>
      <c r="AI96" s="62"/>
    </row>
    <row r="97" ht="14.25" customHeight="1">
      <c r="X97" s="57"/>
      <c r="Z97" s="62"/>
      <c r="AA97" s="62"/>
      <c r="AB97" s="62"/>
      <c r="AC97" s="62"/>
      <c r="AD97" s="62"/>
      <c r="AE97" s="62"/>
      <c r="AF97" s="62"/>
      <c r="AG97" s="62"/>
      <c r="AH97" s="62"/>
      <c r="AI97" s="62"/>
    </row>
    <row r="98" ht="14.25" customHeight="1">
      <c r="X98" s="57"/>
      <c r="Z98" s="62"/>
      <c r="AA98" s="62"/>
      <c r="AB98" s="62"/>
      <c r="AC98" s="62"/>
      <c r="AD98" s="62"/>
      <c r="AE98" s="62"/>
      <c r="AF98" s="62"/>
      <c r="AG98" s="62"/>
      <c r="AH98" s="62"/>
      <c r="AI98" s="62"/>
    </row>
    <row r="99" ht="14.25" customHeight="1">
      <c r="X99" s="57"/>
      <c r="Z99" s="62"/>
      <c r="AA99" s="62"/>
      <c r="AB99" s="62"/>
      <c r="AC99" s="62"/>
      <c r="AD99" s="62"/>
      <c r="AE99" s="62"/>
      <c r="AF99" s="62"/>
      <c r="AG99" s="62"/>
      <c r="AH99" s="62"/>
      <c r="AI99" s="62"/>
    </row>
    <row r="100" ht="14.25" customHeight="1">
      <c r="X100" s="57"/>
      <c r="Z100" s="62"/>
      <c r="AA100" s="62"/>
      <c r="AB100" s="62"/>
      <c r="AC100" s="62"/>
      <c r="AD100" s="62"/>
      <c r="AE100" s="62"/>
      <c r="AF100" s="62"/>
      <c r="AG100" s="62"/>
      <c r="AH100" s="62"/>
      <c r="AI100" s="62"/>
    </row>
    <row r="101" ht="14.25" customHeight="1">
      <c r="X101" s="57"/>
      <c r="Z101" s="62"/>
      <c r="AA101" s="62"/>
      <c r="AB101" s="62"/>
      <c r="AC101" s="62"/>
      <c r="AD101" s="62"/>
      <c r="AE101" s="62"/>
      <c r="AF101" s="62"/>
      <c r="AG101" s="62"/>
      <c r="AH101" s="62"/>
      <c r="AI101" s="62"/>
    </row>
    <row r="102" ht="14.25" customHeight="1">
      <c r="X102" s="57"/>
      <c r="Z102" s="62"/>
      <c r="AA102" s="62"/>
      <c r="AB102" s="62"/>
      <c r="AC102" s="62"/>
      <c r="AD102" s="62"/>
      <c r="AE102" s="62"/>
      <c r="AF102" s="62"/>
      <c r="AG102" s="62"/>
      <c r="AH102" s="62"/>
      <c r="AI102" s="62"/>
    </row>
    <row r="103" ht="14.25" customHeight="1">
      <c r="X103" s="57"/>
      <c r="Z103" s="62"/>
      <c r="AA103" s="62"/>
      <c r="AB103" s="62"/>
      <c r="AC103" s="62"/>
      <c r="AD103" s="62"/>
      <c r="AE103" s="62"/>
      <c r="AF103" s="62"/>
      <c r="AG103" s="62"/>
      <c r="AH103" s="62"/>
      <c r="AI103" s="62"/>
    </row>
    <row r="104" ht="14.25" customHeight="1">
      <c r="X104" s="57"/>
      <c r="Z104" s="62"/>
      <c r="AA104" s="62"/>
      <c r="AB104" s="62"/>
      <c r="AC104" s="62"/>
      <c r="AD104" s="62"/>
      <c r="AE104" s="62"/>
      <c r="AF104" s="62"/>
      <c r="AG104" s="62"/>
      <c r="AH104" s="62"/>
      <c r="AI104" s="62"/>
    </row>
    <row r="105" ht="14.25" customHeight="1">
      <c r="X105" s="57"/>
      <c r="Z105" s="62"/>
      <c r="AA105" s="62"/>
      <c r="AB105" s="62"/>
      <c r="AC105" s="62"/>
      <c r="AD105" s="62"/>
      <c r="AE105" s="62"/>
      <c r="AF105" s="62"/>
      <c r="AG105" s="62"/>
      <c r="AH105" s="62"/>
      <c r="AI105" s="62"/>
    </row>
    <row r="106" ht="14.25" customHeight="1">
      <c r="X106" s="57"/>
      <c r="Z106" s="62"/>
      <c r="AA106" s="62"/>
      <c r="AB106" s="62"/>
      <c r="AC106" s="62"/>
      <c r="AD106" s="62"/>
      <c r="AE106" s="62"/>
      <c r="AF106" s="62"/>
      <c r="AG106" s="62"/>
      <c r="AH106" s="62"/>
      <c r="AI106" s="62"/>
    </row>
    <row r="107" ht="14.25" customHeight="1">
      <c r="X107" s="57"/>
      <c r="Z107" s="62"/>
      <c r="AA107" s="62"/>
      <c r="AB107" s="62"/>
      <c r="AC107" s="62"/>
      <c r="AD107" s="62"/>
      <c r="AE107" s="62"/>
      <c r="AF107" s="62"/>
      <c r="AG107" s="62"/>
      <c r="AH107" s="62"/>
      <c r="AI107" s="62"/>
    </row>
    <row r="108" ht="14.25" customHeight="1">
      <c r="X108" s="57"/>
      <c r="Z108" s="62"/>
      <c r="AA108" s="62"/>
      <c r="AB108" s="62"/>
      <c r="AC108" s="62"/>
      <c r="AD108" s="62"/>
      <c r="AE108" s="62"/>
      <c r="AF108" s="62"/>
      <c r="AG108" s="62"/>
      <c r="AH108" s="62"/>
      <c r="AI108" s="62"/>
    </row>
    <row r="109" ht="14.25" customHeight="1">
      <c r="X109" s="57"/>
      <c r="Z109" s="62"/>
      <c r="AA109" s="62"/>
      <c r="AB109" s="62"/>
      <c r="AC109" s="62"/>
      <c r="AD109" s="62"/>
      <c r="AE109" s="62"/>
      <c r="AF109" s="62"/>
      <c r="AG109" s="62"/>
      <c r="AH109" s="62"/>
      <c r="AI109" s="62"/>
    </row>
    <row r="110" ht="14.25" customHeight="1">
      <c r="X110" s="57"/>
      <c r="Z110" s="62"/>
      <c r="AA110" s="62"/>
      <c r="AB110" s="62"/>
      <c r="AC110" s="62"/>
      <c r="AD110" s="62"/>
      <c r="AE110" s="62"/>
      <c r="AF110" s="62"/>
      <c r="AG110" s="62"/>
      <c r="AH110" s="62"/>
      <c r="AI110" s="62"/>
    </row>
    <row r="111" ht="14.25" customHeight="1">
      <c r="X111" s="57"/>
      <c r="Z111" s="62"/>
      <c r="AA111" s="62"/>
      <c r="AB111" s="62"/>
      <c r="AC111" s="62"/>
      <c r="AD111" s="62"/>
      <c r="AE111" s="62"/>
      <c r="AF111" s="62"/>
      <c r="AG111" s="62"/>
      <c r="AH111" s="62"/>
      <c r="AI111" s="62"/>
    </row>
    <row r="112" ht="14.25" customHeight="1">
      <c r="X112" s="57"/>
      <c r="Z112" s="62"/>
      <c r="AA112" s="62"/>
      <c r="AB112" s="62"/>
      <c r="AC112" s="62"/>
      <c r="AD112" s="62"/>
      <c r="AE112" s="62"/>
      <c r="AF112" s="62"/>
      <c r="AG112" s="62"/>
      <c r="AH112" s="62"/>
      <c r="AI112" s="62"/>
    </row>
    <row r="113" ht="14.25" customHeight="1">
      <c r="X113" s="57"/>
      <c r="Z113" s="62"/>
      <c r="AA113" s="62"/>
      <c r="AB113" s="62"/>
      <c r="AC113" s="62"/>
      <c r="AD113" s="62"/>
      <c r="AE113" s="62"/>
      <c r="AF113" s="62"/>
      <c r="AG113" s="62"/>
      <c r="AH113" s="62"/>
      <c r="AI113" s="62"/>
    </row>
    <row r="114" ht="14.25" customHeight="1">
      <c r="X114" s="57"/>
      <c r="Z114" s="62"/>
      <c r="AA114" s="62"/>
      <c r="AB114" s="62"/>
      <c r="AC114" s="62"/>
      <c r="AD114" s="62"/>
      <c r="AE114" s="62"/>
      <c r="AF114" s="62"/>
      <c r="AG114" s="62"/>
      <c r="AH114" s="62"/>
      <c r="AI114" s="62"/>
    </row>
    <row r="115" ht="14.25" customHeight="1">
      <c r="X115" s="57"/>
      <c r="Z115" s="62"/>
      <c r="AA115" s="62"/>
      <c r="AB115" s="62"/>
      <c r="AC115" s="62"/>
      <c r="AD115" s="62"/>
      <c r="AE115" s="62"/>
      <c r="AF115" s="62"/>
      <c r="AG115" s="62"/>
      <c r="AH115" s="62"/>
      <c r="AI115" s="62"/>
    </row>
    <row r="116" ht="14.25" customHeight="1">
      <c r="X116" s="57"/>
      <c r="Z116" s="62"/>
      <c r="AA116" s="62"/>
      <c r="AB116" s="62"/>
      <c r="AC116" s="62"/>
      <c r="AD116" s="62"/>
      <c r="AE116" s="62"/>
      <c r="AF116" s="62"/>
      <c r="AG116" s="62"/>
      <c r="AH116" s="62"/>
      <c r="AI116" s="62"/>
    </row>
    <row r="117" ht="14.25" customHeight="1">
      <c r="X117" s="57"/>
      <c r="Z117" s="62"/>
      <c r="AA117" s="62"/>
      <c r="AB117" s="62"/>
      <c r="AC117" s="62"/>
      <c r="AD117" s="62"/>
      <c r="AE117" s="62"/>
      <c r="AF117" s="62"/>
      <c r="AG117" s="62"/>
      <c r="AH117" s="62"/>
      <c r="AI117" s="62"/>
    </row>
    <row r="118" ht="14.25" customHeight="1">
      <c r="X118" s="57"/>
      <c r="Z118" s="62"/>
      <c r="AA118" s="62"/>
      <c r="AB118" s="62"/>
      <c r="AC118" s="62"/>
      <c r="AD118" s="62"/>
      <c r="AE118" s="62"/>
      <c r="AF118" s="62"/>
      <c r="AG118" s="62"/>
      <c r="AH118" s="62"/>
      <c r="AI118" s="62"/>
    </row>
    <row r="119" ht="14.25" customHeight="1">
      <c r="X119" s="57"/>
      <c r="Z119" s="62"/>
      <c r="AA119" s="62"/>
      <c r="AB119" s="62"/>
      <c r="AC119" s="62"/>
      <c r="AD119" s="62"/>
      <c r="AE119" s="62"/>
      <c r="AF119" s="62"/>
      <c r="AG119" s="62"/>
      <c r="AH119" s="62"/>
      <c r="AI119" s="62"/>
    </row>
    <row r="120" ht="14.25" customHeight="1">
      <c r="X120" s="57"/>
      <c r="Z120" s="62"/>
      <c r="AA120" s="62"/>
      <c r="AB120" s="62"/>
      <c r="AC120" s="62"/>
      <c r="AD120" s="62"/>
      <c r="AE120" s="62"/>
      <c r="AF120" s="62"/>
      <c r="AG120" s="62"/>
      <c r="AH120" s="62"/>
      <c r="AI120" s="62"/>
    </row>
    <row r="121" ht="14.25" customHeight="1">
      <c r="X121" s="57"/>
      <c r="Z121" s="62"/>
      <c r="AA121" s="62"/>
      <c r="AB121" s="62"/>
      <c r="AC121" s="62"/>
      <c r="AD121" s="62"/>
      <c r="AE121" s="62"/>
      <c r="AF121" s="62"/>
      <c r="AG121" s="62"/>
      <c r="AH121" s="62"/>
      <c r="AI121" s="62"/>
    </row>
    <row r="122" ht="14.25" customHeight="1">
      <c r="X122" s="57"/>
      <c r="Z122" s="62"/>
      <c r="AA122" s="62"/>
      <c r="AB122" s="62"/>
      <c r="AC122" s="62"/>
      <c r="AD122" s="62"/>
      <c r="AE122" s="62"/>
      <c r="AF122" s="62"/>
      <c r="AG122" s="62"/>
      <c r="AH122" s="62"/>
      <c r="AI122" s="62"/>
    </row>
    <row r="123" ht="14.25" customHeight="1">
      <c r="X123" s="57"/>
      <c r="Z123" s="62"/>
      <c r="AA123" s="62"/>
      <c r="AB123" s="62"/>
      <c r="AC123" s="62"/>
      <c r="AD123" s="62"/>
      <c r="AE123" s="62"/>
      <c r="AF123" s="62"/>
      <c r="AG123" s="62"/>
      <c r="AH123" s="62"/>
      <c r="AI123" s="62"/>
    </row>
    <row r="124" ht="14.25" customHeight="1">
      <c r="X124" s="57"/>
      <c r="Z124" s="62"/>
      <c r="AA124" s="62"/>
      <c r="AB124" s="62"/>
      <c r="AC124" s="62"/>
      <c r="AD124" s="62"/>
      <c r="AE124" s="62"/>
      <c r="AF124" s="62"/>
      <c r="AG124" s="62"/>
      <c r="AH124" s="62"/>
      <c r="AI124" s="62"/>
    </row>
    <row r="125" ht="14.25" customHeight="1">
      <c r="X125" s="57"/>
      <c r="Z125" s="62"/>
      <c r="AA125" s="62"/>
      <c r="AB125" s="62"/>
      <c r="AC125" s="62"/>
      <c r="AD125" s="62"/>
      <c r="AE125" s="62"/>
      <c r="AF125" s="62"/>
      <c r="AG125" s="62"/>
      <c r="AH125" s="62"/>
      <c r="AI125" s="62"/>
    </row>
    <row r="126" ht="14.25" customHeight="1">
      <c r="X126" s="57"/>
      <c r="Z126" s="62"/>
      <c r="AA126" s="62"/>
      <c r="AB126" s="62"/>
      <c r="AC126" s="62"/>
      <c r="AD126" s="62"/>
      <c r="AE126" s="62"/>
      <c r="AF126" s="62"/>
      <c r="AG126" s="62"/>
      <c r="AH126" s="62"/>
      <c r="AI126" s="62"/>
    </row>
    <row r="127" ht="14.25" customHeight="1">
      <c r="X127" s="57"/>
      <c r="Z127" s="62"/>
      <c r="AA127" s="62"/>
      <c r="AB127" s="62"/>
      <c r="AC127" s="62"/>
      <c r="AD127" s="62"/>
      <c r="AE127" s="62"/>
      <c r="AF127" s="62"/>
      <c r="AG127" s="62"/>
      <c r="AH127" s="62"/>
      <c r="AI127" s="62"/>
    </row>
    <row r="128" ht="14.25" customHeight="1">
      <c r="X128" s="57"/>
      <c r="Z128" s="62"/>
      <c r="AA128" s="62"/>
      <c r="AB128" s="62"/>
      <c r="AC128" s="62"/>
      <c r="AD128" s="62"/>
      <c r="AE128" s="62"/>
      <c r="AF128" s="62"/>
      <c r="AG128" s="62"/>
      <c r="AH128" s="62"/>
      <c r="AI128" s="62"/>
    </row>
    <row r="129" ht="14.25" customHeight="1">
      <c r="X129" s="57"/>
      <c r="Z129" s="62"/>
      <c r="AA129" s="62"/>
      <c r="AB129" s="62"/>
      <c r="AC129" s="62"/>
      <c r="AD129" s="62"/>
      <c r="AE129" s="62"/>
      <c r="AF129" s="62"/>
      <c r="AG129" s="62"/>
      <c r="AH129" s="62"/>
      <c r="AI129" s="62"/>
    </row>
    <row r="130" ht="14.25" customHeight="1">
      <c r="X130" s="57"/>
      <c r="Z130" s="62"/>
      <c r="AA130" s="62"/>
      <c r="AB130" s="62"/>
      <c r="AC130" s="62"/>
      <c r="AD130" s="62"/>
      <c r="AE130" s="62"/>
      <c r="AF130" s="62"/>
      <c r="AG130" s="62"/>
      <c r="AH130" s="62"/>
      <c r="AI130" s="62"/>
    </row>
    <row r="131" ht="14.25" customHeight="1">
      <c r="X131" s="57"/>
      <c r="Z131" s="62"/>
      <c r="AA131" s="62"/>
      <c r="AB131" s="62"/>
      <c r="AC131" s="62"/>
      <c r="AD131" s="62"/>
      <c r="AE131" s="62"/>
      <c r="AF131" s="62"/>
      <c r="AG131" s="62"/>
      <c r="AH131" s="62"/>
      <c r="AI131" s="62"/>
    </row>
    <row r="132" ht="14.25" customHeight="1">
      <c r="X132" s="57"/>
      <c r="Z132" s="62"/>
      <c r="AA132" s="62"/>
      <c r="AB132" s="62"/>
      <c r="AC132" s="62"/>
      <c r="AD132" s="62"/>
      <c r="AE132" s="62"/>
      <c r="AF132" s="62"/>
      <c r="AG132" s="62"/>
      <c r="AH132" s="62"/>
      <c r="AI132" s="62"/>
    </row>
    <row r="133" ht="14.25" customHeight="1">
      <c r="X133" s="57"/>
      <c r="Z133" s="62"/>
      <c r="AA133" s="62"/>
      <c r="AB133" s="62"/>
      <c r="AC133" s="62"/>
      <c r="AD133" s="62"/>
      <c r="AE133" s="62"/>
      <c r="AF133" s="62"/>
      <c r="AG133" s="62"/>
      <c r="AH133" s="62"/>
      <c r="AI133" s="62"/>
    </row>
    <row r="134" ht="14.25" customHeight="1">
      <c r="X134" s="57"/>
      <c r="Z134" s="62"/>
      <c r="AA134" s="62"/>
      <c r="AB134" s="62"/>
      <c r="AC134" s="62"/>
      <c r="AD134" s="62"/>
      <c r="AE134" s="62"/>
      <c r="AF134" s="62"/>
      <c r="AG134" s="62"/>
      <c r="AH134" s="62"/>
      <c r="AI134" s="62"/>
    </row>
    <row r="135" ht="14.25" customHeight="1">
      <c r="X135" s="57"/>
      <c r="Z135" s="62"/>
      <c r="AA135" s="62"/>
      <c r="AB135" s="62"/>
      <c r="AC135" s="62"/>
      <c r="AD135" s="62"/>
      <c r="AE135" s="62"/>
      <c r="AF135" s="62"/>
      <c r="AG135" s="62"/>
      <c r="AH135" s="62"/>
      <c r="AI135" s="62"/>
    </row>
    <row r="136" ht="14.25" customHeight="1">
      <c r="X136" s="57"/>
      <c r="Z136" s="62"/>
      <c r="AA136" s="62"/>
      <c r="AB136" s="62"/>
      <c r="AC136" s="62"/>
      <c r="AD136" s="62"/>
      <c r="AE136" s="62"/>
      <c r="AF136" s="62"/>
      <c r="AG136" s="62"/>
      <c r="AH136" s="62"/>
      <c r="AI136" s="62"/>
    </row>
    <row r="137" ht="14.25" customHeight="1">
      <c r="X137" s="57"/>
      <c r="Z137" s="62"/>
      <c r="AA137" s="62"/>
      <c r="AB137" s="62"/>
      <c r="AC137" s="62"/>
      <c r="AD137" s="62"/>
      <c r="AE137" s="62"/>
      <c r="AF137" s="62"/>
      <c r="AG137" s="62"/>
      <c r="AH137" s="62"/>
      <c r="AI137" s="62"/>
    </row>
    <row r="138" ht="14.25" customHeight="1">
      <c r="X138" s="57"/>
      <c r="Z138" s="62"/>
      <c r="AA138" s="62"/>
      <c r="AB138" s="62"/>
      <c r="AC138" s="62"/>
      <c r="AD138" s="62"/>
      <c r="AE138" s="62"/>
      <c r="AF138" s="62"/>
      <c r="AG138" s="62"/>
      <c r="AH138" s="62"/>
      <c r="AI138" s="62"/>
    </row>
    <row r="139" ht="14.25" customHeight="1">
      <c r="X139" s="57"/>
      <c r="Z139" s="62"/>
      <c r="AA139" s="62"/>
      <c r="AB139" s="62"/>
      <c r="AC139" s="62"/>
      <c r="AD139" s="62"/>
      <c r="AE139" s="62"/>
      <c r="AF139" s="62"/>
      <c r="AG139" s="62"/>
      <c r="AH139" s="62"/>
      <c r="AI139" s="62"/>
    </row>
    <row r="140" ht="14.25" customHeight="1">
      <c r="X140" s="57"/>
      <c r="Z140" s="62"/>
      <c r="AA140" s="62"/>
      <c r="AB140" s="62"/>
      <c r="AC140" s="62"/>
      <c r="AD140" s="62"/>
      <c r="AE140" s="62"/>
      <c r="AF140" s="62"/>
      <c r="AG140" s="62"/>
      <c r="AH140" s="62"/>
      <c r="AI140" s="62"/>
    </row>
    <row r="141" ht="14.25" customHeight="1">
      <c r="X141" s="57"/>
      <c r="Z141" s="62"/>
      <c r="AA141" s="62"/>
      <c r="AB141" s="62"/>
      <c r="AC141" s="62"/>
      <c r="AD141" s="62"/>
      <c r="AE141" s="62"/>
      <c r="AF141" s="62"/>
      <c r="AG141" s="62"/>
      <c r="AH141" s="62"/>
      <c r="AI141" s="62"/>
    </row>
    <row r="142" ht="14.25" customHeight="1">
      <c r="X142" s="57"/>
      <c r="Z142" s="62"/>
      <c r="AA142" s="62"/>
      <c r="AB142" s="62"/>
      <c r="AC142" s="62"/>
      <c r="AD142" s="62"/>
      <c r="AE142" s="62"/>
      <c r="AF142" s="62"/>
      <c r="AG142" s="62"/>
      <c r="AH142" s="62"/>
      <c r="AI142" s="62"/>
    </row>
    <row r="143" ht="14.25" customHeight="1">
      <c r="X143" s="57"/>
      <c r="Z143" s="62"/>
      <c r="AA143" s="62"/>
      <c r="AB143" s="62"/>
      <c r="AC143" s="62"/>
      <c r="AD143" s="62"/>
      <c r="AE143" s="62"/>
      <c r="AF143" s="62"/>
      <c r="AG143" s="62"/>
      <c r="AH143" s="62"/>
      <c r="AI143" s="62"/>
    </row>
    <row r="144" ht="14.25" customHeight="1">
      <c r="X144" s="57"/>
      <c r="Z144" s="62"/>
      <c r="AA144" s="62"/>
      <c r="AB144" s="62"/>
      <c r="AC144" s="62"/>
      <c r="AD144" s="62"/>
      <c r="AE144" s="62"/>
      <c r="AF144" s="62"/>
      <c r="AG144" s="62"/>
      <c r="AH144" s="62"/>
      <c r="AI144" s="62"/>
    </row>
    <row r="145" ht="14.25" customHeight="1">
      <c r="X145" s="57"/>
      <c r="Z145" s="62"/>
      <c r="AA145" s="62"/>
      <c r="AB145" s="62"/>
      <c r="AC145" s="62"/>
      <c r="AD145" s="62"/>
      <c r="AE145" s="62"/>
      <c r="AF145" s="62"/>
      <c r="AG145" s="62"/>
      <c r="AH145" s="62"/>
      <c r="AI145" s="62"/>
    </row>
    <row r="146" ht="14.25" customHeight="1">
      <c r="X146" s="57"/>
      <c r="Z146" s="62"/>
      <c r="AA146" s="62"/>
      <c r="AB146" s="62"/>
      <c r="AC146" s="62"/>
      <c r="AD146" s="62"/>
      <c r="AE146" s="62"/>
      <c r="AF146" s="62"/>
      <c r="AG146" s="62"/>
      <c r="AH146" s="62"/>
      <c r="AI146" s="62"/>
    </row>
    <row r="147" ht="14.25" customHeight="1">
      <c r="X147" s="57"/>
      <c r="Z147" s="62"/>
      <c r="AA147" s="62"/>
      <c r="AB147" s="62"/>
      <c r="AC147" s="62"/>
      <c r="AD147" s="62"/>
      <c r="AE147" s="62"/>
      <c r="AF147" s="62"/>
      <c r="AG147" s="62"/>
      <c r="AH147" s="62"/>
      <c r="AI147" s="62"/>
    </row>
    <row r="148" ht="14.25" customHeight="1">
      <c r="X148" s="57"/>
      <c r="Z148" s="62"/>
      <c r="AA148" s="62"/>
      <c r="AB148" s="62"/>
      <c r="AC148" s="62"/>
      <c r="AD148" s="62"/>
      <c r="AE148" s="62"/>
      <c r="AF148" s="62"/>
      <c r="AG148" s="62"/>
      <c r="AH148" s="62"/>
      <c r="AI148" s="62"/>
    </row>
    <row r="149" ht="14.25" customHeight="1">
      <c r="X149" s="57"/>
      <c r="Z149" s="62"/>
      <c r="AA149" s="62"/>
      <c r="AB149" s="62"/>
      <c r="AC149" s="62"/>
      <c r="AD149" s="62"/>
      <c r="AE149" s="62"/>
      <c r="AF149" s="62"/>
      <c r="AG149" s="62"/>
      <c r="AH149" s="62"/>
      <c r="AI149" s="62"/>
    </row>
    <row r="150" ht="14.25" customHeight="1">
      <c r="X150" s="57"/>
      <c r="Z150" s="62"/>
      <c r="AA150" s="62"/>
      <c r="AB150" s="62"/>
      <c r="AC150" s="62"/>
      <c r="AD150" s="62"/>
      <c r="AE150" s="62"/>
      <c r="AF150" s="62"/>
      <c r="AG150" s="62"/>
      <c r="AH150" s="62"/>
      <c r="AI150" s="62"/>
    </row>
    <row r="151" ht="14.25" customHeight="1">
      <c r="X151" s="57"/>
      <c r="Z151" s="62"/>
      <c r="AA151" s="62"/>
      <c r="AB151" s="62"/>
      <c r="AC151" s="62"/>
      <c r="AD151" s="62"/>
      <c r="AE151" s="62"/>
      <c r="AF151" s="62"/>
      <c r="AG151" s="62"/>
      <c r="AH151" s="62"/>
      <c r="AI151" s="62"/>
    </row>
    <row r="152" ht="14.25" customHeight="1">
      <c r="X152" s="57"/>
      <c r="Z152" s="62"/>
      <c r="AA152" s="62"/>
      <c r="AB152" s="62"/>
      <c r="AC152" s="62"/>
      <c r="AD152" s="62"/>
      <c r="AE152" s="62"/>
      <c r="AF152" s="62"/>
      <c r="AG152" s="62"/>
      <c r="AH152" s="62"/>
      <c r="AI152" s="62"/>
    </row>
    <row r="153" ht="14.25" customHeight="1">
      <c r="X153" s="57"/>
      <c r="Z153" s="62"/>
      <c r="AA153" s="62"/>
      <c r="AB153" s="62"/>
      <c r="AC153" s="62"/>
      <c r="AD153" s="62"/>
      <c r="AE153" s="62"/>
      <c r="AF153" s="62"/>
      <c r="AG153" s="62"/>
      <c r="AH153" s="62"/>
      <c r="AI153" s="62"/>
    </row>
    <row r="154" ht="14.25" customHeight="1">
      <c r="X154" s="57"/>
      <c r="Z154" s="62"/>
      <c r="AA154" s="62"/>
      <c r="AB154" s="62"/>
      <c r="AC154" s="62"/>
      <c r="AD154" s="62"/>
      <c r="AE154" s="62"/>
      <c r="AF154" s="62"/>
      <c r="AG154" s="62"/>
      <c r="AH154" s="62"/>
      <c r="AI154" s="62"/>
    </row>
    <row r="155" ht="14.25" customHeight="1">
      <c r="X155" s="57"/>
      <c r="Z155" s="62"/>
      <c r="AA155" s="62"/>
      <c r="AB155" s="62"/>
      <c r="AC155" s="62"/>
      <c r="AD155" s="62"/>
      <c r="AE155" s="62"/>
      <c r="AF155" s="62"/>
      <c r="AG155" s="62"/>
      <c r="AH155" s="62"/>
      <c r="AI155" s="62"/>
    </row>
    <row r="156" ht="14.25" customHeight="1">
      <c r="X156" s="57"/>
      <c r="Z156" s="62"/>
      <c r="AA156" s="62"/>
      <c r="AB156" s="62"/>
      <c r="AC156" s="62"/>
      <c r="AD156" s="62"/>
      <c r="AE156" s="62"/>
      <c r="AF156" s="62"/>
      <c r="AG156" s="62"/>
      <c r="AH156" s="62"/>
      <c r="AI156" s="62"/>
    </row>
    <row r="157" ht="14.25" customHeight="1">
      <c r="X157" s="57"/>
      <c r="Z157" s="62"/>
      <c r="AA157" s="62"/>
      <c r="AB157" s="62"/>
      <c r="AC157" s="62"/>
      <c r="AD157" s="62"/>
      <c r="AE157" s="62"/>
      <c r="AF157" s="62"/>
      <c r="AG157" s="62"/>
      <c r="AH157" s="62"/>
      <c r="AI157" s="62"/>
    </row>
    <row r="158" ht="14.25" customHeight="1">
      <c r="X158" s="57"/>
      <c r="Z158" s="62"/>
      <c r="AA158" s="62"/>
      <c r="AB158" s="62"/>
      <c r="AC158" s="62"/>
      <c r="AD158" s="62"/>
      <c r="AE158" s="62"/>
      <c r="AF158" s="62"/>
      <c r="AG158" s="62"/>
      <c r="AH158" s="62"/>
      <c r="AI158" s="62"/>
    </row>
    <row r="159" ht="14.25" customHeight="1">
      <c r="X159" s="57"/>
      <c r="Z159" s="62"/>
      <c r="AA159" s="62"/>
      <c r="AB159" s="62"/>
      <c r="AC159" s="62"/>
      <c r="AD159" s="62"/>
      <c r="AE159" s="62"/>
      <c r="AF159" s="62"/>
      <c r="AG159" s="62"/>
      <c r="AH159" s="62"/>
      <c r="AI159" s="62"/>
    </row>
    <row r="160" ht="14.25" customHeight="1">
      <c r="X160" s="57"/>
      <c r="Z160" s="62"/>
      <c r="AA160" s="62"/>
      <c r="AB160" s="62"/>
      <c r="AC160" s="62"/>
      <c r="AD160" s="62"/>
      <c r="AE160" s="62"/>
      <c r="AF160" s="62"/>
      <c r="AG160" s="62"/>
      <c r="AH160" s="62"/>
      <c r="AI160" s="62"/>
    </row>
    <row r="161" ht="14.25" customHeight="1">
      <c r="X161" s="57"/>
      <c r="Z161" s="62"/>
      <c r="AA161" s="62"/>
      <c r="AB161" s="62"/>
      <c r="AC161" s="62"/>
      <c r="AD161" s="62"/>
      <c r="AE161" s="62"/>
      <c r="AF161" s="62"/>
      <c r="AG161" s="62"/>
      <c r="AH161" s="62"/>
      <c r="AI161" s="62"/>
    </row>
    <row r="162" ht="14.25" customHeight="1">
      <c r="X162" s="57"/>
      <c r="Z162" s="62"/>
      <c r="AA162" s="62"/>
      <c r="AB162" s="62"/>
      <c r="AC162" s="62"/>
      <c r="AD162" s="62"/>
      <c r="AE162" s="62"/>
      <c r="AF162" s="62"/>
      <c r="AG162" s="62"/>
      <c r="AH162" s="62"/>
      <c r="AI162" s="62"/>
    </row>
    <row r="163" ht="14.25" customHeight="1">
      <c r="X163" s="57"/>
      <c r="Z163" s="62"/>
      <c r="AA163" s="62"/>
      <c r="AB163" s="62"/>
      <c r="AC163" s="62"/>
      <c r="AD163" s="62"/>
      <c r="AE163" s="62"/>
      <c r="AF163" s="62"/>
      <c r="AG163" s="62"/>
      <c r="AH163" s="62"/>
      <c r="AI163" s="62"/>
    </row>
    <row r="164" ht="14.25" customHeight="1">
      <c r="X164" s="57"/>
      <c r="Z164" s="62"/>
      <c r="AA164" s="62"/>
      <c r="AB164" s="62"/>
      <c r="AC164" s="62"/>
      <c r="AD164" s="62"/>
      <c r="AE164" s="62"/>
      <c r="AF164" s="62"/>
      <c r="AG164" s="62"/>
      <c r="AH164" s="62"/>
      <c r="AI164" s="62"/>
    </row>
    <row r="165" ht="14.25" customHeight="1">
      <c r="X165" s="57"/>
      <c r="Z165" s="62"/>
      <c r="AA165" s="62"/>
      <c r="AB165" s="62"/>
      <c r="AC165" s="62"/>
      <c r="AD165" s="62"/>
      <c r="AE165" s="62"/>
      <c r="AF165" s="62"/>
      <c r="AG165" s="62"/>
      <c r="AH165" s="62"/>
      <c r="AI165" s="62"/>
    </row>
    <row r="166" ht="14.25" customHeight="1">
      <c r="X166" s="57"/>
      <c r="Z166" s="62"/>
      <c r="AA166" s="62"/>
      <c r="AB166" s="62"/>
      <c r="AC166" s="62"/>
      <c r="AD166" s="62"/>
      <c r="AE166" s="62"/>
      <c r="AF166" s="62"/>
      <c r="AG166" s="62"/>
      <c r="AH166" s="62"/>
      <c r="AI166" s="62"/>
    </row>
    <row r="167" ht="14.25" customHeight="1">
      <c r="X167" s="57"/>
      <c r="Z167" s="62"/>
      <c r="AA167" s="62"/>
      <c r="AB167" s="62"/>
      <c r="AC167" s="62"/>
      <c r="AD167" s="62"/>
      <c r="AE167" s="62"/>
      <c r="AF167" s="62"/>
      <c r="AG167" s="62"/>
      <c r="AH167" s="62"/>
      <c r="AI167" s="62"/>
    </row>
    <row r="168" ht="14.25" customHeight="1">
      <c r="X168" s="57"/>
      <c r="Z168" s="62"/>
      <c r="AA168" s="62"/>
      <c r="AB168" s="62"/>
      <c r="AC168" s="62"/>
      <c r="AD168" s="62"/>
      <c r="AE168" s="62"/>
      <c r="AF168" s="62"/>
      <c r="AG168" s="62"/>
      <c r="AH168" s="62"/>
      <c r="AI168" s="62"/>
    </row>
    <row r="169" ht="14.25" customHeight="1">
      <c r="X169" s="57"/>
      <c r="Z169" s="62"/>
      <c r="AA169" s="62"/>
      <c r="AB169" s="62"/>
      <c r="AC169" s="62"/>
      <c r="AD169" s="62"/>
      <c r="AE169" s="62"/>
      <c r="AF169" s="62"/>
      <c r="AG169" s="62"/>
      <c r="AH169" s="62"/>
      <c r="AI169" s="62"/>
    </row>
    <row r="170" ht="14.25" customHeight="1">
      <c r="X170" s="57"/>
      <c r="Z170" s="62"/>
      <c r="AA170" s="62"/>
      <c r="AB170" s="62"/>
      <c r="AC170" s="62"/>
      <c r="AD170" s="62"/>
      <c r="AE170" s="62"/>
      <c r="AF170" s="62"/>
      <c r="AG170" s="62"/>
      <c r="AH170" s="62"/>
      <c r="AI170" s="62"/>
    </row>
    <row r="171" ht="14.25" customHeight="1">
      <c r="X171" s="57"/>
      <c r="Z171" s="62"/>
      <c r="AA171" s="62"/>
      <c r="AB171" s="62"/>
      <c r="AC171" s="62"/>
      <c r="AD171" s="62"/>
      <c r="AE171" s="62"/>
      <c r="AF171" s="62"/>
      <c r="AG171" s="62"/>
      <c r="AH171" s="62"/>
      <c r="AI171" s="62"/>
    </row>
    <row r="172" ht="14.25" customHeight="1">
      <c r="X172" s="57"/>
      <c r="Z172" s="62"/>
      <c r="AA172" s="62"/>
      <c r="AB172" s="62"/>
      <c r="AC172" s="62"/>
      <c r="AD172" s="62"/>
      <c r="AE172" s="62"/>
      <c r="AF172" s="62"/>
      <c r="AG172" s="62"/>
      <c r="AH172" s="62"/>
      <c r="AI172" s="62"/>
    </row>
    <row r="173" ht="14.25" customHeight="1">
      <c r="X173" s="57"/>
      <c r="Z173" s="62"/>
      <c r="AA173" s="62"/>
      <c r="AB173" s="62"/>
      <c r="AC173" s="62"/>
      <c r="AD173" s="62"/>
      <c r="AE173" s="62"/>
      <c r="AF173" s="62"/>
      <c r="AG173" s="62"/>
      <c r="AH173" s="62"/>
      <c r="AI173" s="62"/>
    </row>
    <row r="174" ht="14.25" customHeight="1">
      <c r="X174" s="57"/>
      <c r="Z174" s="62"/>
      <c r="AA174" s="62"/>
      <c r="AB174" s="62"/>
      <c r="AC174" s="62"/>
      <c r="AD174" s="62"/>
      <c r="AE174" s="62"/>
      <c r="AF174" s="62"/>
      <c r="AG174" s="62"/>
      <c r="AH174" s="62"/>
      <c r="AI174" s="62"/>
    </row>
    <row r="175" ht="14.25" customHeight="1">
      <c r="X175" s="57"/>
      <c r="Z175" s="62"/>
      <c r="AA175" s="62"/>
      <c r="AB175" s="62"/>
      <c r="AC175" s="62"/>
      <c r="AD175" s="62"/>
      <c r="AE175" s="62"/>
      <c r="AF175" s="62"/>
      <c r="AG175" s="62"/>
      <c r="AH175" s="62"/>
      <c r="AI175" s="62"/>
    </row>
    <row r="176" ht="14.25" customHeight="1">
      <c r="X176" s="57"/>
      <c r="Z176" s="62"/>
      <c r="AA176" s="62"/>
      <c r="AB176" s="62"/>
      <c r="AC176" s="62"/>
      <c r="AD176" s="62"/>
      <c r="AE176" s="62"/>
      <c r="AF176" s="62"/>
      <c r="AG176" s="62"/>
      <c r="AH176" s="62"/>
      <c r="AI176" s="62"/>
    </row>
    <row r="177" ht="14.25" customHeight="1">
      <c r="X177" s="57"/>
      <c r="Z177" s="62"/>
      <c r="AA177" s="62"/>
      <c r="AB177" s="62"/>
      <c r="AC177" s="62"/>
      <c r="AD177" s="62"/>
      <c r="AE177" s="62"/>
      <c r="AF177" s="62"/>
      <c r="AG177" s="62"/>
      <c r="AH177" s="62"/>
      <c r="AI177" s="62"/>
    </row>
    <row r="178" ht="14.25" customHeight="1">
      <c r="X178" s="57"/>
      <c r="Z178" s="62"/>
      <c r="AA178" s="62"/>
      <c r="AB178" s="62"/>
      <c r="AC178" s="62"/>
      <c r="AD178" s="62"/>
      <c r="AE178" s="62"/>
      <c r="AF178" s="62"/>
      <c r="AG178" s="62"/>
      <c r="AH178" s="62"/>
      <c r="AI178" s="62"/>
    </row>
    <row r="179" ht="14.25" customHeight="1">
      <c r="X179" s="57"/>
      <c r="Z179" s="62"/>
      <c r="AA179" s="62"/>
      <c r="AB179" s="62"/>
      <c r="AC179" s="62"/>
      <c r="AD179" s="62"/>
      <c r="AE179" s="62"/>
      <c r="AF179" s="62"/>
      <c r="AG179" s="62"/>
      <c r="AH179" s="62"/>
      <c r="AI179" s="62"/>
    </row>
    <row r="180" ht="14.25" customHeight="1">
      <c r="X180" s="57"/>
      <c r="Z180" s="62"/>
      <c r="AA180" s="62"/>
      <c r="AB180" s="62"/>
      <c r="AC180" s="62"/>
      <c r="AD180" s="62"/>
      <c r="AE180" s="62"/>
      <c r="AF180" s="62"/>
      <c r="AG180" s="62"/>
      <c r="AH180" s="62"/>
      <c r="AI180" s="62"/>
    </row>
    <row r="181" ht="14.25" customHeight="1">
      <c r="X181" s="57"/>
      <c r="Z181" s="62"/>
      <c r="AA181" s="62"/>
      <c r="AB181" s="62"/>
      <c r="AC181" s="62"/>
      <c r="AD181" s="62"/>
      <c r="AE181" s="62"/>
      <c r="AF181" s="62"/>
      <c r="AG181" s="62"/>
      <c r="AH181" s="62"/>
      <c r="AI181" s="62"/>
    </row>
    <row r="182" ht="14.25" customHeight="1">
      <c r="X182" s="57"/>
      <c r="Z182" s="62"/>
      <c r="AA182" s="62"/>
      <c r="AB182" s="62"/>
      <c r="AC182" s="62"/>
      <c r="AD182" s="62"/>
      <c r="AE182" s="62"/>
      <c r="AF182" s="62"/>
      <c r="AG182" s="62"/>
      <c r="AH182" s="62"/>
      <c r="AI182" s="62"/>
    </row>
    <row r="183" ht="14.25" customHeight="1">
      <c r="X183" s="57"/>
      <c r="Z183" s="62"/>
      <c r="AA183" s="62"/>
      <c r="AB183" s="62"/>
      <c r="AC183" s="62"/>
      <c r="AD183" s="62"/>
      <c r="AE183" s="62"/>
      <c r="AF183" s="62"/>
      <c r="AG183" s="62"/>
      <c r="AH183" s="62"/>
      <c r="AI183" s="62"/>
    </row>
    <row r="184" ht="14.25" customHeight="1">
      <c r="X184" s="57"/>
      <c r="Z184" s="62"/>
      <c r="AA184" s="62"/>
      <c r="AB184" s="62"/>
      <c r="AC184" s="62"/>
      <c r="AD184" s="62"/>
      <c r="AE184" s="62"/>
      <c r="AF184" s="62"/>
      <c r="AG184" s="62"/>
      <c r="AH184" s="62"/>
      <c r="AI184" s="62"/>
    </row>
    <row r="185" ht="14.25" customHeight="1">
      <c r="X185" s="57"/>
      <c r="Z185" s="62"/>
      <c r="AA185" s="62"/>
      <c r="AB185" s="62"/>
      <c r="AC185" s="62"/>
      <c r="AD185" s="62"/>
      <c r="AE185" s="62"/>
      <c r="AF185" s="62"/>
      <c r="AG185" s="62"/>
      <c r="AH185" s="62"/>
      <c r="AI185" s="62"/>
    </row>
    <row r="186" ht="14.25" customHeight="1">
      <c r="X186" s="57"/>
      <c r="Z186" s="62"/>
      <c r="AA186" s="62"/>
      <c r="AB186" s="62"/>
      <c r="AC186" s="62"/>
      <c r="AD186" s="62"/>
      <c r="AE186" s="62"/>
      <c r="AF186" s="62"/>
      <c r="AG186" s="62"/>
      <c r="AH186" s="62"/>
      <c r="AI186" s="62"/>
    </row>
    <row r="187" ht="14.25" customHeight="1">
      <c r="X187" s="57"/>
      <c r="Z187" s="62"/>
      <c r="AA187" s="62"/>
      <c r="AB187" s="62"/>
      <c r="AC187" s="62"/>
      <c r="AD187" s="62"/>
      <c r="AE187" s="62"/>
      <c r="AF187" s="62"/>
      <c r="AG187" s="62"/>
      <c r="AH187" s="62"/>
      <c r="AI187" s="62"/>
    </row>
    <row r="188" ht="14.25" customHeight="1">
      <c r="X188" s="57"/>
      <c r="Z188" s="62"/>
      <c r="AA188" s="62"/>
      <c r="AB188" s="62"/>
      <c r="AC188" s="62"/>
      <c r="AD188" s="62"/>
      <c r="AE188" s="62"/>
      <c r="AF188" s="62"/>
      <c r="AG188" s="62"/>
      <c r="AH188" s="62"/>
      <c r="AI188" s="62"/>
    </row>
    <row r="189" ht="14.25" customHeight="1">
      <c r="X189" s="57"/>
      <c r="Z189" s="62"/>
      <c r="AA189" s="62"/>
      <c r="AB189" s="62"/>
      <c r="AC189" s="62"/>
      <c r="AD189" s="62"/>
      <c r="AE189" s="62"/>
      <c r="AF189" s="62"/>
      <c r="AG189" s="62"/>
      <c r="AH189" s="62"/>
      <c r="AI189" s="62"/>
    </row>
    <row r="190" ht="14.25" customHeight="1">
      <c r="X190" s="57"/>
      <c r="Z190" s="62"/>
      <c r="AA190" s="62"/>
      <c r="AB190" s="62"/>
      <c r="AC190" s="62"/>
      <c r="AD190" s="62"/>
      <c r="AE190" s="62"/>
      <c r="AF190" s="62"/>
      <c r="AG190" s="62"/>
      <c r="AH190" s="62"/>
      <c r="AI190" s="62"/>
    </row>
    <row r="191" ht="14.25" customHeight="1">
      <c r="X191" s="57"/>
      <c r="Z191" s="62"/>
      <c r="AA191" s="62"/>
      <c r="AB191" s="62"/>
      <c r="AC191" s="62"/>
      <c r="AD191" s="62"/>
      <c r="AE191" s="62"/>
      <c r="AF191" s="62"/>
      <c r="AG191" s="62"/>
      <c r="AH191" s="62"/>
      <c r="AI191" s="62"/>
    </row>
    <row r="192" ht="14.25" customHeight="1">
      <c r="X192" s="57"/>
      <c r="Z192" s="62"/>
      <c r="AA192" s="62"/>
      <c r="AB192" s="62"/>
      <c r="AC192" s="62"/>
      <c r="AD192" s="62"/>
      <c r="AE192" s="62"/>
      <c r="AF192" s="62"/>
      <c r="AG192" s="62"/>
      <c r="AH192" s="62"/>
      <c r="AI192" s="62"/>
    </row>
    <row r="193" ht="14.25" customHeight="1">
      <c r="X193" s="57"/>
      <c r="Z193" s="62"/>
      <c r="AA193" s="62"/>
      <c r="AB193" s="62"/>
      <c r="AC193" s="62"/>
      <c r="AD193" s="62"/>
      <c r="AE193" s="62"/>
      <c r="AF193" s="62"/>
      <c r="AG193" s="62"/>
      <c r="AH193" s="62"/>
      <c r="AI193" s="62"/>
    </row>
    <row r="194" ht="14.25" customHeight="1">
      <c r="X194" s="57"/>
      <c r="Z194" s="62"/>
      <c r="AA194" s="62"/>
      <c r="AB194" s="62"/>
      <c r="AC194" s="62"/>
      <c r="AD194" s="62"/>
      <c r="AE194" s="62"/>
      <c r="AF194" s="62"/>
      <c r="AG194" s="62"/>
      <c r="AH194" s="62"/>
      <c r="AI194" s="62"/>
    </row>
    <row r="195" ht="14.25" customHeight="1">
      <c r="X195" s="57"/>
      <c r="Z195" s="62"/>
      <c r="AA195" s="62"/>
      <c r="AB195" s="62"/>
      <c r="AC195" s="62"/>
      <c r="AD195" s="62"/>
      <c r="AE195" s="62"/>
      <c r="AF195" s="62"/>
      <c r="AG195" s="62"/>
      <c r="AH195" s="62"/>
      <c r="AI195" s="62"/>
    </row>
    <row r="196" ht="14.25" customHeight="1">
      <c r="X196" s="57"/>
      <c r="Z196" s="62"/>
      <c r="AA196" s="62"/>
      <c r="AB196" s="62"/>
      <c r="AC196" s="62"/>
      <c r="AD196" s="62"/>
      <c r="AE196" s="62"/>
      <c r="AF196" s="62"/>
      <c r="AG196" s="62"/>
      <c r="AH196" s="62"/>
      <c r="AI196" s="62"/>
    </row>
    <row r="197" ht="14.25" customHeight="1">
      <c r="X197" s="57"/>
      <c r="Z197" s="62"/>
      <c r="AA197" s="62"/>
      <c r="AB197" s="62"/>
      <c r="AC197" s="62"/>
      <c r="AD197" s="62"/>
      <c r="AE197" s="62"/>
      <c r="AF197" s="62"/>
      <c r="AG197" s="62"/>
      <c r="AH197" s="62"/>
      <c r="AI197" s="62"/>
    </row>
    <row r="198" ht="14.25" customHeight="1">
      <c r="X198" s="57"/>
      <c r="Z198" s="62"/>
      <c r="AA198" s="62"/>
      <c r="AB198" s="62"/>
      <c r="AC198" s="62"/>
      <c r="AD198" s="62"/>
      <c r="AE198" s="62"/>
      <c r="AF198" s="62"/>
      <c r="AG198" s="62"/>
      <c r="AH198" s="62"/>
      <c r="AI198" s="62"/>
    </row>
    <row r="199" ht="14.25" customHeight="1">
      <c r="X199" s="57"/>
      <c r="Z199" s="62"/>
      <c r="AA199" s="62"/>
      <c r="AB199" s="62"/>
      <c r="AC199" s="62"/>
      <c r="AD199" s="62"/>
      <c r="AE199" s="62"/>
      <c r="AF199" s="62"/>
      <c r="AG199" s="62"/>
      <c r="AH199" s="62"/>
      <c r="AI199" s="62"/>
    </row>
    <row r="200" ht="14.25" customHeight="1">
      <c r="X200" s="57"/>
      <c r="Z200" s="62"/>
      <c r="AA200" s="62"/>
      <c r="AB200" s="62"/>
      <c r="AC200" s="62"/>
      <c r="AD200" s="62"/>
      <c r="AE200" s="62"/>
      <c r="AF200" s="62"/>
      <c r="AG200" s="62"/>
      <c r="AH200" s="62"/>
      <c r="AI200" s="62"/>
    </row>
    <row r="201" ht="14.25" customHeight="1">
      <c r="X201" s="57"/>
      <c r="Z201" s="62"/>
      <c r="AA201" s="62"/>
      <c r="AB201" s="62"/>
      <c r="AC201" s="62"/>
      <c r="AD201" s="62"/>
      <c r="AE201" s="62"/>
      <c r="AF201" s="62"/>
      <c r="AG201" s="62"/>
      <c r="AH201" s="62"/>
      <c r="AI201" s="62"/>
    </row>
    <row r="202" ht="14.25" customHeight="1">
      <c r="X202" s="57"/>
      <c r="Z202" s="62"/>
      <c r="AA202" s="62"/>
      <c r="AB202" s="62"/>
      <c r="AC202" s="62"/>
      <c r="AD202" s="62"/>
      <c r="AE202" s="62"/>
      <c r="AF202" s="62"/>
      <c r="AG202" s="62"/>
      <c r="AH202" s="62"/>
      <c r="AI202" s="62"/>
    </row>
    <row r="203" ht="14.25" customHeight="1">
      <c r="X203" s="57"/>
      <c r="Z203" s="62"/>
      <c r="AA203" s="62"/>
      <c r="AB203" s="62"/>
      <c r="AC203" s="62"/>
      <c r="AD203" s="62"/>
      <c r="AE203" s="62"/>
      <c r="AF203" s="62"/>
      <c r="AG203" s="62"/>
      <c r="AH203" s="62"/>
      <c r="AI203" s="62"/>
    </row>
    <row r="204" ht="14.25" customHeight="1">
      <c r="X204" s="57"/>
      <c r="Z204" s="62"/>
      <c r="AA204" s="62"/>
      <c r="AB204" s="62"/>
      <c r="AC204" s="62"/>
      <c r="AD204" s="62"/>
      <c r="AE204" s="62"/>
      <c r="AF204" s="62"/>
      <c r="AG204" s="62"/>
      <c r="AH204" s="62"/>
      <c r="AI204" s="62"/>
    </row>
    <row r="205" ht="14.25" customHeight="1">
      <c r="X205" s="57"/>
      <c r="Z205" s="62"/>
      <c r="AA205" s="62"/>
      <c r="AB205" s="62"/>
      <c r="AC205" s="62"/>
      <c r="AD205" s="62"/>
      <c r="AE205" s="62"/>
      <c r="AF205" s="62"/>
      <c r="AG205" s="62"/>
      <c r="AH205" s="62"/>
      <c r="AI205" s="62"/>
    </row>
    <row r="206" ht="14.25" customHeight="1">
      <c r="X206" s="57"/>
      <c r="Z206" s="62"/>
      <c r="AA206" s="62"/>
      <c r="AB206" s="62"/>
      <c r="AC206" s="62"/>
      <c r="AD206" s="62"/>
      <c r="AE206" s="62"/>
      <c r="AF206" s="62"/>
      <c r="AG206" s="62"/>
      <c r="AH206" s="62"/>
      <c r="AI206" s="62"/>
    </row>
    <row r="207" ht="14.25" customHeight="1">
      <c r="X207" s="57"/>
      <c r="Z207" s="62"/>
      <c r="AA207" s="62"/>
      <c r="AB207" s="62"/>
      <c r="AC207" s="62"/>
      <c r="AD207" s="62"/>
      <c r="AE207" s="62"/>
      <c r="AF207" s="62"/>
      <c r="AG207" s="62"/>
      <c r="AH207" s="62"/>
      <c r="AI207" s="62"/>
    </row>
    <row r="208" ht="14.25" customHeight="1">
      <c r="X208" s="57"/>
      <c r="Z208" s="62"/>
      <c r="AA208" s="62"/>
      <c r="AB208" s="62"/>
      <c r="AC208" s="62"/>
      <c r="AD208" s="62"/>
      <c r="AE208" s="62"/>
      <c r="AF208" s="62"/>
      <c r="AG208" s="62"/>
      <c r="AH208" s="62"/>
      <c r="AI208" s="62"/>
    </row>
    <row r="209" ht="14.25" customHeight="1">
      <c r="X209" s="57"/>
      <c r="Z209" s="62"/>
      <c r="AA209" s="62"/>
      <c r="AB209" s="62"/>
      <c r="AC209" s="62"/>
      <c r="AD209" s="62"/>
      <c r="AE209" s="62"/>
      <c r="AF209" s="62"/>
      <c r="AG209" s="62"/>
      <c r="AH209" s="62"/>
      <c r="AI209" s="62"/>
    </row>
    <row r="210" ht="14.25" customHeight="1">
      <c r="X210" s="57"/>
      <c r="Z210" s="62"/>
      <c r="AA210" s="62"/>
      <c r="AB210" s="62"/>
      <c r="AC210" s="62"/>
      <c r="AD210" s="62"/>
      <c r="AE210" s="62"/>
      <c r="AF210" s="62"/>
      <c r="AG210" s="62"/>
      <c r="AH210" s="62"/>
      <c r="AI210" s="62"/>
    </row>
    <row r="211" ht="14.25" customHeight="1">
      <c r="X211" s="57"/>
      <c r="Z211" s="62"/>
      <c r="AA211" s="62"/>
      <c r="AB211" s="62"/>
      <c r="AC211" s="62"/>
      <c r="AD211" s="62"/>
      <c r="AE211" s="62"/>
      <c r="AF211" s="62"/>
      <c r="AG211" s="62"/>
      <c r="AH211" s="62"/>
      <c r="AI211" s="62"/>
    </row>
    <row r="212" ht="14.25" customHeight="1">
      <c r="X212" s="57"/>
      <c r="Z212" s="62"/>
      <c r="AA212" s="62"/>
      <c r="AB212" s="62"/>
      <c r="AC212" s="62"/>
      <c r="AD212" s="62"/>
      <c r="AE212" s="62"/>
      <c r="AF212" s="62"/>
      <c r="AG212" s="62"/>
      <c r="AH212" s="62"/>
      <c r="AI212" s="62"/>
    </row>
    <row r="213" ht="14.25" customHeight="1">
      <c r="X213" s="57"/>
      <c r="Z213" s="62"/>
      <c r="AA213" s="62"/>
      <c r="AB213" s="62"/>
      <c r="AC213" s="62"/>
      <c r="AD213" s="62"/>
      <c r="AE213" s="62"/>
      <c r="AF213" s="62"/>
      <c r="AG213" s="62"/>
      <c r="AH213" s="62"/>
      <c r="AI213" s="62"/>
    </row>
    <row r="214" ht="14.25" customHeight="1">
      <c r="X214" s="57"/>
      <c r="Z214" s="62"/>
      <c r="AA214" s="62"/>
      <c r="AB214" s="62"/>
      <c r="AC214" s="62"/>
      <c r="AD214" s="62"/>
      <c r="AE214" s="62"/>
      <c r="AF214" s="62"/>
      <c r="AG214" s="62"/>
      <c r="AH214" s="62"/>
      <c r="AI214" s="62"/>
    </row>
    <row r="215" ht="14.25" customHeight="1">
      <c r="X215" s="57"/>
      <c r="Z215" s="62"/>
      <c r="AA215" s="62"/>
      <c r="AB215" s="62"/>
      <c r="AC215" s="62"/>
      <c r="AD215" s="62"/>
      <c r="AE215" s="62"/>
      <c r="AF215" s="62"/>
      <c r="AG215" s="62"/>
      <c r="AH215" s="62"/>
      <c r="AI215" s="62"/>
    </row>
    <row r="216" ht="14.25" customHeight="1">
      <c r="X216" s="57"/>
      <c r="Z216" s="62"/>
      <c r="AA216" s="62"/>
      <c r="AB216" s="62"/>
      <c r="AC216" s="62"/>
      <c r="AD216" s="62"/>
      <c r="AE216" s="62"/>
      <c r="AF216" s="62"/>
      <c r="AG216" s="62"/>
      <c r="AH216" s="62"/>
      <c r="AI216" s="62"/>
    </row>
    <row r="217" ht="14.25" customHeight="1">
      <c r="X217" s="57"/>
      <c r="Z217" s="62"/>
      <c r="AA217" s="62"/>
      <c r="AB217" s="62"/>
      <c r="AC217" s="62"/>
      <c r="AD217" s="62"/>
      <c r="AE217" s="62"/>
      <c r="AF217" s="62"/>
      <c r="AG217" s="62"/>
      <c r="AH217" s="62"/>
      <c r="AI217" s="62"/>
    </row>
    <row r="218" ht="14.25" customHeight="1">
      <c r="X218" s="57"/>
      <c r="Z218" s="62"/>
      <c r="AA218" s="62"/>
      <c r="AB218" s="62"/>
      <c r="AC218" s="62"/>
      <c r="AD218" s="62"/>
      <c r="AE218" s="62"/>
      <c r="AF218" s="62"/>
      <c r="AG218" s="62"/>
      <c r="AH218" s="62"/>
      <c r="AI218" s="62"/>
    </row>
    <row r="219" ht="14.25" customHeight="1">
      <c r="X219" s="57"/>
      <c r="Z219" s="62"/>
      <c r="AA219" s="62"/>
      <c r="AB219" s="62"/>
      <c r="AC219" s="62"/>
      <c r="AD219" s="62"/>
      <c r="AE219" s="62"/>
      <c r="AF219" s="62"/>
      <c r="AG219" s="62"/>
      <c r="AH219" s="62"/>
      <c r="AI219" s="62"/>
    </row>
    <row r="220" ht="14.25" customHeight="1">
      <c r="X220" s="57"/>
      <c r="Z220" s="62"/>
      <c r="AA220" s="62"/>
      <c r="AB220" s="62"/>
      <c r="AC220" s="62"/>
      <c r="AD220" s="62"/>
      <c r="AE220" s="62"/>
      <c r="AF220" s="62"/>
      <c r="AG220" s="62"/>
      <c r="AH220" s="62"/>
      <c r="AI220" s="62"/>
    </row>
    <row r="221" ht="14.25" customHeight="1">
      <c r="X221" s="57"/>
      <c r="Z221" s="62"/>
      <c r="AA221" s="62"/>
      <c r="AB221" s="62"/>
      <c r="AC221" s="62"/>
      <c r="AD221" s="62"/>
      <c r="AE221" s="62"/>
      <c r="AF221" s="62"/>
      <c r="AG221" s="62"/>
      <c r="AH221" s="62"/>
      <c r="AI221" s="62"/>
    </row>
    <row r="222" ht="14.25" customHeight="1">
      <c r="X222" s="57"/>
      <c r="Z222" s="62"/>
      <c r="AA222" s="62"/>
      <c r="AB222" s="62"/>
      <c r="AC222" s="62"/>
      <c r="AD222" s="62"/>
      <c r="AE222" s="62"/>
      <c r="AF222" s="62"/>
      <c r="AG222" s="62"/>
      <c r="AH222" s="62"/>
      <c r="AI222" s="62"/>
    </row>
    <row r="223" ht="14.25" customHeight="1">
      <c r="X223" s="57"/>
      <c r="Z223" s="62"/>
      <c r="AA223" s="62"/>
      <c r="AB223" s="62"/>
      <c r="AC223" s="62"/>
      <c r="AD223" s="62"/>
      <c r="AE223" s="62"/>
      <c r="AF223" s="62"/>
      <c r="AG223" s="62"/>
      <c r="AH223" s="62"/>
      <c r="AI223" s="62"/>
    </row>
    <row r="224" ht="14.25" customHeight="1">
      <c r="X224" s="57"/>
      <c r="Z224" s="62"/>
      <c r="AA224" s="62"/>
      <c r="AB224" s="62"/>
      <c r="AC224" s="62"/>
      <c r="AD224" s="62"/>
      <c r="AE224" s="62"/>
      <c r="AF224" s="62"/>
      <c r="AG224" s="62"/>
      <c r="AH224" s="62"/>
      <c r="AI224" s="62"/>
    </row>
    <row r="225" ht="14.25" customHeight="1">
      <c r="X225" s="57"/>
      <c r="Z225" s="62"/>
      <c r="AA225" s="62"/>
      <c r="AB225" s="62"/>
      <c r="AC225" s="62"/>
      <c r="AD225" s="62"/>
      <c r="AE225" s="62"/>
      <c r="AF225" s="62"/>
      <c r="AG225" s="62"/>
      <c r="AH225" s="62"/>
      <c r="AI225" s="62"/>
    </row>
    <row r="226" ht="14.25" customHeight="1">
      <c r="X226" s="57"/>
      <c r="Z226" s="62"/>
      <c r="AA226" s="62"/>
      <c r="AB226" s="62"/>
      <c r="AC226" s="62"/>
      <c r="AD226" s="62"/>
      <c r="AE226" s="62"/>
      <c r="AF226" s="62"/>
      <c r="AG226" s="62"/>
      <c r="AH226" s="62"/>
      <c r="AI226" s="62"/>
    </row>
    <row r="227" ht="14.25" customHeight="1">
      <c r="X227" s="57"/>
      <c r="Z227" s="62"/>
      <c r="AA227" s="62"/>
      <c r="AB227" s="62"/>
      <c r="AC227" s="62"/>
      <c r="AD227" s="62"/>
      <c r="AE227" s="62"/>
      <c r="AF227" s="62"/>
      <c r="AG227" s="62"/>
      <c r="AH227" s="62"/>
      <c r="AI227" s="62"/>
    </row>
    <row r="228" ht="14.25" customHeight="1">
      <c r="X228" s="57"/>
      <c r="Z228" s="62"/>
      <c r="AA228" s="62"/>
      <c r="AB228" s="62"/>
      <c r="AC228" s="62"/>
      <c r="AD228" s="62"/>
      <c r="AE228" s="62"/>
      <c r="AF228" s="62"/>
      <c r="AG228" s="62"/>
      <c r="AH228" s="62"/>
      <c r="AI228" s="62"/>
    </row>
    <row r="229" ht="14.25" customHeight="1">
      <c r="X229" s="57"/>
      <c r="Z229" s="62"/>
      <c r="AA229" s="62"/>
      <c r="AB229" s="62"/>
      <c r="AC229" s="62"/>
      <c r="AD229" s="62"/>
      <c r="AE229" s="62"/>
      <c r="AF229" s="62"/>
      <c r="AG229" s="62"/>
      <c r="AH229" s="62"/>
      <c r="AI229" s="62"/>
    </row>
    <row r="230" ht="14.25" customHeight="1">
      <c r="X230" s="57"/>
      <c r="Z230" s="62"/>
      <c r="AA230" s="62"/>
      <c r="AB230" s="62"/>
      <c r="AC230" s="62"/>
      <c r="AD230" s="62"/>
      <c r="AE230" s="62"/>
      <c r="AF230" s="62"/>
      <c r="AG230" s="62"/>
      <c r="AH230" s="62"/>
      <c r="AI230" s="62"/>
    </row>
    <row r="231" ht="14.25" customHeight="1">
      <c r="X231" s="57"/>
      <c r="Z231" s="62"/>
      <c r="AA231" s="62"/>
      <c r="AB231" s="62"/>
      <c r="AC231" s="62"/>
      <c r="AD231" s="62"/>
      <c r="AE231" s="62"/>
      <c r="AF231" s="62"/>
      <c r="AG231" s="62"/>
      <c r="AH231" s="62"/>
      <c r="AI231" s="62"/>
    </row>
    <row r="232" ht="14.25" customHeight="1">
      <c r="X232" s="57"/>
      <c r="Z232" s="62"/>
      <c r="AA232" s="62"/>
      <c r="AB232" s="62"/>
      <c r="AC232" s="62"/>
      <c r="AD232" s="62"/>
      <c r="AE232" s="62"/>
      <c r="AF232" s="62"/>
      <c r="AG232" s="62"/>
      <c r="AH232" s="62"/>
      <c r="AI232" s="62"/>
    </row>
    <row r="233" ht="14.25" customHeight="1">
      <c r="X233" s="57"/>
      <c r="Z233" s="62"/>
      <c r="AA233" s="62"/>
      <c r="AB233" s="62"/>
      <c r="AC233" s="62"/>
      <c r="AD233" s="62"/>
      <c r="AE233" s="62"/>
      <c r="AF233" s="62"/>
      <c r="AG233" s="62"/>
      <c r="AH233" s="62"/>
      <c r="AI233" s="62"/>
    </row>
    <row r="234" ht="14.25" customHeight="1">
      <c r="X234" s="57"/>
      <c r="Z234" s="62"/>
      <c r="AA234" s="62"/>
      <c r="AB234" s="62"/>
      <c r="AC234" s="62"/>
      <c r="AD234" s="62"/>
      <c r="AE234" s="62"/>
      <c r="AF234" s="62"/>
      <c r="AG234" s="62"/>
      <c r="AH234" s="62"/>
      <c r="AI234" s="62"/>
    </row>
    <row r="235" ht="14.25" customHeight="1">
      <c r="X235" s="57"/>
      <c r="Z235" s="62"/>
      <c r="AA235" s="62"/>
      <c r="AB235" s="62"/>
      <c r="AC235" s="62"/>
      <c r="AD235" s="62"/>
      <c r="AE235" s="62"/>
      <c r="AF235" s="62"/>
      <c r="AG235" s="62"/>
      <c r="AH235" s="62"/>
      <c r="AI235" s="62"/>
    </row>
    <row r="236" ht="14.25" customHeight="1">
      <c r="X236" s="57"/>
      <c r="Z236" s="62"/>
      <c r="AA236" s="62"/>
      <c r="AB236" s="62"/>
      <c r="AC236" s="62"/>
      <c r="AD236" s="62"/>
      <c r="AE236" s="62"/>
      <c r="AF236" s="62"/>
      <c r="AG236" s="62"/>
      <c r="AH236" s="62"/>
      <c r="AI236" s="62"/>
    </row>
    <row r="237" ht="14.25" customHeight="1">
      <c r="X237" s="57"/>
      <c r="Z237" s="62"/>
      <c r="AA237" s="62"/>
      <c r="AB237" s="62"/>
      <c r="AC237" s="62"/>
      <c r="AD237" s="62"/>
      <c r="AE237" s="62"/>
      <c r="AF237" s="62"/>
      <c r="AG237" s="62"/>
      <c r="AH237" s="62"/>
      <c r="AI237" s="62"/>
    </row>
    <row r="238" ht="14.25" customHeight="1">
      <c r="X238" s="57"/>
      <c r="Z238" s="62"/>
      <c r="AA238" s="62"/>
      <c r="AB238" s="62"/>
      <c r="AC238" s="62"/>
      <c r="AD238" s="62"/>
      <c r="AE238" s="62"/>
      <c r="AF238" s="62"/>
      <c r="AG238" s="62"/>
      <c r="AH238" s="62"/>
      <c r="AI238" s="62"/>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L1:Q1"/>
    <mergeCell ref="L2:Q2"/>
  </mergeCells>
  <dataValidations>
    <dataValidation type="list" allowBlank="1" showErrorMessage="1" sqref="Z5:AH28">
      <formula1>"Ada,Belum Ada,Proses,Belum mengurus"</formula1>
    </dataValidation>
    <dataValidation type="list" allowBlank="1" showErrorMessage="1" sqref="G5:G10 G12 G14">
      <formula1>"Sudah Operasional,Belum operasional,Tahap persiapan"</formula1>
    </dataValidation>
  </dataValidations>
  <printOptions/>
  <pageMargins bottom="0.75" footer="0.0" header="0.0" left="0.7" right="0.7" top="0.75"/>
  <pageSetup paperSize="9"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2015-06-05T11:17:20Z</dcterms:created>
  <dc:creator>user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b6f825ec0745407bbab1d107524517c9</vt:lpwstr>
  </property>
</Properties>
</file>